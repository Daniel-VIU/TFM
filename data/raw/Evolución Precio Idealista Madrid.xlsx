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ganzuela" sheetId="1" r:id="rId5"/>
    <sheet state="visible" name="Barajas" sheetId="2" r:id="rId6"/>
    <sheet state="visible" name="Carabanchel" sheetId="3" r:id="rId7"/>
    <sheet state="visible" name="Centro" sheetId="4" r:id="rId8"/>
    <sheet state="visible" name="Chamartín" sheetId="5" r:id="rId9"/>
    <sheet state="visible" name="Chamberí" sheetId="6" r:id="rId10"/>
    <sheet state="visible" name="Ciudad Lineal" sheetId="7" r:id="rId11"/>
    <sheet state="visible" name="Fuencarral" sheetId="8" r:id="rId12"/>
    <sheet state="visible" name="Hortaleza" sheetId="9" r:id="rId13"/>
    <sheet state="visible" name="Latina" sheetId="10" r:id="rId14"/>
    <sheet state="visible" name="Moncloa" sheetId="11" r:id="rId15"/>
    <sheet state="visible" name="Moratalaz" sheetId="12" r:id="rId16"/>
    <sheet state="visible" name="Puente de Vallecas" sheetId="13" r:id="rId17"/>
    <sheet state="visible" name="Retiro" sheetId="14" r:id="rId18"/>
    <sheet state="visible" name="Salamanca" sheetId="15" r:id="rId19"/>
    <sheet state="visible" name="San Blas" sheetId="16" r:id="rId20"/>
    <sheet state="visible" name="Tetuán" sheetId="17" r:id="rId21"/>
    <sheet state="visible" name="Usera" sheetId="18" r:id="rId22"/>
    <sheet state="visible" name="Vicálvaro" sheetId="19" r:id="rId23"/>
    <sheet state="visible" name="Villa de Vallecas" sheetId="20" r:id="rId24"/>
    <sheet state="visible" name="Villaverde" sheetId="21" r:id="rId2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IFERROR(__xludf.DUMMYFUNCTION("IMPORTHTML(""https://www.idealista.com/sala-de-prensa/informes-precio-vivienda/venta/madrid-comunidad/madrid-provincia/madrid/arganzuela/historico/"",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IFERROR(__xludf.DUMMYFUNCTION("""COMPUTED_VALUE"""),"6.389 €/m2")</f>
        <v>6.389 €/m2</v>
      </c>
      <c r="C2" s="1" t="str">
        <f>IFERROR(__xludf.DUMMYFUNCTION("""COMPUTED_VALUE"""),"- 0,5 %")</f>
        <v>- 0,5 %</v>
      </c>
      <c r="D2" s="1" t="str">
        <f>IFERROR(__xludf.DUMMYFUNCTION("""COMPUTED_VALUE"""),"+ 1,9 %")</f>
        <v>+ 1,9 %</v>
      </c>
      <c r="E2" s="1" t="str">
        <f>IFERROR(__xludf.DUMMYFUNCTION("""COMPUTED_VALUE"""),"+ 11,5 %")</f>
        <v>+ 11,5 %</v>
      </c>
    </row>
    <row r="3">
      <c r="A3" s="2">
        <f>IFERROR(__xludf.DUMMYFUNCTION("""COMPUTED_VALUE"""),46143.0)</f>
        <v>46143</v>
      </c>
      <c r="B3" s="1" t="str">
        <f>IFERROR(__xludf.DUMMYFUNCTION("""COMPUTED_VALUE"""),"6.422 €/m2")</f>
        <v>6.422 €/m2</v>
      </c>
      <c r="C3" s="1" t="str">
        <f>IFERROR(__xludf.DUMMYFUNCTION("""COMPUTED_VALUE"""),"+ 1,4 %")</f>
        <v>+ 1,4 %</v>
      </c>
      <c r="D3" s="1" t="str">
        <f>IFERROR(__xludf.DUMMYFUNCTION("""COMPUTED_VALUE"""),"+ 3,2 %")</f>
        <v>+ 3,2 %</v>
      </c>
      <c r="E3" s="1" t="str">
        <f>IFERROR(__xludf.DUMMYFUNCTION("""COMPUTED_VALUE"""),"+ 13,3 %")</f>
        <v>+ 13,3 %</v>
      </c>
    </row>
    <row r="4">
      <c r="A4" s="2">
        <f>IFERROR(__xludf.DUMMYFUNCTION("""COMPUTED_VALUE"""),46113.0)</f>
        <v>46113</v>
      </c>
      <c r="B4" s="1" t="str">
        <f>IFERROR(__xludf.DUMMYFUNCTION("""COMPUTED_VALUE"""),"6.334 €/m2")</f>
        <v>6.334 €/m2</v>
      </c>
      <c r="C4" s="1" t="str">
        <f>IFERROR(__xludf.DUMMYFUNCTION("""COMPUTED_VALUE"""),"+ 1,0 %")</f>
        <v>+ 1,0 %</v>
      </c>
      <c r="D4" s="1" t="str">
        <f>IFERROR(__xludf.DUMMYFUNCTION("""COMPUTED_VALUE"""),"+ 2,1 %")</f>
        <v>+ 2,1 %</v>
      </c>
      <c r="E4" s="1" t="str">
        <f>IFERROR(__xludf.DUMMYFUNCTION("""COMPUTED_VALUE"""),"+ 15,7 %")</f>
        <v>+ 15,7 %</v>
      </c>
    </row>
    <row r="5">
      <c r="A5" s="2">
        <f>IFERROR(__xludf.DUMMYFUNCTION("""COMPUTED_VALUE"""),46082.0)</f>
        <v>46082</v>
      </c>
      <c r="B5" s="1" t="str">
        <f>IFERROR(__xludf.DUMMYFUNCTION("""COMPUTED_VALUE"""),"6.270 €/m2")</f>
        <v>6.270 €/m2</v>
      </c>
      <c r="C5" s="1" t="str">
        <f>IFERROR(__xludf.DUMMYFUNCTION("""COMPUTED_VALUE"""),"+ 0,7 %")</f>
        <v>+ 0,7 %</v>
      </c>
      <c r="D5" s="1" t="str">
        <f>IFERROR(__xludf.DUMMYFUNCTION("""COMPUTED_VALUE"""),"+ 1,2 %")</f>
        <v>+ 1,2 %</v>
      </c>
      <c r="E5" s="1" t="str">
        <f>IFERROR(__xludf.DUMMYFUNCTION("""COMPUTED_VALUE"""),"+ 17,4 %")</f>
        <v>+ 17,4 %</v>
      </c>
    </row>
    <row r="6">
      <c r="A6" s="2">
        <f>IFERROR(__xludf.DUMMYFUNCTION("""COMPUTED_VALUE"""),46054.0)</f>
        <v>46054</v>
      </c>
      <c r="B6" s="1" t="str">
        <f>IFERROR(__xludf.DUMMYFUNCTION("""COMPUTED_VALUE"""),"6.224 €/m2")</f>
        <v>6.224 €/m2</v>
      </c>
      <c r="C6" s="1" t="str">
        <f>IFERROR(__xludf.DUMMYFUNCTION("""COMPUTED_VALUE"""),"+ 0,3 %")</f>
        <v>+ 0,3 %</v>
      </c>
      <c r="D6" s="1" t="str">
        <f>IFERROR(__xludf.DUMMYFUNCTION("""COMPUTED_VALUE"""),"+ 1,3 %")</f>
        <v>+ 1,3 %</v>
      </c>
      <c r="E6" s="1" t="str">
        <f>IFERROR(__xludf.DUMMYFUNCTION("""COMPUTED_VALUE"""),"+ 17,2 %")</f>
        <v>+ 17,2 %</v>
      </c>
    </row>
    <row r="7">
      <c r="A7" s="2">
        <f>IFERROR(__xludf.DUMMYFUNCTION("""COMPUTED_VALUE"""),46023.0)</f>
        <v>46023</v>
      </c>
      <c r="B7" s="1" t="str">
        <f>IFERROR(__xludf.DUMMYFUNCTION("""COMPUTED_VALUE"""),"6.203 €/m2")</f>
        <v>6.203 €/m2</v>
      </c>
      <c r="C7" s="1" t="str">
        <f>IFERROR(__xludf.DUMMYFUNCTION("""COMPUTED_VALUE"""),"+ 0,1 %")</f>
        <v>+ 0,1 %</v>
      </c>
      <c r="D7" s="1" t="str">
        <f>IFERROR(__xludf.DUMMYFUNCTION("""COMPUTED_VALUE"""),"+ 3,7 %")</f>
        <v>+ 3,7 %</v>
      </c>
      <c r="E7" s="1" t="str">
        <f>IFERROR(__xludf.DUMMYFUNCTION("""COMPUTED_VALUE"""),"+ 18,2 %")</f>
        <v>+ 18,2 %</v>
      </c>
    </row>
    <row r="8">
      <c r="A8" s="2">
        <f>IFERROR(__xludf.DUMMYFUNCTION("""COMPUTED_VALUE"""),45992.0)</f>
        <v>45992</v>
      </c>
      <c r="B8" s="1" t="str">
        <f>IFERROR(__xludf.DUMMYFUNCTION("""COMPUTED_VALUE"""),"6.198 €/m2")</f>
        <v>6.198 €/m2</v>
      </c>
      <c r="C8" s="1" t="str">
        <f>IFERROR(__xludf.DUMMYFUNCTION("""COMPUTED_VALUE"""),"+ 0,9 %")</f>
        <v>+ 0,9 %</v>
      </c>
      <c r="D8" s="1" t="str">
        <f>IFERROR(__xludf.DUMMYFUNCTION("""COMPUTED_VALUE"""),"+ 4,2 %")</f>
        <v>+ 4,2 %</v>
      </c>
      <c r="E8" s="1" t="str">
        <f>IFERROR(__xludf.DUMMYFUNCTION("""COMPUTED_VALUE"""),"+ 20,2 %")</f>
        <v>+ 20,2 %</v>
      </c>
    </row>
    <row r="9">
      <c r="A9" s="2">
        <f>IFERROR(__xludf.DUMMYFUNCTION("""COMPUTED_VALUE"""),45962.0)</f>
        <v>45962</v>
      </c>
      <c r="B9" s="1" t="str">
        <f>IFERROR(__xludf.DUMMYFUNCTION("""COMPUTED_VALUE"""),"6.143 €/m2")</f>
        <v>6.143 €/m2</v>
      </c>
      <c r="C9" s="1" t="str">
        <f>IFERROR(__xludf.DUMMYFUNCTION("""COMPUTED_VALUE"""),"+ 2,7 %")</f>
        <v>+ 2,7 %</v>
      </c>
      <c r="D9" s="1" t="str">
        <f>IFERROR(__xludf.DUMMYFUNCTION("""COMPUTED_VALUE"""),"+ 4,7 %")</f>
        <v>+ 4,7 %</v>
      </c>
      <c r="E9" s="1" t="str">
        <f>IFERROR(__xludf.DUMMYFUNCTION("""COMPUTED_VALUE"""),"+ 21,4 %")</f>
        <v>+ 21,4 %</v>
      </c>
    </row>
    <row r="10">
      <c r="A10" s="2">
        <f>IFERROR(__xludf.DUMMYFUNCTION("""COMPUTED_VALUE"""),45931.0)</f>
        <v>45931</v>
      </c>
      <c r="B10" s="1" t="str">
        <f>IFERROR(__xludf.DUMMYFUNCTION("""COMPUTED_VALUE"""),"5.982 €/m2")</f>
        <v>5.982 €/m2</v>
      </c>
      <c r="C10" s="1" t="str">
        <f>IFERROR(__xludf.DUMMYFUNCTION("""COMPUTED_VALUE"""),"+ 0,5 %")</f>
        <v>+ 0,5 %</v>
      </c>
      <c r="D10" s="1" t="str">
        <f>IFERROR(__xludf.DUMMYFUNCTION("""COMPUTED_VALUE"""),"+ 4,0 %")</f>
        <v>+ 4,0 %</v>
      </c>
      <c r="E10" s="1" t="str">
        <f>IFERROR(__xludf.DUMMYFUNCTION("""COMPUTED_VALUE"""),"+ 17,8 %")</f>
        <v>+ 17,8 %</v>
      </c>
    </row>
    <row r="11">
      <c r="A11" s="2">
        <f>IFERROR(__xludf.DUMMYFUNCTION("""COMPUTED_VALUE"""),45901.0)</f>
        <v>45901</v>
      </c>
      <c r="B11" s="1" t="str">
        <f>IFERROR(__xludf.DUMMYFUNCTION("""COMPUTED_VALUE"""),"5.950 €/m2")</f>
        <v>5.950 €/m2</v>
      </c>
      <c r="C11" s="1" t="str">
        <f>IFERROR(__xludf.DUMMYFUNCTION("""COMPUTED_VALUE"""),"+ 1,4 %")</f>
        <v>+ 1,4 %</v>
      </c>
      <c r="D11" s="1" t="str">
        <f>IFERROR(__xludf.DUMMYFUNCTION("""COMPUTED_VALUE"""),"+ 3,9 %")</f>
        <v>+ 3,9 %</v>
      </c>
      <c r="E11" s="1" t="str">
        <f>IFERROR(__xludf.DUMMYFUNCTION("""COMPUTED_VALUE"""),"+ 19,0 %")</f>
        <v>+ 19,0 %</v>
      </c>
    </row>
    <row r="12">
      <c r="A12" s="2">
        <f>IFERROR(__xludf.DUMMYFUNCTION("""COMPUTED_VALUE"""),45870.0)</f>
        <v>45870</v>
      </c>
      <c r="B12" s="1" t="str">
        <f>IFERROR(__xludf.DUMMYFUNCTION("""COMPUTED_VALUE"""),"5.867 €/m2")</f>
        <v>5.867 €/m2</v>
      </c>
      <c r="C12" s="1" t="str">
        <f>IFERROR(__xludf.DUMMYFUNCTION("""COMPUTED_VALUE"""),"+ 2,0 %")</f>
        <v>+ 2,0 %</v>
      </c>
      <c r="D12" s="1" t="str">
        <f>IFERROR(__xludf.DUMMYFUNCTION("""COMPUTED_VALUE"""),"+ 3,5 %")</f>
        <v>+ 3,5 %</v>
      </c>
      <c r="E12" s="1" t="str">
        <f>IFERROR(__xludf.DUMMYFUNCTION("""COMPUTED_VALUE"""),"+ 17,4 %")</f>
        <v>+ 17,4 %</v>
      </c>
    </row>
    <row r="13">
      <c r="A13" s="2">
        <f>IFERROR(__xludf.DUMMYFUNCTION("""COMPUTED_VALUE"""),45839.0)</f>
        <v>45839</v>
      </c>
      <c r="B13" s="1" t="str">
        <f>IFERROR(__xludf.DUMMYFUNCTION("""COMPUTED_VALUE"""),"5.750 €/m2")</f>
        <v>5.750 €/m2</v>
      </c>
      <c r="C13" s="1" t="str">
        <f>IFERROR(__xludf.DUMMYFUNCTION("""COMPUTED_VALUE"""),"+ 0,4 %")</f>
        <v>+ 0,4 %</v>
      </c>
      <c r="D13" s="1" t="str">
        <f>IFERROR(__xludf.DUMMYFUNCTION("""COMPUTED_VALUE"""),"+ 5,1 %")</f>
        <v>+ 5,1 %</v>
      </c>
      <c r="E13" s="1" t="str">
        <f>IFERROR(__xludf.DUMMYFUNCTION("""COMPUTED_VALUE"""),"+ 16,0 %")</f>
        <v>+ 16,0 %</v>
      </c>
    </row>
    <row r="14">
      <c r="A14" s="2">
        <f>IFERROR(__xludf.DUMMYFUNCTION("""COMPUTED_VALUE"""),45809.0)</f>
        <v>45809</v>
      </c>
      <c r="B14" s="1" t="str">
        <f>IFERROR(__xludf.DUMMYFUNCTION("""COMPUTED_VALUE"""),"5.729 €/m2")</f>
        <v>5.729 €/m2</v>
      </c>
      <c r="C14" s="1" t="str">
        <f>IFERROR(__xludf.DUMMYFUNCTION("""COMPUTED_VALUE"""),"+ 1,0 %")</f>
        <v>+ 1,0 %</v>
      </c>
      <c r="D14" s="1" t="str">
        <f>IFERROR(__xludf.DUMMYFUNCTION("""COMPUTED_VALUE"""),"+ 7,3 %")</f>
        <v>+ 7,3 %</v>
      </c>
      <c r="E14" s="1" t="str">
        <f>IFERROR(__xludf.DUMMYFUNCTION("""COMPUTED_VALUE"""),"+ 18,1 %")</f>
        <v>+ 18,1 %</v>
      </c>
    </row>
    <row r="15">
      <c r="A15" s="2">
        <f>IFERROR(__xludf.DUMMYFUNCTION("""COMPUTED_VALUE"""),45778.0)</f>
        <v>45778</v>
      </c>
      <c r="B15" s="1" t="str">
        <f>IFERROR(__xludf.DUMMYFUNCTION("""COMPUTED_VALUE"""),"5.669 €/m2")</f>
        <v>5.669 €/m2</v>
      </c>
      <c r="C15" s="1" t="str">
        <f>IFERROR(__xludf.DUMMYFUNCTION("""COMPUTED_VALUE"""),"+ 3,6 %")</f>
        <v>+ 3,6 %</v>
      </c>
      <c r="D15" s="1" t="str">
        <f>IFERROR(__xludf.DUMMYFUNCTION("""COMPUTED_VALUE"""),"+ 6,8 %")</f>
        <v>+ 6,8 %</v>
      </c>
      <c r="E15" s="1" t="str">
        <f>IFERROR(__xludf.DUMMYFUNCTION("""COMPUTED_VALUE"""),"+ 19,2 %")</f>
        <v>+ 19,2 %</v>
      </c>
    </row>
    <row r="16">
      <c r="A16" s="2">
        <f>IFERROR(__xludf.DUMMYFUNCTION("""COMPUTED_VALUE"""),45748.0)</f>
        <v>45748</v>
      </c>
      <c r="B16" s="1" t="str">
        <f>IFERROR(__xludf.DUMMYFUNCTION("""COMPUTED_VALUE"""),"5.472 €/m2")</f>
        <v>5.472 €/m2</v>
      </c>
      <c r="C16" s="1" t="str">
        <f>IFERROR(__xludf.DUMMYFUNCTION("""COMPUTED_VALUE"""),"+ 2,4 %")</f>
        <v>+ 2,4 %</v>
      </c>
      <c r="D16" s="1" t="str">
        <f>IFERROR(__xludf.DUMMYFUNCTION("""COMPUTED_VALUE"""),"+ 4,3 %")</f>
        <v>+ 4,3 %</v>
      </c>
      <c r="E16" s="1" t="str">
        <f>IFERROR(__xludf.DUMMYFUNCTION("""COMPUTED_VALUE"""),"+ 18,2 %")</f>
        <v>+ 18,2 %</v>
      </c>
    </row>
    <row r="17">
      <c r="A17" s="2">
        <f>IFERROR(__xludf.DUMMYFUNCTION("""COMPUTED_VALUE"""),45717.0)</f>
        <v>45717</v>
      </c>
      <c r="B17" s="1" t="str">
        <f>IFERROR(__xludf.DUMMYFUNCTION("""COMPUTED_VALUE"""),"5.341 €/m2")</f>
        <v>5.341 €/m2</v>
      </c>
      <c r="C17" s="1" t="str">
        <f>IFERROR(__xludf.DUMMYFUNCTION("""COMPUTED_VALUE"""),"+ 0,6 %")</f>
        <v>+ 0,6 %</v>
      </c>
      <c r="D17" s="1" t="str">
        <f>IFERROR(__xludf.DUMMYFUNCTION("""COMPUTED_VALUE"""),"+ 3,6 %")</f>
        <v>+ 3,6 %</v>
      </c>
      <c r="E17" s="1" t="str">
        <f>IFERROR(__xludf.DUMMYFUNCTION("""COMPUTED_VALUE"""),"+ 16,3 %")</f>
        <v>+ 16,3 %</v>
      </c>
    </row>
    <row r="18">
      <c r="A18" s="2">
        <f>IFERROR(__xludf.DUMMYFUNCTION("""COMPUTED_VALUE"""),45689.0)</f>
        <v>45689</v>
      </c>
      <c r="B18" s="1" t="str">
        <f>IFERROR(__xludf.DUMMYFUNCTION("""COMPUTED_VALUE"""),"5.310 €/m2")</f>
        <v>5.310 €/m2</v>
      </c>
      <c r="C18" s="1" t="str">
        <f>IFERROR(__xludf.DUMMYFUNCTION("""COMPUTED_VALUE"""),"+ 1,2 %")</f>
        <v>+ 1,2 %</v>
      </c>
      <c r="D18" s="1" t="str">
        <f>IFERROR(__xludf.DUMMYFUNCTION("""COMPUTED_VALUE"""),"+ 4,9 %")</f>
        <v>+ 4,9 %</v>
      </c>
      <c r="E18" s="1" t="str">
        <f>IFERROR(__xludf.DUMMYFUNCTION("""COMPUTED_VALUE"""),"+ 16,2 %")</f>
        <v>+ 16,2 %</v>
      </c>
    </row>
    <row r="19">
      <c r="A19" s="2">
        <f>IFERROR(__xludf.DUMMYFUNCTION("""COMPUTED_VALUE"""),45658.0)</f>
        <v>45658</v>
      </c>
      <c r="B19" s="1" t="str">
        <f>IFERROR(__xludf.DUMMYFUNCTION("""COMPUTED_VALUE"""),"5.247 €/m2")</f>
        <v>5.247 €/m2</v>
      </c>
      <c r="C19" s="1" t="str">
        <f>IFERROR(__xludf.DUMMYFUNCTION("""COMPUTED_VALUE"""),"+ 1,8 %")</f>
        <v>+ 1,8 %</v>
      </c>
      <c r="D19" s="1" t="str">
        <f>IFERROR(__xludf.DUMMYFUNCTION("""COMPUTED_VALUE"""),"+ 3,3 %")</f>
        <v>+ 3,3 %</v>
      </c>
      <c r="E19" s="1" t="str">
        <f>IFERROR(__xludf.DUMMYFUNCTION("""COMPUTED_VALUE"""),"+ 15,6 %")</f>
        <v>+ 15,6 %</v>
      </c>
    </row>
    <row r="20">
      <c r="A20" s="2">
        <f>IFERROR(__xludf.DUMMYFUNCTION("""COMPUTED_VALUE"""),45627.0)</f>
        <v>45627</v>
      </c>
      <c r="B20" s="1" t="str">
        <f>IFERROR(__xludf.DUMMYFUNCTION("""COMPUTED_VALUE"""),"5.154 €/m2")</f>
        <v>5.154 €/m2</v>
      </c>
      <c r="C20" s="1" t="str">
        <f>IFERROR(__xludf.DUMMYFUNCTION("""COMPUTED_VALUE"""),"+ 1,8 %")</f>
        <v>+ 1,8 %</v>
      </c>
      <c r="D20" s="1" t="str">
        <f>IFERROR(__xludf.DUMMYFUNCTION("""COMPUTED_VALUE"""),"+ 3,1 %")</f>
        <v>+ 3,1 %</v>
      </c>
      <c r="E20" s="1" t="str">
        <f>IFERROR(__xludf.DUMMYFUNCTION("""COMPUTED_VALUE"""),"+ 13,9 %")</f>
        <v>+ 13,9 %</v>
      </c>
    </row>
    <row r="21">
      <c r="A21" s="2">
        <f>IFERROR(__xludf.DUMMYFUNCTION("""COMPUTED_VALUE"""),45597.0)</f>
        <v>45597</v>
      </c>
      <c r="B21" s="1" t="str">
        <f>IFERROR(__xludf.DUMMYFUNCTION("""COMPUTED_VALUE"""),"5.062 €/m2")</f>
        <v>5.062 €/m2</v>
      </c>
      <c r="C21" s="1" t="str">
        <f>IFERROR(__xludf.DUMMYFUNCTION("""COMPUTED_VALUE"""),"- 0,3 %")</f>
        <v>- 0,3 %</v>
      </c>
      <c r="D21" s="1" t="str">
        <f>IFERROR(__xludf.DUMMYFUNCTION("""COMPUTED_VALUE"""),"+ 1,3 %")</f>
        <v>+ 1,3 %</v>
      </c>
      <c r="E21" s="1" t="str">
        <f>IFERROR(__xludf.DUMMYFUNCTION("""COMPUTED_VALUE"""),"+ 12,5 %")</f>
        <v>+ 12,5 %</v>
      </c>
    </row>
    <row r="22">
      <c r="A22" s="2">
        <f>IFERROR(__xludf.DUMMYFUNCTION("""COMPUTED_VALUE"""),45566.0)</f>
        <v>45566</v>
      </c>
      <c r="B22" s="1" t="str">
        <f>IFERROR(__xludf.DUMMYFUNCTION("""COMPUTED_VALUE"""),"5.079 €/m2")</f>
        <v>5.079 €/m2</v>
      </c>
      <c r="C22" s="1" t="str">
        <f>IFERROR(__xludf.DUMMYFUNCTION("""COMPUTED_VALUE"""),"+ 1,6 %")</f>
        <v>+ 1,6 %</v>
      </c>
      <c r="D22" s="1" t="str">
        <f>IFERROR(__xludf.DUMMYFUNCTION("""COMPUTED_VALUE"""),"+ 2,5 %")</f>
        <v>+ 2,5 %</v>
      </c>
      <c r="E22" s="1" t="str">
        <f>IFERROR(__xludf.DUMMYFUNCTION("""COMPUTED_VALUE"""),"+ 12,6 %")</f>
        <v>+ 12,6 %</v>
      </c>
    </row>
    <row r="23">
      <c r="A23" s="2">
        <f>IFERROR(__xludf.DUMMYFUNCTION("""COMPUTED_VALUE"""),45536.0)</f>
        <v>45536</v>
      </c>
      <c r="B23" s="1" t="str">
        <f>IFERROR(__xludf.DUMMYFUNCTION("""COMPUTED_VALUE"""),"4.999 €/m2")</f>
        <v>4.999 €/m2</v>
      </c>
      <c r="C23" s="1" t="str">
        <f>IFERROR(__xludf.DUMMYFUNCTION("""COMPUTED_VALUE"""),"0,0 %")</f>
        <v>0,0 %</v>
      </c>
      <c r="D23" s="1" t="str">
        <f>IFERROR(__xludf.DUMMYFUNCTION("""COMPUTED_VALUE"""),"+ 3,1 %")</f>
        <v>+ 3,1 %</v>
      </c>
      <c r="E23" s="1" t="str">
        <f>IFERROR(__xludf.DUMMYFUNCTION("""COMPUTED_VALUE"""),"+ 11,4 %")</f>
        <v>+ 11,4 %</v>
      </c>
    </row>
    <row r="24">
      <c r="A24" s="2">
        <f>IFERROR(__xludf.DUMMYFUNCTION("""COMPUTED_VALUE"""),45505.0)</f>
        <v>45505</v>
      </c>
      <c r="B24" s="1" t="str">
        <f>IFERROR(__xludf.DUMMYFUNCTION("""COMPUTED_VALUE"""),"4.998 €/m2")</f>
        <v>4.998 €/m2</v>
      </c>
      <c r="C24" s="1" t="str">
        <f>IFERROR(__xludf.DUMMYFUNCTION("""COMPUTED_VALUE"""),"+ 0,8 %")</f>
        <v>+ 0,8 %</v>
      </c>
      <c r="D24" s="1" t="str">
        <f>IFERROR(__xludf.DUMMYFUNCTION("""COMPUTED_VALUE"""),"+ 5,1 %")</f>
        <v>+ 5,1 %</v>
      </c>
      <c r="E24" s="1" t="str">
        <f>IFERROR(__xludf.DUMMYFUNCTION("""COMPUTED_VALUE"""),"+ 11,4 %")</f>
        <v>+ 11,4 %</v>
      </c>
    </row>
    <row r="25">
      <c r="A25" s="2">
        <f>IFERROR(__xludf.DUMMYFUNCTION("""COMPUTED_VALUE"""),45474.0)</f>
        <v>45474</v>
      </c>
      <c r="B25" s="1" t="str">
        <f>IFERROR(__xludf.DUMMYFUNCTION("""COMPUTED_VALUE"""),"4.957 €/m2")</f>
        <v>4.957 €/m2</v>
      </c>
      <c r="C25" s="1" t="str">
        <f>IFERROR(__xludf.DUMMYFUNCTION("""COMPUTED_VALUE"""),"+ 2,2 %")</f>
        <v>+ 2,2 %</v>
      </c>
      <c r="D25" s="1" t="str">
        <f>IFERROR(__xludf.DUMMYFUNCTION("""COMPUTED_VALUE"""),"+ 7,1 %")</f>
        <v>+ 7,1 %</v>
      </c>
      <c r="E25" s="1" t="str">
        <f>IFERROR(__xludf.DUMMYFUNCTION("""COMPUTED_VALUE"""),"+ 11,4 %")</f>
        <v>+ 11,4 %</v>
      </c>
    </row>
    <row r="26">
      <c r="A26" s="2">
        <f>IFERROR(__xludf.DUMMYFUNCTION("""COMPUTED_VALUE"""),45444.0)</f>
        <v>45444</v>
      </c>
      <c r="B26" s="1" t="str">
        <f>IFERROR(__xludf.DUMMYFUNCTION("""COMPUTED_VALUE"""),"4.850 €/m2")</f>
        <v>4.850 €/m2</v>
      </c>
      <c r="C26" s="1" t="str">
        <f>IFERROR(__xludf.DUMMYFUNCTION("""COMPUTED_VALUE"""),"+ 2,0 %")</f>
        <v>+ 2,0 %</v>
      </c>
      <c r="D26" s="1" t="str">
        <f>IFERROR(__xludf.DUMMYFUNCTION("""COMPUTED_VALUE"""),"+ 5,6 %")</f>
        <v>+ 5,6 %</v>
      </c>
      <c r="E26" s="1" t="str">
        <f>IFERROR(__xludf.DUMMYFUNCTION("""COMPUTED_VALUE"""),"+ 10,4 %")</f>
        <v>+ 10,4 %</v>
      </c>
    </row>
    <row r="27">
      <c r="A27" s="2">
        <f>IFERROR(__xludf.DUMMYFUNCTION("""COMPUTED_VALUE"""),45413.0)</f>
        <v>45413</v>
      </c>
      <c r="B27" s="1" t="str">
        <f>IFERROR(__xludf.DUMMYFUNCTION("""COMPUTED_VALUE"""),"4.755 €/m2")</f>
        <v>4.755 €/m2</v>
      </c>
      <c r="C27" s="1" t="str">
        <f>IFERROR(__xludf.DUMMYFUNCTION("""COMPUTED_VALUE"""),"+ 2,7 %")</f>
        <v>+ 2,7 %</v>
      </c>
      <c r="D27" s="1" t="str">
        <f>IFERROR(__xludf.DUMMYFUNCTION("""COMPUTED_VALUE"""),"+ 4,1 %")</f>
        <v>+ 4,1 %</v>
      </c>
      <c r="E27" s="1" t="str">
        <f>IFERROR(__xludf.DUMMYFUNCTION("""COMPUTED_VALUE"""),"+ 8,2 %")</f>
        <v>+ 8,2 %</v>
      </c>
    </row>
    <row r="28">
      <c r="A28" s="2">
        <f>IFERROR(__xludf.DUMMYFUNCTION("""COMPUTED_VALUE"""),45383.0)</f>
        <v>45383</v>
      </c>
      <c r="B28" s="1" t="str">
        <f>IFERROR(__xludf.DUMMYFUNCTION("""COMPUTED_VALUE"""),"4.630 €/m2")</f>
        <v>4.630 €/m2</v>
      </c>
      <c r="C28" s="1" t="str">
        <f>IFERROR(__xludf.DUMMYFUNCTION("""COMPUTED_VALUE"""),"+ 0,8 %")</f>
        <v>+ 0,8 %</v>
      </c>
      <c r="D28" s="1" t="str">
        <f>IFERROR(__xludf.DUMMYFUNCTION("""COMPUTED_VALUE"""),"+ 2,0 %")</f>
        <v>+ 2,0 %</v>
      </c>
      <c r="E28" s="1" t="str">
        <f>IFERROR(__xludf.DUMMYFUNCTION("""COMPUTED_VALUE"""),"+ 5,8 %")</f>
        <v>+ 5,8 %</v>
      </c>
    </row>
    <row r="29">
      <c r="A29" s="2">
        <f>IFERROR(__xludf.DUMMYFUNCTION("""COMPUTED_VALUE"""),45352.0)</f>
        <v>45352</v>
      </c>
      <c r="B29" s="1" t="str">
        <f>IFERROR(__xludf.DUMMYFUNCTION("""COMPUTED_VALUE"""),"4.595 €/m2")</f>
        <v>4.595 €/m2</v>
      </c>
      <c r="C29" s="1" t="str">
        <f>IFERROR(__xludf.DUMMYFUNCTION("""COMPUTED_VALUE"""),"+ 0,5 %")</f>
        <v>+ 0,5 %</v>
      </c>
      <c r="D29" s="1" t="str">
        <f>IFERROR(__xludf.DUMMYFUNCTION("""COMPUTED_VALUE"""),"+ 1,6 %")</f>
        <v>+ 1,6 %</v>
      </c>
      <c r="E29" s="1" t="str">
        <f>IFERROR(__xludf.DUMMYFUNCTION("""COMPUTED_VALUE"""),"+ 5,4 %")</f>
        <v>+ 5,4 %</v>
      </c>
    </row>
    <row r="30">
      <c r="A30" s="2">
        <f>IFERROR(__xludf.DUMMYFUNCTION("""COMPUTED_VALUE"""),45323.0)</f>
        <v>45323</v>
      </c>
      <c r="B30" s="1" t="str">
        <f>IFERROR(__xludf.DUMMYFUNCTION("""COMPUTED_VALUE"""),"4.570 €/m2")</f>
        <v>4.570 €/m2</v>
      </c>
      <c r="C30" s="1" t="str">
        <f>IFERROR(__xludf.DUMMYFUNCTION("""COMPUTED_VALUE"""),"+ 0,7 %")</f>
        <v>+ 0,7 %</v>
      </c>
      <c r="D30" s="1" t="str">
        <f>IFERROR(__xludf.DUMMYFUNCTION("""COMPUTED_VALUE"""),"+ 1,5 %")</f>
        <v>+ 1,5 %</v>
      </c>
      <c r="E30" s="1" t="str">
        <f>IFERROR(__xludf.DUMMYFUNCTION("""COMPUTED_VALUE"""),"+ 5,0 %")</f>
        <v>+ 5,0 %</v>
      </c>
    </row>
    <row r="31">
      <c r="A31" s="2">
        <f>IFERROR(__xludf.DUMMYFUNCTION("""COMPUTED_VALUE"""),45292.0)</f>
        <v>45292</v>
      </c>
      <c r="B31" s="1" t="str">
        <f>IFERROR(__xludf.DUMMYFUNCTION("""COMPUTED_VALUE"""),"4.541 €/m2")</f>
        <v>4.541 €/m2</v>
      </c>
      <c r="C31" s="1" t="str">
        <f>IFERROR(__xludf.DUMMYFUNCTION("""COMPUTED_VALUE"""),"+ 0,4 %")</f>
        <v>+ 0,4 %</v>
      </c>
      <c r="D31" s="1" t="str">
        <f>IFERROR(__xludf.DUMMYFUNCTION("""COMPUTED_VALUE"""),"+ 0,7 %")</f>
        <v>+ 0,7 %</v>
      </c>
      <c r="E31" s="1" t="str">
        <f>IFERROR(__xludf.DUMMYFUNCTION("""COMPUTED_VALUE"""),"+ 4,8 %")</f>
        <v>+ 4,8 %</v>
      </c>
    </row>
    <row r="32">
      <c r="A32" s="2">
        <f>IFERROR(__xludf.DUMMYFUNCTION("""COMPUTED_VALUE"""),45261.0)</f>
        <v>45261</v>
      </c>
      <c r="B32" s="1" t="str">
        <f>IFERROR(__xludf.DUMMYFUNCTION("""COMPUTED_VALUE"""),"4.524 €/m2")</f>
        <v>4.524 €/m2</v>
      </c>
      <c r="C32" s="1" t="str">
        <f>IFERROR(__xludf.DUMMYFUNCTION("""COMPUTED_VALUE"""),"+ 0,5 %")</f>
        <v>+ 0,5 %</v>
      </c>
      <c r="D32" s="1" t="str">
        <f>IFERROR(__xludf.DUMMYFUNCTION("""COMPUTED_VALUE"""),"+ 0,9 %")</f>
        <v>+ 0,9 %</v>
      </c>
      <c r="E32" s="1" t="str">
        <f>IFERROR(__xludf.DUMMYFUNCTION("""COMPUTED_VALUE"""),"+ 4,5 %")</f>
        <v>+ 4,5 %</v>
      </c>
    </row>
    <row r="33">
      <c r="A33" s="2">
        <f>IFERROR(__xludf.DUMMYFUNCTION("""COMPUTED_VALUE"""),45231.0)</f>
        <v>45231</v>
      </c>
      <c r="B33" s="1" t="str">
        <f>IFERROR(__xludf.DUMMYFUNCTION("""COMPUTED_VALUE"""),"4.501 €/m2")</f>
        <v>4.501 €/m2</v>
      </c>
      <c r="C33" s="1" t="str">
        <f>IFERROR(__xludf.DUMMYFUNCTION("""COMPUTED_VALUE"""),"- 0,2 %")</f>
        <v>- 0,2 %</v>
      </c>
      <c r="D33" s="1" t="str">
        <f>IFERROR(__xludf.DUMMYFUNCTION("""COMPUTED_VALUE"""),"+ 0,3 %")</f>
        <v>+ 0,3 %</v>
      </c>
      <c r="E33" s="1" t="str">
        <f>IFERROR(__xludf.DUMMYFUNCTION("""COMPUTED_VALUE"""),"+ 3,9 %")</f>
        <v>+ 3,9 %</v>
      </c>
    </row>
    <row r="34">
      <c r="A34" s="2">
        <f>IFERROR(__xludf.DUMMYFUNCTION("""COMPUTED_VALUE"""),45200.0)</f>
        <v>45200</v>
      </c>
      <c r="B34" s="1" t="str">
        <f>IFERROR(__xludf.DUMMYFUNCTION("""COMPUTED_VALUE"""),"4.510 €/m2")</f>
        <v>4.510 €/m2</v>
      </c>
      <c r="C34" s="1" t="str">
        <f>IFERROR(__xludf.DUMMYFUNCTION("""COMPUTED_VALUE"""),"+ 0,5 %")</f>
        <v>+ 0,5 %</v>
      </c>
      <c r="D34" s="1" t="str">
        <f>IFERROR(__xludf.DUMMYFUNCTION("""COMPUTED_VALUE"""),"+ 1,3 %")</f>
        <v>+ 1,3 %</v>
      </c>
      <c r="E34" s="1" t="str">
        <f>IFERROR(__xludf.DUMMYFUNCTION("""COMPUTED_VALUE"""),"+ 4,7 %")</f>
        <v>+ 4,7 %</v>
      </c>
    </row>
    <row r="35">
      <c r="A35" s="2">
        <f>IFERROR(__xludf.DUMMYFUNCTION("""COMPUTED_VALUE"""),45170.0)</f>
        <v>45170</v>
      </c>
      <c r="B35" s="1" t="str">
        <f>IFERROR(__xludf.DUMMYFUNCTION("""COMPUTED_VALUE"""),"4.485 €/m2")</f>
        <v>4.485 €/m2</v>
      </c>
      <c r="C35" s="1" t="str">
        <f>IFERROR(__xludf.DUMMYFUNCTION("""COMPUTED_VALUE"""),"0,0 %")</f>
        <v>0,0 %</v>
      </c>
      <c r="D35" s="1" t="str">
        <f>IFERROR(__xludf.DUMMYFUNCTION("""COMPUTED_VALUE"""),"+ 2,1 %")</f>
        <v>+ 2,1 %</v>
      </c>
      <c r="E35" s="1" t="str">
        <f>IFERROR(__xludf.DUMMYFUNCTION("""COMPUTED_VALUE"""),"+ 5,2 %")</f>
        <v>+ 5,2 %</v>
      </c>
    </row>
    <row r="36">
      <c r="A36" s="2">
        <f>IFERROR(__xludf.DUMMYFUNCTION("""COMPUTED_VALUE"""),45139.0)</f>
        <v>45139</v>
      </c>
      <c r="B36" s="1" t="str">
        <f>IFERROR(__xludf.DUMMYFUNCTION("""COMPUTED_VALUE"""),"4.488 €/m2")</f>
        <v>4.488 €/m2</v>
      </c>
      <c r="C36" s="1" t="str">
        <f>IFERROR(__xludf.DUMMYFUNCTION("""COMPUTED_VALUE"""),"+ 0,8 %")</f>
        <v>+ 0,8 %</v>
      </c>
      <c r="D36" s="1" t="str">
        <f>IFERROR(__xludf.DUMMYFUNCTION("""COMPUTED_VALUE"""),"+ 2,1 %")</f>
        <v>+ 2,1 %</v>
      </c>
      <c r="E36" s="1" t="str">
        <f>IFERROR(__xludf.DUMMYFUNCTION("""COMPUTED_VALUE"""),"+ 4,3 %")</f>
        <v>+ 4,3 %</v>
      </c>
    </row>
    <row r="37">
      <c r="A37" s="2">
        <f>IFERROR(__xludf.DUMMYFUNCTION("""COMPUTED_VALUE"""),45108.0)</f>
        <v>45108</v>
      </c>
      <c r="B37" s="1" t="str">
        <f>IFERROR(__xludf.DUMMYFUNCTION("""COMPUTED_VALUE"""),"4.450 €/m2")</f>
        <v>4.450 €/m2</v>
      </c>
      <c r="C37" s="1" t="str">
        <f>IFERROR(__xludf.DUMMYFUNCTION("""COMPUTED_VALUE"""),"+ 1,3 %")</f>
        <v>+ 1,3 %</v>
      </c>
      <c r="D37" s="1" t="str">
        <f>IFERROR(__xludf.DUMMYFUNCTION("""COMPUTED_VALUE"""),"+ 1,7 %")</f>
        <v>+ 1,7 %</v>
      </c>
      <c r="E37" s="1" t="str">
        <f>IFERROR(__xludf.DUMMYFUNCTION("""COMPUTED_VALUE"""),"+ 3,2 %")</f>
        <v>+ 3,2 %</v>
      </c>
    </row>
    <row r="38">
      <c r="A38" s="2">
        <f>IFERROR(__xludf.DUMMYFUNCTION("""COMPUTED_VALUE"""),45078.0)</f>
        <v>45078</v>
      </c>
      <c r="B38" s="1" t="str">
        <f>IFERROR(__xludf.DUMMYFUNCTION("""COMPUTED_VALUE"""),"4.392 €/m2")</f>
        <v>4.392 €/m2</v>
      </c>
      <c r="C38" s="1" t="str">
        <f>IFERROR(__xludf.DUMMYFUNCTION("""COMPUTED_VALUE"""),"- 0,1 %")</f>
        <v>- 0,1 %</v>
      </c>
      <c r="D38" s="1" t="str">
        <f>IFERROR(__xludf.DUMMYFUNCTION("""COMPUTED_VALUE"""),"+ 0,8 %")</f>
        <v>+ 0,8 %</v>
      </c>
      <c r="E38" s="1" t="str">
        <f>IFERROR(__xludf.DUMMYFUNCTION("""COMPUTED_VALUE"""),"+ 2,8 %")</f>
        <v>+ 2,8 %</v>
      </c>
    </row>
    <row r="39">
      <c r="A39" s="2">
        <f>IFERROR(__xludf.DUMMYFUNCTION("""COMPUTED_VALUE"""),45047.0)</f>
        <v>45047</v>
      </c>
      <c r="B39" s="1" t="str">
        <f>IFERROR(__xludf.DUMMYFUNCTION("""COMPUTED_VALUE"""),"4.396 €/m2")</f>
        <v>4.396 €/m2</v>
      </c>
      <c r="C39" s="1" t="str">
        <f>IFERROR(__xludf.DUMMYFUNCTION("""COMPUTED_VALUE"""),"+ 0,5 %")</f>
        <v>+ 0,5 %</v>
      </c>
      <c r="D39" s="1" t="str">
        <f>IFERROR(__xludf.DUMMYFUNCTION("""COMPUTED_VALUE"""),"+ 1,0 %")</f>
        <v>+ 1,0 %</v>
      </c>
      <c r="E39" s="1" t="str">
        <f>IFERROR(__xludf.DUMMYFUNCTION("""COMPUTED_VALUE"""),"+ 4,8 %")</f>
        <v>+ 4,8 %</v>
      </c>
    </row>
    <row r="40">
      <c r="A40" s="2">
        <f>IFERROR(__xludf.DUMMYFUNCTION("""COMPUTED_VALUE"""),45017.0)</f>
        <v>45017</v>
      </c>
      <c r="B40" s="1" t="str">
        <f>IFERROR(__xludf.DUMMYFUNCTION("""COMPUTED_VALUE"""),"4.376 €/m2")</f>
        <v>4.376 €/m2</v>
      </c>
      <c r="C40" s="1" t="str">
        <f>IFERROR(__xludf.DUMMYFUNCTION("""COMPUTED_VALUE"""),"+ 0,4 %")</f>
        <v>+ 0,4 %</v>
      </c>
      <c r="D40" s="1" t="str">
        <f>IFERROR(__xludf.DUMMYFUNCTION("""COMPUTED_VALUE"""),"+ 1,0 %")</f>
        <v>+ 1,0 %</v>
      </c>
      <c r="E40" s="1" t="str">
        <f>IFERROR(__xludf.DUMMYFUNCTION("""COMPUTED_VALUE"""),"+ 4,4 %")</f>
        <v>+ 4,4 %</v>
      </c>
    </row>
    <row r="41">
      <c r="A41" s="2">
        <f>IFERROR(__xludf.DUMMYFUNCTION("""COMPUTED_VALUE"""),44986.0)</f>
        <v>44986</v>
      </c>
      <c r="B41" s="1" t="str">
        <f>IFERROR(__xludf.DUMMYFUNCTION("""COMPUTED_VALUE"""),"4.358 €/m2")</f>
        <v>4.358 €/m2</v>
      </c>
      <c r="C41" s="1" t="str">
        <f>IFERROR(__xludf.DUMMYFUNCTION("""COMPUTED_VALUE"""),"+ 0,1 %")</f>
        <v>+ 0,1 %</v>
      </c>
      <c r="D41" s="1" t="str">
        <f>IFERROR(__xludf.DUMMYFUNCTION("""COMPUTED_VALUE"""),"+ 0,6 %")</f>
        <v>+ 0,6 %</v>
      </c>
      <c r="E41" s="1" t="str">
        <f>IFERROR(__xludf.DUMMYFUNCTION("""COMPUTED_VALUE"""),"+ 5,4 %")</f>
        <v>+ 5,4 %</v>
      </c>
    </row>
    <row r="42">
      <c r="A42" s="2">
        <f>IFERROR(__xludf.DUMMYFUNCTION("""COMPUTED_VALUE"""),44958.0)</f>
        <v>44958</v>
      </c>
      <c r="B42" s="1" t="str">
        <f>IFERROR(__xludf.DUMMYFUNCTION("""COMPUTED_VALUE"""),"4.354 €/m2")</f>
        <v>4.354 €/m2</v>
      </c>
      <c r="C42" s="1" t="str">
        <f>IFERROR(__xludf.DUMMYFUNCTION("""COMPUTED_VALUE"""),"+ 0,5 %")</f>
        <v>+ 0,5 %</v>
      </c>
      <c r="D42" s="1" t="str">
        <f>IFERROR(__xludf.DUMMYFUNCTION("""COMPUTED_VALUE"""),"+ 0,5 %")</f>
        <v>+ 0,5 %</v>
      </c>
      <c r="E42" s="1" t="str">
        <f>IFERROR(__xludf.DUMMYFUNCTION("""COMPUTED_VALUE"""),"+ 5,1 %")</f>
        <v>+ 5,1 %</v>
      </c>
    </row>
    <row r="43">
      <c r="A43" s="2">
        <f>IFERROR(__xludf.DUMMYFUNCTION("""COMPUTED_VALUE"""),44927.0)</f>
        <v>44927</v>
      </c>
      <c r="B43" s="1" t="str">
        <f>IFERROR(__xludf.DUMMYFUNCTION("""COMPUTED_VALUE"""),"4.333 €/m2")</f>
        <v>4.333 €/m2</v>
      </c>
      <c r="C43" s="1" t="str">
        <f>IFERROR(__xludf.DUMMYFUNCTION("""COMPUTED_VALUE"""),"+ 0,1 %")</f>
        <v>+ 0,1 %</v>
      </c>
      <c r="D43" s="1" t="str">
        <f>IFERROR(__xludf.DUMMYFUNCTION("""COMPUTED_VALUE"""),"+ 0,6 %")</f>
        <v>+ 0,6 %</v>
      </c>
      <c r="E43" s="1" t="str">
        <f>IFERROR(__xludf.DUMMYFUNCTION("""COMPUTED_VALUE"""),"+ 6,3 %")</f>
        <v>+ 6,3 %</v>
      </c>
    </row>
    <row r="44">
      <c r="A44" s="2">
        <f>IFERROR(__xludf.DUMMYFUNCTION("""COMPUTED_VALUE"""),44896.0)</f>
        <v>44896</v>
      </c>
      <c r="B44" s="1" t="str">
        <f>IFERROR(__xludf.DUMMYFUNCTION("""COMPUTED_VALUE"""),"4.331 €/m2")</f>
        <v>4.331 €/m2</v>
      </c>
      <c r="C44" s="1" t="str">
        <f>IFERROR(__xludf.DUMMYFUNCTION("""COMPUTED_VALUE"""),"0,0 %")</f>
        <v>0,0 %</v>
      </c>
      <c r="D44" s="1" t="str">
        <f>IFERROR(__xludf.DUMMYFUNCTION("""COMPUTED_VALUE"""),"+ 1,5 %")</f>
        <v>+ 1,5 %</v>
      </c>
      <c r="E44" s="1" t="str">
        <f>IFERROR(__xludf.DUMMYFUNCTION("""COMPUTED_VALUE"""),"+ 6,1 %")</f>
        <v>+ 6,1 %</v>
      </c>
    </row>
    <row r="45">
      <c r="A45" s="2">
        <f>IFERROR(__xludf.DUMMYFUNCTION("""COMPUTED_VALUE"""),44866.0)</f>
        <v>44866</v>
      </c>
      <c r="B45" s="1" t="str">
        <f>IFERROR(__xludf.DUMMYFUNCTION("""COMPUTED_VALUE"""),"4.331 €/m2")</f>
        <v>4.331 €/m2</v>
      </c>
      <c r="C45" s="1" t="str">
        <f>IFERROR(__xludf.DUMMYFUNCTION("""COMPUTED_VALUE"""),"+ 0,5 %")</f>
        <v>+ 0,5 %</v>
      </c>
      <c r="D45" s="1" t="str">
        <f>IFERROR(__xludf.DUMMYFUNCTION("""COMPUTED_VALUE"""),"+ 0,6 %")</f>
        <v>+ 0,6 %</v>
      </c>
      <c r="E45" s="1" t="str">
        <f>IFERROR(__xludf.DUMMYFUNCTION("""COMPUTED_VALUE"""),"+ 6,1 %")</f>
        <v>+ 6,1 %</v>
      </c>
    </row>
    <row r="46">
      <c r="A46" s="2">
        <f>IFERROR(__xludf.DUMMYFUNCTION("""COMPUTED_VALUE"""),44835.0)</f>
        <v>44835</v>
      </c>
      <c r="B46" s="1" t="str">
        <f>IFERROR(__xludf.DUMMYFUNCTION("""COMPUTED_VALUE"""),"4.308 €/m2")</f>
        <v>4.308 €/m2</v>
      </c>
      <c r="C46" s="1" t="str">
        <f>IFERROR(__xludf.DUMMYFUNCTION("""COMPUTED_VALUE"""),"+ 1,0 %")</f>
        <v>+ 1,0 %</v>
      </c>
      <c r="D46" s="1" t="str">
        <f>IFERROR(__xludf.DUMMYFUNCTION("""COMPUTED_VALUE"""),"- 0,1 %")</f>
        <v>- 0,1 %</v>
      </c>
      <c r="E46" s="1" t="str">
        <f>IFERROR(__xludf.DUMMYFUNCTION("""COMPUTED_VALUE"""),"+ 4,6 %")</f>
        <v>+ 4,6 %</v>
      </c>
    </row>
    <row r="47">
      <c r="A47" s="2">
        <f>IFERROR(__xludf.DUMMYFUNCTION("""COMPUTED_VALUE"""),44805.0)</f>
        <v>44805</v>
      </c>
      <c r="B47" s="1" t="str">
        <f>IFERROR(__xludf.DUMMYFUNCTION("""COMPUTED_VALUE"""),"4.265 €/m2")</f>
        <v>4.265 €/m2</v>
      </c>
      <c r="C47" s="1" t="str">
        <f>IFERROR(__xludf.DUMMYFUNCTION("""COMPUTED_VALUE"""),"- 0,9 %")</f>
        <v>- 0,9 %</v>
      </c>
      <c r="D47" s="1" t="str">
        <f>IFERROR(__xludf.DUMMYFUNCTION("""COMPUTED_VALUE"""),"- 0,2 %")</f>
        <v>- 0,2 %</v>
      </c>
      <c r="E47" s="1" t="str">
        <f>IFERROR(__xludf.DUMMYFUNCTION("""COMPUTED_VALUE"""),"+ 4,2 %")</f>
        <v>+ 4,2 %</v>
      </c>
    </row>
    <row r="48">
      <c r="A48" s="2">
        <f>IFERROR(__xludf.DUMMYFUNCTION("""COMPUTED_VALUE"""),44774.0)</f>
        <v>44774</v>
      </c>
      <c r="B48" s="1" t="str">
        <f>IFERROR(__xludf.DUMMYFUNCTION("""COMPUTED_VALUE"""),"4.303 €/m2")</f>
        <v>4.303 €/m2</v>
      </c>
      <c r="C48" s="1" t="str">
        <f>IFERROR(__xludf.DUMMYFUNCTION("""COMPUTED_VALUE"""),"- 0,2 %")</f>
        <v>- 0,2 %</v>
      </c>
      <c r="D48" s="1" t="str">
        <f>IFERROR(__xludf.DUMMYFUNCTION("""COMPUTED_VALUE"""),"+ 2,6 %")</f>
        <v>+ 2,6 %</v>
      </c>
      <c r="E48" s="1" t="str">
        <f>IFERROR(__xludf.DUMMYFUNCTION("""COMPUTED_VALUE"""),"+ 7,3 %")</f>
        <v>+ 7,3 %</v>
      </c>
    </row>
    <row r="49">
      <c r="A49" s="2">
        <f>IFERROR(__xludf.DUMMYFUNCTION("""COMPUTED_VALUE"""),44743.0)</f>
        <v>44743</v>
      </c>
      <c r="B49" s="1" t="str">
        <f>IFERROR(__xludf.DUMMYFUNCTION("""COMPUTED_VALUE"""),"4.311 €/m2")</f>
        <v>4.311 €/m2</v>
      </c>
      <c r="C49" s="1" t="str">
        <f>IFERROR(__xludf.DUMMYFUNCTION("""COMPUTED_VALUE"""),"+ 0,9 %")</f>
        <v>+ 0,9 %</v>
      </c>
      <c r="D49" s="1" t="str">
        <f>IFERROR(__xludf.DUMMYFUNCTION("""COMPUTED_VALUE"""),"+ 2,8 %")</f>
        <v>+ 2,8 %</v>
      </c>
      <c r="E49" s="1" t="str">
        <f>IFERROR(__xludf.DUMMYFUNCTION("""COMPUTED_VALUE"""),"+ 6,6 %")</f>
        <v>+ 6,6 %</v>
      </c>
    </row>
    <row r="50">
      <c r="A50" s="2">
        <f>IFERROR(__xludf.DUMMYFUNCTION("""COMPUTED_VALUE"""),44713.0)</f>
        <v>44713</v>
      </c>
      <c r="B50" s="1" t="str">
        <f>IFERROR(__xludf.DUMMYFUNCTION("""COMPUTED_VALUE"""),"4.272 €/m2")</f>
        <v>4.272 €/m2</v>
      </c>
      <c r="C50" s="1" t="str">
        <f>IFERROR(__xludf.DUMMYFUNCTION("""COMPUTED_VALUE"""),"+ 1,8 %")</f>
        <v>+ 1,8 %</v>
      </c>
      <c r="D50" s="1" t="str">
        <f>IFERROR(__xludf.DUMMYFUNCTION("""COMPUTED_VALUE"""),"+ 3,3 %")</f>
        <v>+ 3,3 %</v>
      </c>
      <c r="E50" s="1" t="str">
        <f>IFERROR(__xludf.DUMMYFUNCTION("""COMPUTED_VALUE"""),"+ 5,0 %")</f>
        <v>+ 5,0 %</v>
      </c>
    </row>
    <row r="51">
      <c r="A51" s="2">
        <f>IFERROR(__xludf.DUMMYFUNCTION("""COMPUTED_VALUE"""),44682.0)</f>
        <v>44682</v>
      </c>
      <c r="B51" s="1" t="str">
        <f>IFERROR(__xludf.DUMMYFUNCTION("""COMPUTED_VALUE"""),"4.195 €/m2")</f>
        <v>4.195 €/m2</v>
      </c>
      <c r="C51" s="1" t="str">
        <f>IFERROR(__xludf.DUMMYFUNCTION("""COMPUTED_VALUE"""),"+ 0,1 %")</f>
        <v>+ 0,1 %</v>
      </c>
      <c r="D51" s="1" t="str">
        <f>IFERROR(__xludf.DUMMYFUNCTION("""COMPUTED_VALUE"""),"+ 1,2 %")</f>
        <v>+ 1,2 %</v>
      </c>
      <c r="E51" s="1" t="str">
        <f>IFERROR(__xludf.DUMMYFUNCTION("""COMPUTED_VALUE"""),"+ 4,2 %")</f>
        <v>+ 4,2 %</v>
      </c>
    </row>
    <row r="52">
      <c r="A52" s="2">
        <f>IFERROR(__xludf.DUMMYFUNCTION("""COMPUTED_VALUE"""),44652.0)</f>
        <v>44652</v>
      </c>
      <c r="B52" s="1" t="str">
        <f>IFERROR(__xludf.DUMMYFUNCTION("""COMPUTED_VALUE"""),"4.192 €/m2")</f>
        <v>4.192 €/m2</v>
      </c>
      <c r="C52" s="1" t="str">
        <f>IFERROR(__xludf.DUMMYFUNCTION("""COMPUTED_VALUE"""),"+ 1,4 %")</f>
        <v>+ 1,4 %</v>
      </c>
      <c r="D52" s="1" t="str">
        <f>IFERROR(__xludf.DUMMYFUNCTION("""COMPUTED_VALUE"""),"+ 2,8 %")</f>
        <v>+ 2,8 %</v>
      </c>
      <c r="E52" s="1" t="str">
        <f>IFERROR(__xludf.DUMMYFUNCTION("""COMPUTED_VALUE"""),"+ 5,8 %")</f>
        <v>+ 5,8 %</v>
      </c>
    </row>
    <row r="53">
      <c r="A53" s="2">
        <f>IFERROR(__xludf.DUMMYFUNCTION("""COMPUTED_VALUE"""),44621.0)</f>
        <v>44621</v>
      </c>
      <c r="B53" s="1" t="str">
        <f>IFERROR(__xludf.DUMMYFUNCTION("""COMPUTED_VALUE"""),"4.136 €/m2")</f>
        <v>4.136 €/m2</v>
      </c>
      <c r="C53" s="1" t="str">
        <f>IFERROR(__xludf.DUMMYFUNCTION("""COMPUTED_VALUE"""),"- 0,2 %")</f>
        <v>- 0,2 %</v>
      </c>
      <c r="D53" s="1" t="str">
        <f>IFERROR(__xludf.DUMMYFUNCTION("""COMPUTED_VALUE"""),"+ 1,3 %")</f>
        <v>+ 1,3 %</v>
      </c>
      <c r="E53" s="1" t="str">
        <f>IFERROR(__xludf.DUMMYFUNCTION("""COMPUTED_VALUE"""),"+ 4,0 %")</f>
        <v>+ 4,0 %</v>
      </c>
    </row>
    <row r="54">
      <c r="A54" s="2">
        <f>IFERROR(__xludf.DUMMYFUNCTION("""COMPUTED_VALUE"""),44593.0)</f>
        <v>44593</v>
      </c>
      <c r="B54" s="1" t="str">
        <f>IFERROR(__xludf.DUMMYFUNCTION("""COMPUTED_VALUE"""),"4.144 €/m2")</f>
        <v>4.144 €/m2</v>
      </c>
      <c r="C54" s="1" t="str">
        <f>IFERROR(__xludf.DUMMYFUNCTION("""COMPUTED_VALUE"""),"+ 1,6 %")</f>
        <v>+ 1,6 %</v>
      </c>
      <c r="D54" s="1" t="str">
        <f>IFERROR(__xludf.DUMMYFUNCTION("""COMPUTED_VALUE"""),"+ 1,6 %")</f>
        <v>+ 1,6 %</v>
      </c>
      <c r="E54" s="1" t="str">
        <f>IFERROR(__xludf.DUMMYFUNCTION("""COMPUTED_VALUE"""),"+ 4,2 %")</f>
        <v>+ 4,2 %</v>
      </c>
    </row>
    <row r="55">
      <c r="A55" s="2">
        <f>IFERROR(__xludf.DUMMYFUNCTION("""COMPUTED_VALUE"""),44562.0)</f>
        <v>44562</v>
      </c>
      <c r="B55" s="1" t="str">
        <f>IFERROR(__xludf.DUMMYFUNCTION("""COMPUTED_VALUE"""),"4.077 €/m2")</f>
        <v>4.077 €/m2</v>
      </c>
      <c r="C55" s="1" t="str">
        <f>IFERROR(__xludf.DUMMYFUNCTION("""COMPUTED_VALUE"""),"- 0,1 %")</f>
        <v>- 0,1 %</v>
      </c>
      <c r="D55" s="1" t="str">
        <f>IFERROR(__xludf.DUMMYFUNCTION("""COMPUTED_VALUE"""),"- 1,0 %")</f>
        <v>- 1,0 %</v>
      </c>
      <c r="E55" s="1" t="str">
        <f>IFERROR(__xludf.DUMMYFUNCTION("""COMPUTED_VALUE"""),"+ 2,5 %")</f>
        <v>+ 2,5 %</v>
      </c>
    </row>
    <row r="56">
      <c r="A56" s="2">
        <f>IFERROR(__xludf.DUMMYFUNCTION("""COMPUTED_VALUE"""),44531.0)</f>
        <v>44531</v>
      </c>
      <c r="B56" s="1" t="str">
        <f>IFERROR(__xludf.DUMMYFUNCTION("""COMPUTED_VALUE"""),"4.083 €/m2")</f>
        <v>4.083 €/m2</v>
      </c>
      <c r="C56" s="1" t="str">
        <f>IFERROR(__xludf.DUMMYFUNCTION("""COMPUTED_VALUE"""),"+ 0,1 %")</f>
        <v>+ 0,1 %</v>
      </c>
      <c r="D56" s="1" t="str">
        <f>IFERROR(__xludf.DUMMYFUNCTION("""COMPUTED_VALUE"""),"- 0,2 %")</f>
        <v>- 0,2 %</v>
      </c>
      <c r="E56" s="1" t="str">
        <f>IFERROR(__xludf.DUMMYFUNCTION("""COMPUTED_VALUE"""),"+ 3,4 %")</f>
        <v>+ 3,4 %</v>
      </c>
    </row>
    <row r="57">
      <c r="A57" s="2">
        <f>IFERROR(__xludf.DUMMYFUNCTION("""COMPUTED_VALUE"""),44501.0)</f>
        <v>44501</v>
      </c>
      <c r="B57" s="1" t="str">
        <f>IFERROR(__xludf.DUMMYFUNCTION("""COMPUTED_VALUE"""),"4.081 €/m2")</f>
        <v>4.081 €/m2</v>
      </c>
      <c r="C57" s="1" t="str">
        <f>IFERROR(__xludf.DUMMYFUNCTION("""COMPUTED_VALUE"""),"- 0,9 %")</f>
        <v>- 0,9 %</v>
      </c>
      <c r="D57" s="1" t="str">
        <f>IFERROR(__xludf.DUMMYFUNCTION("""COMPUTED_VALUE"""),"+ 1,8 %")</f>
        <v>+ 1,8 %</v>
      </c>
      <c r="E57" s="1" t="str">
        <f>IFERROR(__xludf.DUMMYFUNCTION("""COMPUTED_VALUE"""),"+ 3,4 %")</f>
        <v>+ 3,4 %</v>
      </c>
    </row>
    <row r="58">
      <c r="A58" s="2">
        <f>IFERROR(__xludf.DUMMYFUNCTION("""COMPUTED_VALUE"""),44470.0)</f>
        <v>44470</v>
      </c>
      <c r="B58" s="1" t="str">
        <f>IFERROR(__xludf.DUMMYFUNCTION("""COMPUTED_VALUE"""),"4.119 €/m2")</f>
        <v>4.119 €/m2</v>
      </c>
      <c r="C58" s="1" t="str">
        <f>IFERROR(__xludf.DUMMYFUNCTION("""COMPUTED_VALUE"""),"+ 0,7 %")</f>
        <v>+ 0,7 %</v>
      </c>
      <c r="D58" s="1" t="str">
        <f>IFERROR(__xludf.DUMMYFUNCTION("""COMPUTED_VALUE"""),"+ 1,8 %")</f>
        <v>+ 1,8 %</v>
      </c>
      <c r="E58" s="1" t="str">
        <f>IFERROR(__xludf.DUMMYFUNCTION("""COMPUTED_VALUE"""),"+ 4,0 %")</f>
        <v>+ 4,0 %</v>
      </c>
    </row>
    <row r="59">
      <c r="A59" s="2">
        <f>IFERROR(__xludf.DUMMYFUNCTION("""COMPUTED_VALUE"""),44440.0)</f>
        <v>44440</v>
      </c>
      <c r="B59" s="1" t="str">
        <f>IFERROR(__xludf.DUMMYFUNCTION("""COMPUTED_VALUE"""),"4.092 €/m2")</f>
        <v>4.092 €/m2</v>
      </c>
      <c r="C59" s="1" t="str">
        <f>IFERROR(__xludf.DUMMYFUNCTION("""COMPUTED_VALUE"""),"+ 2,1 %")</f>
        <v>+ 2,1 %</v>
      </c>
      <c r="D59" s="1" t="str">
        <f>IFERROR(__xludf.DUMMYFUNCTION("""COMPUTED_VALUE"""),"+ 0,5 %")</f>
        <v>+ 0,5 %</v>
      </c>
      <c r="E59" s="1" t="str">
        <f>IFERROR(__xludf.DUMMYFUNCTION("""COMPUTED_VALUE"""),"+ 2,9 %")</f>
        <v>+ 2,9 %</v>
      </c>
    </row>
    <row r="60">
      <c r="A60" s="2">
        <f>IFERROR(__xludf.DUMMYFUNCTION("""COMPUTED_VALUE"""),44409.0)</f>
        <v>44409</v>
      </c>
      <c r="B60" s="1" t="str">
        <f>IFERROR(__xludf.DUMMYFUNCTION("""COMPUTED_VALUE"""),"4.009 €/m2")</f>
        <v>4.009 €/m2</v>
      </c>
      <c r="C60" s="1" t="str">
        <f>IFERROR(__xludf.DUMMYFUNCTION("""COMPUTED_VALUE"""),"- 0,9 %")</f>
        <v>- 0,9 %</v>
      </c>
      <c r="D60" s="1" t="str">
        <f>IFERROR(__xludf.DUMMYFUNCTION("""COMPUTED_VALUE"""),"- 0,4 %")</f>
        <v>- 0,4 %</v>
      </c>
      <c r="E60" s="1" t="str">
        <f>IFERROR(__xludf.DUMMYFUNCTION("""COMPUTED_VALUE"""),"+ 0,7 %")</f>
        <v>+ 0,7 %</v>
      </c>
    </row>
    <row r="61">
      <c r="A61" s="2">
        <f>IFERROR(__xludf.DUMMYFUNCTION("""COMPUTED_VALUE"""),44378.0)</f>
        <v>44378</v>
      </c>
      <c r="B61" s="1" t="str">
        <f>IFERROR(__xludf.DUMMYFUNCTION("""COMPUTED_VALUE"""),"4.045 €/m2")</f>
        <v>4.045 €/m2</v>
      </c>
      <c r="C61" s="1" t="str">
        <f>IFERROR(__xludf.DUMMYFUNCTION("""COMPUTED_VALUE"""),"- 0,6 %")</f>
        <v>- 0,6 %</v>
      </c>
      <c r="D61" s="1" t="str">
        <f>IFERROR(__xludf.DUMMYFUNCTION("""COMPUTED_VALUE"""),"+ 2,1 %")</f>
        <v>+ 2,1 %</v>
      </c>
      <c r="E61" s="1" t="str">
        <f>IFERROR(__xludf.DUMMYFUNCTION("""COMPUTED_VALUE"""),"+ 1,6 %")</f>
        <v>+ 1,6 %</v>
      </c>
    </row>
    <row r="62">
      <c r="A62" s="2">
        <f>IFERROR(__xludf.DUMMYFUNCTION("""COMPUTED_VALUE"""),44348.0)</f>
        <v>44348</v>
      </c>
      <c r="B62" s="1" t="str">
        <f>IFERROR(__xludf.DUMMYFUNCTION("""COMPUTED_VALUE"""),"4.070 €/m2")</f>
        <v>4.070 €/m2</v>
      </c>
      <c r="C62" s="1" t="str">
        <f>IFERROR(__xludf.DUMMYFUNCTION("""COMPUTED_VALUE"""),"+ 1,1 %")</f>
        <v>+ 1,1 %</v>
      </c>
      <c r="D62" s="1" t="str">
        <f>IFERROR(__xludf.DUMMYFUNCTION("""COMPUTED_VALUE"""),"+ 2,3 %")</f>
        <v>+ 2,3 %</v>
      </c>
      <c r="E62" s="1" t="str">
        <f>IFERROR(__xludf.DUMMYFUNCTION("""COMPUTED_VALUE"""),"+ 1,4 %")</f>
        <v>+ 1,4 %</v>
      </c>
    </row>
    <row r="63">
      <c r="A63" s="2">
        <f>IFERROR(__xludf.DUMMYFUNCTION("""COMPUTED_VALUE"""),44317.0)</f>
        <v>44317</v>
      </c>
      <c r="B63" s="1" t="str">
        <f>IFERROR(__xludf.DUMMYFUNCTION("""COMPUTED_VALUE"""),"4.025 €/m2")</f>
        <v>4.025 €/m2</v>
      </c>
      <c r="C63" s="1" t="str">
        <f>IFERROR(__xludf.DUMMYFUNCTION("""COMPUTED_VALUE"""),"+ 1,6 %")</f>
        <v>+ 1,6 %</v>
      </c>
      <c r="D63" s="1" t="str">
        <f>IFERROR(__xludf.DUMMYFUNCTION("""COMPUTED_VALUE"""),"+ 1,2 %")</f>
        <v>+ 1,2 %</v>
      </c>
      <c r="E63" s="1" t="str">
        <f>IFERROR(__xludf.DUMMYFUNCTION("""COMPUTED_VALUE"""),"+ 0,4 %")</f>
        <v>+ 0,4 %</v>
      </c>
    </row>
    <row r="64">
      <c r="A64" s="2">
        <f>IFERROR(__xludf.DUMMYFUNCTION("""COMPUTED_VALUE"""),44287.0)</f>
        <v>44287</v>
      </c>
      <c r="B64" s="1" t="str">
        <f>IFERROR(__xludf.DUMMYFUNCTION("""COMPUTED_VALUE"""),"3.962 €/m2")</f>
        <v>3.962 €/m2</v>
      </c>
      <c r="C64" s="1" t="str">
        <f>IFERROR(__xludf.DUMMYFUNCTION("""COMPUTED_VALUE"""),"- 0,4 %")</f>
        <v>- 0,4 %</v>
      </c>
      <c r="D64" s="1" t="str">
        <f>IFERROR(__xludf.DUMMYFUNCTION("""COMPUTED_VALUE"""),"- 0,4 %")</f>
        <v>- 0,4 %</v>
      </c>
      <c r="E64" s="1" t="str">
        <f>IFERROR(__xludf.DUMMYFUNCTION("""COMPUTED_VALUE"""),"- 1,2 %")</f>
        <v>- 1,2 %</v>
      </c>
    </row>
    <row r="65">
      <c r="A65" s="2">
        <f>IFERROR(__xludf.DUMMYFUNCTION("""COMPUTED_VALUE"""),44256.0)</f>
        <v>44256</v>
      </c>
      <c r="B65" s="1" t="str">
        <f>IFERROR(__xludf.DUMMYFUNCTION("""COMPUTED_VALUE"""),"3.978 €/m2")</f>
        <v>3.978 €/m2</v>
      </c>
      <c r="C65" s="1" t="str">
        <f>IFERROR(__xludf.DUMMYFUNCTION("""COMPUTED_VALUE"""),"0,0 %")</f>
        <v>0,0 %</v>
      </c>
      <c r="D65" s="1" t="str">
        <f>IFERROR(__xludf.DUMMYFUNCTION("""COMPUTED_VALUE"""),"+ 0,7 %")</f>
        <v>+ 0,7 %</v>
      </c>
      <c r="E65" s="1" t="str">
        <f>IFERROR(__xludf.DUMMYFUNCTION("""COMPUTED_VALUE"""),"- 1,1 %")</f>
        <v>- 1,1 %</v>
      </c>
    </row>
    <row r="66">
      <c r="A66" s="2">
        <f>IFERROR(__xludf.DUMMYFUNCTION("""COMPUTED_VALUE"""),44228.0)</f>
        <v>44228</v>
      </c>
      <c r="B66" s="1" t="str">
        <f>IFERROR(__xludf.DUMMYFUNCTION("""COMPUTED_VALUE"""),"3.977 €/m2")</f>
        <v>3.977 €/m2</v>
      </c>
      <c r="C66" s="1" t="str">
        <f>IFERROR(__xludf.DUMMYFUNCTION("""COMPUTED_VALUE"""),"- 0,1 %")</f>
        <v>- 0,1 %</v>
      </c>
      <c r="D66" s="1" t="str">
        <f>IFERROR(__xludf.DUMMYFUNCTION("""COMPUTED_VALUE"""),"+ 0,7 %")</f>
        <v>+ 0,7 %</v>
      </c>
      <c r="E66" s="1" t="str">
        <f>IFERROR(__xludf.DUMMYFUNCTION("""COMPUTED_VALUE"""),"- 0,3 %")</f>
        <v>- 0,3 %</v>
      </c>
    </row>
    <row r="67">
      <c r="A67" s="2">
        <f>IFERROR(__xludf.DUMMYFUNCTION("""COMPUTED_VALUE"""),44197.0)</f>
        <v>44197</v>
      </c>
      <c r="B67" s="1" t="str">
        <f>IFERROR(__xludf.DUMMYFUNCTION("""COMPUTED_VALUE"""),"3.979 €/m2")</f>
        <v>3.979 €/m2</v>
      </c>
      <c r="C67" s="1" t="str">
        <f>IFERROR(__xludf.DUMMYFUNCTION("""COMPUTED_VALUE"""),"+ 0,8 %")</f>
        <v>+ 0,8 %</v>
      </c>
      <c r="D67" s="1" t="str">
        <f>IFERROR(__xludf.DUMMYFUNCTION("""COMPUTED_VALUE"""),"+ 0,5 %")</f>
        <v>+ 0,5 %</v>
      </c>
      <c r="E67" s="1" t="str">
        <f>IFERROR(__xludf.DUMMYFUNCTION("""COMPUTED_VALUE"""),"- 0,5 %")</f>
        <v>- 0,5 %</v>
      </c>
    </row>
    <row r="68">
      <c r="A68" s="2">
        <f>IFERROR(__xludf.DUMMYFUNCTION("""COMPUTED_VALUE"""),44166.0)</f>
        <v>44166</v>
      </c>
      <c r="B68" s="1" t="str">
        <f>IFERROR(__xludf.DUMMYFUNCTION("""COMPUTED_VALUE"""),"3.949 €/m2")</f>
        <v>3.949 €/m2</v>
      </c>
      <c r="C68" s="1" t="str">
        <f>IFERROR(__xludf.DUMMYFUNCTION("""COMPUTED_VALUE"""),"0,0 %")</f>
        <v>0,0 %</v>
      </c>
      <c r="D68" s="1" t="str">
        <f>IFERROR(__xludf.DUMMYFUNCTION("""COMPUTED_VALUE"""),"- 0,7 %")</f>
        <v>- 0,7 %</v>
      </c>
      <c r="E68" s="1" t="str">
        <f>IFERROR(__xludf.DUMMYFUNCTION("""COMPUTED_VALUE"""),"- 2,2 %")</f>
        <v>- 2,2 %</v>
      </c>
    </row>
    <row r="69">
      <c r="A69" s="2">
        <f>IFERROR(__xludf.DUMMYFUNCTION("""COMPUTED_VALUE"""),44136.0)</f>
        <v>44136</v>
      </c>
      <c r="B69" s="1" t="str">
        <f>IFERROR(__xludf.DUMMYFUNCTION("""COMPUTED_VALUE"""),"3.948 €/m2")</f>
        <v>3.948 €/m2</v>
      </c>
      <c r="C69" s="1" t="str">
        <f>IFERROR(__xludf.DUMMYFUNCTION("""COMPUTED_VALUE"""),"- 0,3 %")</f>
        <v>- 0,3 %</v>
      </c>
      <c r="D69" s="1" t="str">
        <f>IFERROR(__xludf.DUMMYFUNCTION("""COMPUTED_VALUE"""),"- 0,8 %")</f>
        <v>- 0,8 %</v>
      </c>
      <c r="E69" s="1" t="str">
        <f>IFERROR(__xludf.DUMMYFUNCTION("""COMPUTED_VALUE"""),"- 3,1 %")</f>
        <v>- 3,1 %</v>
      </c>
    </row>
    <row r="70">
      <c r="A70" s="2">
        <f>IFERROR(__xludf.DUMMYFUNCTION("""COMPUTED_VALUE"""),44105.0)</f>
        <v>44105</v>
      </c>
      <c r="B70" s="1" t="str">
        <f>IFERROR(__xludf.DUMMYFUNCTION("""COMPUTED_VALUE"""),"3.961 €/m2")</f>
        <v>3.961 €/m2</v>
      </c>
      <c r="C70" s="1" t="str">
        <f>IFERROR(__xludf.DUMMYFUNCTION("""COMPUTED_VALUE"""),"- 0,4 %")</f>
        <v>- 0,4 %</v>
      </c>
      <c r="D70" s="1" t="str">
        <f>IFERROR(__xludf.DUMMYFUNCTION("""COMPUTED_VALUE"""),"- 0,5 %")</f>
        <v>- 0,5 %</v>
      </c>
      <c r="E70" s="1" t="str">
        <f>IFERROR(__xludf.DUMMYFUNCTION("""COMPUTED_VALUE"""),"- 2,8 %")</f>
        <v>- 2,8 %</v>
      </c>
    </row>
    <row r="71">
      <c r="A71" s="2">
        <f>IFERROR(__xludf.DUMMYFUNCTION("""COMPUTED_VALUE"""),44075.0)</f>
        <v>44075</v>
      </c>
      <c r="B71" s="1" t="str">
        <f>IFERROR(__xludf.DUMMYFUNCTION("""COMPUTED_VALUE"""),"3.977 €/m2")</f>
        <v>3.977 €/m2</v>
      </c>
      <c r="C71" s="1" t="str">
        <f>IFERROR(__xludf.DUMMYFUNCTION("""COMPUTED_VALUE"""),"- 0,1 %")</f>
        <v>- 0,1 %</v>
      </c>
      <c r="D71" s="1" t="str">
        <f>IFERROR(__xludf.DUMMYFUNCTION("""COMPUTED_VALUE"""),"- 1,0 %")</f>
        <v>- 1,0 %</v>
      </c>
      <c r="E71" s="1" t="str">
        <f>IFERROR(__xludf.DUMMYFUNCTION("""COMPUTED_VALUE"""),"- 2,1 %")</f>
        <v>- 2,1 %</v>
      </c>
    </row>
    <row r="72">
      <c r="A72" s="2">
        <f>IFERROR(__xludf.DUMMYFUNCTION("""COMPUTED_VALUE"""),44044.0)</f>
        <v>44044</v>
      </c>
      <c r="B72" s="1" t="str">
        <f>IFERROR(__xludf.DUMMYFUNCTION("""COMPUTED_VALUE"""),"3.979 €/m2")</f>
        <v>3.979 €/m2</v>
      </c>
      <c r="C72" s="1" t="str">
        <f>IFERROR(__xludf.DUMMYFUNCTION("""COMPUTED_VALUE"""),"0,0 %")</f>
        <v>0,0 %</v>
      </c>
      <c r="D72" s="1" t="str">
        <f>IFERROR(__xludf.DUMMYFUNCTION("""COMPUTED_VALUE"""),"- 0,8 %")</f>
        <v>- 0,8 %</v>
      </c>
      <c r="E72" s="1" t="str">
        <f>IFERROR(__xludf.DUMMYFUNCTION("""COMPUTED_VALUE"""),"- 2,1 %")</f>
        <v>- 2,1 %</v>
      </c>
    </row>
    <row r="73">
      <c r="A73" s="2">
        <f>IFERROR(__xludf.DUMMYFUNCTION("""COMPUTED_VALUE"""),44013.0)</f>
        <v>44013</v>
      </c>
      <c r="B73" s="1" t="str">
        <f>IFERROR(__xludf.DUMMYFUNCTION("""COMPUTED_VALUE"""),"3.981 €/m2")</f>
        <v>3.981 €/m2</v>
      </c>
      <c r="C73" s="1" t="str">
        <f>IFERROR(__xludf.DUMMYFUNCTION("""COMPUTED_VALUE"""),"- 0,9 %")</f>
        <v>- 0,9 %</v>
      </c>
      <c r="D73" s="1" t="str">
        <f>IFERROR(__xludf.DUMMYFUNCTION("""COMPUTED_VALUE"""),"- 0,8 %")</f>
        <v>- 0,8 %</v>
      </c>
      <c r="E73" s="1" t="str">
        <f>IFERROR(__xludf.DUMMYFUNCTION("""COMPUTED_VALUE"""),"- 2,9 %")</f>
        <v>- 2,9 %</v>
      </c>
    </row>
    <row r="74">
      <c r="A74" s="2">
        <f>IFERROR(__xludf.DUMMYFUNCTION("""COMPUTED_VALUE"""),43983.0)</f>
        <v>43983</v>
      </c>
      <c r="B74" s="1" t="str">
        <f>IFERROR(__xludf.DUMMYFUNCTION("""COMPUTED_VALUE"""),"4.015 €/m2")</f>
        <v>4.015 €/m2</v>
      </c>
      <c r="C74" s="1" t="str">
        <f>IFERROR(__xludf.DUMMYFUNCTION("""COMPUTED_VALUE"""),"+ 0,1 %")</f>
        <v>+ 0,1 %</v>
      </c>
      <c r="D74" s="1" t="str">
        <f>IFERROR(__xludf.DUMMYFUNCTION("""COMPUTED_VALUE"""),"- 0,1 %")</f>
        <v>- 0,1 %</v>
      </c>
      <c r="E74" s="1" t="str">
        <f>IFERROR(__xludf.DUMMYFUNCTION("""COMPUTED_VALUE"""),"- 1,9 %")</f>
        <v>- 1,9 %</v>
      </c>
    </row>
    <row r="75">
      <c r="A75" s="2">
        <f>IFERROR(__xludf.DUMMYFUNCTION("""COMPUTED_VALUE"""),43952.0)</f>
        <v>43952</v>
      </c>
      <c r="B75" s="1" t="str">
        <f>IFERROR(__xludf.DUMMYFUNCTION("""COMPUTED_VALUE"""),"4.010 €/m2")</f>
        <v>4.010 €/m2</v>
      </c>
      <c r="C75" s="1" t="str">
        <f>IFERROR(__xludf.DUMMYFUNCTION("""COMPUTED_VALUE"""),"0,0 %")</f>
        <v>0,0 %</v>
      </c>
      <c r="D75" s="1" t="str">
        <f>IFERROR(__xludf.DUMMYFUNCTION("""COMPUTED_VALUE"""),"+ 0,5 %")</f>
        <v>+ 0,5 %</v>
      </c>
      <c r="E75" s="1" t="str">
        <f>IFERROR(__xludf.DUMMYFUNCTION("""COMPUTED_VALUE"""),"- 2,0 %")</f>
        <v>- 2,0 %</v>
      </c>
    </row>
    <row r="76">
      <c r="A76" s="2">
        <f>IFERROR(__xludf.DUMMYFUNCTION("""COMPUTED_VALUE"""),43922.0)</f>
        <v>43922</v>
      </c>
      <c r="B76" s="1" t="str">
        <f>IFERROR(__xludf.DUMMYFUNCTION("""COMPUTED_VALUE"""),"4.011 €/m2")</f>
        <v>4.011 €/m2</v>
      </c>
      <c r="C76" s="1" t="str">
        <f>IFERROR(__xludf.DUMMYFUNCTION("""COMPUTED_VALUE"""),"- 0,2 %")</f>
        <v>- 0,2 %</v>
      </c>
      <c r="D76" s="1" t="str">
        <f>IFERROR(__xludf.DUMMYFUNCTION("""COMPUTED_VALUE"""),"+ 0,3 %")</f>
        <v>+ 0,3 %</v>
      </c>
      <c r="E76" s="1" t="str">
        <f>IFERROR(__xludf.DUMMYFUNCTION("""COMPUTED_VALUE"""),"- 1,9 %")</f>
        <v>- 1,9 %</v>
      </c>
    </row>
    <row r="77">
      <c r="A77" s="2">
        <f>IFERROR(__xludf.DUMMYFUNCTION("""COMPUTED_VALUE"""),43891.0)</f>
        <v>43891</v>
      </c>
      <c r="B77" s="1" t="str">
        <f>IFERROR(__xludf.DUMMYFUNCTION("""COMPUTED_VALUE"""),"4.021 €/m2")</f>
        <v>4.021 €/m2</v>
      </c>
      <c r="C77" s="1" t="str">
        <f>IFERROR(__xludf.DUMMYFUNCTION("""COMPUTED_VALUE"""),"+ 0,8 %")</f>
        <v>+ 0,8 %</v>
      </c>
      <c r="D77" s="1" t="str">
        <f>IFERROR(__xludf.DUMMYFUNCTION("""COMPUTED_VALUE"""),"- 0,4 %")</f>
        <v>- 0,4 %</v>
      </c>
      <c r="E77" s="1" t="str">
        <f>IFERROR(__xludf.DUMMYFUNCTION("""COMPUTED_VALUE"""),"- 0,7 %")</f>
        <v>- 0,7 %</v>
      </c>
    </row>
    <row r="78">
      <c r="A78" s="2">
        <f>IFERROR(__xludf.DUMMYFUNCTION("""COMPUTED_VALUE"""),43862.0)</f>
        <v>43862</v>
      </c>
      <c r="B78" s="1" t="str">
        <f>IFERROR(__xludf.DUMMYFUNCTION("""COMPUTED_VALUE"""),"3.990 €/m2")</f>
        <v>3.990 €/m2</v>
      </c>
      <c r="C78" s="1" t="str">
        <f>IFERROR(__xludf.DUMMYFUNCTION("""COMPUTED_VALUE"""),"- 0,3 %")</f>
        <v>- 0,3 %</v>
      </c>
      <c r="D78" s="1" t="str">
        <f>IFERROR(__xludf.DUMMYFUNCTION("""COMPUTED_VALUE"""),"- 2,0 %")</f>
        <v>- 2,0 %</v>
      </c>
      <c r="E78" s="1" t="str">
        <f>IFERROR(__xludf.DUMMYFUNCTION("""COMPUTED_VALUE"""),"- 0,8 %")</f>
        <v>- 0,8 %</v>
      </c>
    </row>
    <row r="79">
      <c r="A79" s="2">
        <f>IFERROR(__xludf.DUMMYFUNCTION("""COMPUTED_VALUE"""),43831.0)</f>
        <v>43831</v>
      </c>
      <c r="B79" s="1" t="str">
        <f>IFERROR(__xludf.DUMMYFUNCTION("""COMPUTED_VALUE"""),"4.001 €/m2")</f>
        <v>4.001 €/m2</v>
      </c>
      <c r="C79" s="1" t="str">
        <f>IFERROR(__xludf.DUMMYFUNCTION("""COMPUTED_VALUE"""),"- 0,9 %")</f>
        <v>- 0,9 %</v>
      </c>
      <c r="D79" s="1" t="str">
        <f>IFERROR(__xludf.DUMMYFUNCTION("""COMPUTED_VALUE"""),"- 1,8 %")</f>
        <v>- 1,8 %</v>
      </c>
      <c r="E79" s="1" t="str">
        <f>IFERROR(__xludf.DUMMYFUNCTION("""COMPUTED_VALUE"""),"0,0 %")</f>
        <v>0,0 %</v>
      </c>
    </row>
    <row r="80">
      <c r="A80" s="2">
        <f>IFERROR(__xludf.DUMMYFUNCTION("""COMPUTED_VALUE"""),43800.0)</f>
        <v>43800</v>
      </c>
      <c r="B80" s="1" t="str">
        <f>IFERROR(__xludf.DUMMYFUNCTION("""COMPUTED_VALUE"""),"4.036 €/m2")</f>
        <v>4.036 €/m2</v>
      </c>
      <c r="C80" s="1" t="str">
        <f>IFERROR(__xludf.DUMMYFUNCTION("""COMPUTED_VALUE"""),"- 0,9 %")</f>
        <v>- 0,9 %</v>
      </c>
      <c r="D80" s="1" t="str">
        <f>IFERROR(__xludf.DUMMYFUNCTION("""COMPUTED_VALUE"""),"- 0,7 %")</f>
        <v>- 0,7 %</v>
      </c>
      <c r="E80" s="1" t="str">
        <f>IFERROR(__xludf.DUMMYFUNCTION("""COMPUTED_VALUE"""),"+ 0,2 %")</f>
        <v>+ 0,2 %</v>
      </c>
    </row>
    <row r="81">
      <c r="A81" s="2">
        <f>IFERROR(__xludf.DUMMYFUNCTION("""COMPUTED_VALUE"""),43770.0)</f>
        <v>43770</v>
      </c>
      <c r="B81" s="1" t="str">
        <f>IFERROR(__xludf.DUMMYFUNCTION("""COMPUTED_VALUE"""),"4.073 €/m2")</f>
        <v>4.073 €/m2</v>
      </c>
      <c r="C81" s="1" t="str">
        <f>IFERROR(__xludf.DUMMYFUNCTION("""COMPUTED_VALUE"""),"- 0,1 %")</f>
        <v>- 0,1 %</v>
      </c>
      <c r="D81" s="1" t="str">
        <f>IFERROR(__xludf.DUMMYFUNCTION("""COMPUTED_VALUE"""),"+ 0,2 %")</f>
        <v>+ 0,2 %</v>
      </c>
      <c r="E81" s="1" t="str">
        <f>IFERROR(__xludf.DUMMYFUNCTION("""COMPUTED_VALUE"""),"+ 1,9 %")</f>
        <v>+ 1,9 %</v>
      </c>
    </row>
    <row r="82">
      <c r="A82" s="2">
        <f>IFERROR(__xludf.DUMMYFUNCTION("""COMPUTED_VALUE"""),43739.0)</f>
        <v>43739</v>
      </c>
      <c r="B82" s="1" t="str">
        <f>IFERROR(__xludf.DUMMYFUNCTION("""COMPUTED_VALUE"""),"4.075 €/m2")</f>
        <v>4.075 €/m2</v>
      </c>
      <c r="C82" s="1" t="str">
        <f>IFERROR(__xludf.DUMMYFUNCTION("""COMPUTED_VALUE"""),"+ 0,3 %")</f>
        <v>+ 0,3 %</v>
      </c>
      <c r="D82" s="1" t="str">
        <f>IFERROR(__xludf.DUMMYFUNCTION("""COMPUTED_VALUE"""),"- 0,6 %")</f>
        <v>- 0,6 %</v>
      </c>
      <c r="E82" s="1" t="str">
        <f>IFERROR(__xludf.DUMMYFUNCTION("""COMPUTED_VALUE"""),"+ 2,0 %")</f>
        <v>+ 2,0 %</v>
      </c>
    </row>
    <row r="83">
      <c r="A83" s="2">
        <f>IFERROR(__xludf.DUMMYFUNCTION("""COMPUTED_VALUE"""),43709.0)</f>
        <v>43709</v>
      </c>
      <c r="B83" s="1" t="str">
        <f>IFERROR(__xludf.DUMMYFUNCTION("""COMPUTED_VALUE"""),"4.063 €/m2")</f>
        <v>4.063 €/m2</v>
      </c>
      <c r="C83" s="1" t="str">
        <f>IFERROR(__xludf.DUMMYFUNCTION("""COMPUTED_VALUE"""),"0,0 %")</f>
        <v>0,0 %</v>
      </c>
      <c r="D83" s="1" t="str">
        <f>IFERROR(__xludf.DUMMYFUNCTION("""COMPUTED_VALUE"""),"- 0,7 %")</f>
        <v>- 0,7 %</v>
      </c>
      <c r="E83" s="1" t="str">
        <f>IFERROR(__xludf.DUMMYFUNCTION("""COMPUTED_VALUE"""),"+ 2,7 %")</f>
        <v>+ 2,7 %</v>
      </c>
    </row>
    <row r="84">
      <c r="A84" s="2">
        <f>IFERROR(__xludf.DUMMYFUNCTION("""COMPUTED_VALUE"""),43678.0)</f>
        <v>43678</v>
      </c>
      <c r="B84" s="1" t="str">
        <f>IFERROR(__xludf.DUMMYFUNCTION("""COMPUTED_VALUE"""),"4.063 €/m2")</f>
        <v>4.063 €/m2</v>
      </c>
      <c r="C84" s="1" t="str">
        <f>IFERROR(__xludf.DUMMYFUNCTION("""COMPUTED_VALUE"""),"- 0,9 %")</f>
        <v>- 0,9 %</v>
      </c>
      <c r="D84" s="1" t="str">
        <f>IFERROR(__xludf.DUMMYFUNCTION("""COMPUTED_VALUE"""),"- 0,7 %")</f>
        <v>- 0,7 %</v>
      </c>
      <c r="E84" s="1" t="str">
        <f>IFERROR(__xludf.DUMMYFUNCTION("""COMPUTED_VALUE"""),"+ 2,4 %")</f>
        <v>+ 2,4 %</v>
      </c>
    </row>
    <row r="85">
      <c r="A85" s="2">
        <f>IFERROR(__xludf.DUMMYFUNCTION("""COMPUTED_VALUE"""),43647.0)</f>
        <v>43647</v>
      </c>
      <c r="B85" s="1" t="str">
        <f>IFERROR(__xludf.DUMMYFUNCTION("""COMPUTED_VALUE"""),"4.098 €/m2")</f>
        <v>4.098 €/m2</v>
      </c>
      <c r="C85" s="1" t="str">
        <f>IFERROR(__xludf.DUMMYFUNCTION("""COMPUTED_VALUE"""),"+ 0,2 %")</f>
        <v>+ 0,2 %</v>
      </c>
      <c r="D85" s="1" t="str">
        <f>IFERROR(__xludf.DUMMYFUNCTION("""COMPUTED_VALUE"""),"+ 0,2 %")</f>
        <v>+ 0,2 %</v>
      </c>
      <c r="E85" s="1" t="str">
        <f>IFERROR(__xludf.DUMMYFUNCTION("""COMPUTED_VALUE"""),"+ 2,8 %")</f>
        <v>+ 2,8 %</v>
      </c>
    </row>
    <row r="86">
      <c r="A86" s="2">
        <f>IFERROR(__xludf.DUMMYFUNCTION("""COMPUTED_VALUE"""),43617.0)</f>
        <v>43617</v>
      </c>
      <c r="B86" s="1" t="str">
        <f>IFERROR(__xludf.DUMMYFUNCTION("""COMPUTED_VALUE"""),"4.091 €/m2")</f>
        <v>4.091 €/m2</v>
      </c>
      <c r="C86" s="1" t="str">
        <f>IFERROR(__xludf.DUMMYFUNCTION("""COMPUTED_VALUE"""),"0,0 %")</f>
        <v>0,0 %</v>
      </c>
      <c r="D86" s="1" t="str">
        <f>IFERROR(__xludf.DUMMYFUNCTION("""COMPUTED_VALUE"""),"+ 1,1 %")</f>
        <v>+ 1,1 %</v>
      </c>
      <c r="E86" s="1" t="str">
        <f>IFERROR(__xludf.DUMMYFUNCTION("""COMPUTED_VALUE"""),"+ 5,3 %")</f>
        <v>+ 5,3 %</v>
      </c>
    </row>
    <row r="87">
      <c r="A87" s="2">
        <f>IFERROR(__xludf.DUMMYFUNCTION("""COMPUTED_VALUE"""),43586.0)</f>
        <v>43586</v>
      </c>
      <c r="B87" s="1" t="str">
        <f>IFERROR(__xludf.DUMMYFUNCTION("""COMPUTED_VALUE"""),"4.092 €/m2")</f>
        <v>4.092 €/m2</v>
      </c>
      <c r="C87" s="1" t="str">
        <f>IFERROR(__xludf.DUMMYFUNCTION("""COMPUTED_VALUE"""),"0,0 %")</f>
        <v>0,0 %</v>
      </c>
      <c r="D87" s="1" t="str">
        <f>IFERROR(__xludf.DUMMYFUNCTION("""COMPUTED_VALUE"""),"+ 1,7 %")</f>
        <v>+ 1,7 %</v>
      </c>
      <c r="E87" s="1" t="str">
        <f>IFERROR(__xludf.DUMMYFUNCTION("""COMPUTED_VALUE"""),"+ 8,9 %")</f>
        <v>+ 8,9 %</v>
      </c>
    </row>
    <row r="88">
      <c r="A88" s="2">
        <f>IFERROR(__xludf.DUMMYFUNCTION("""COMPUTED_VALUE"""),43556.0)</f>
        <v>43556</v>
      </c>
      <c r="B88" s="1" t="str">
        <f>IFERROR(__xludf.DUMMYFUNCTION("""COMPUTED_VALUE"""),"4.090 €/m2")</f>
        <v>4.090 €/m2</v>
      </c>
      <c r="C88" s="1" t="str">
        <f>IFERROR(__xludf.DUMMYFUNCTION("""COMPUTED_VALUE"""),"+ 1,0 %")</f>
        <v>+ 1,0 %</v>
      </c>
      <c r="D88" s="1" t="str">
        <f>IFERROR(__xludf.DUMMYFUNCTION("""COMPUTED_VALUE"""),"+ 2,2 %")</f>
        <v>+ 2,2 %</v>
      </c>
      <c r="E88" s="1" t="str">
        <f>IFERROR(__xludf.DUMMYFUNCTION("""COMPUTED_VALUE"""),"+ 10,4 %")</f>
        <v>+ 10,4 %</v>
      </c>
    </row>
    <row r="89">
      <c r="A89" s="2">
        <f>IFERROR(__xludf.DUMMYFUNCTION("""COMPUTED_VALUE"""),43525.0)</f>
        <v>43525</v>
      </c>
      <c r="B89" s="1" t="str">
        <f>IFERROR(__xludf.DUMMYFUNCTION("""COMPUTED_VALUE"""),"4.049 €/m2")</f>
        <v>4.049 €/m2</v>
      </c>
      <c r="C89" s="1" t="str">
        <f>IFERROR(__xludf.DUMMYFUNCTION("""COMPUTED_VALUE"""),"+ 0,6 %")</f>
        <v>+ 0,6 %</v>
      </c>
      <c r="D89" s="1" t="str">
        <f>IFERROR(__xludf.DUMMYFUNCTION("""COMPUTED_VALUE"""),"+ 0,5 %")</f>
        <v>+ 0,5 %</v>
      </c>
      <c r="E89" s="1" t="str">
        <f>IFERROR(__xludf.DUMMYFUNCTION("""COMPUTED_VALUE"""),"+ 10,6 %")</f>
        <v>+ 10,6 %</v>
      </c>
    </row>
    <row r="90">
      <c r="A90" s="2">
        <f>IFERROR(__xludf.DUMMYFUNCTION("""COMPUTED_VALUE"""),43497.0)</f>
        <v>43497</v>
      </c>
      <c r="B90" s="1" t="str">
        <f>IFERROR(__xludf.DUMMYFUNCTION("""COMPUTED_VALUE"""),"4.024 €/m2")</f>
        <v>4.024 €/m2</v>
      </c>
      <c r="C90" s="1" t="str">
        <f>IFERROR(__xludf.DUMMYFUNCTION("""COMPUTED_VALUE"""),"+ 0,6 %")</f>
        <v>+ 0,6 %</v>
      </c>
      <c r="D90" s="1" t="str">
        <f>IFERROR(__xludf.DUMMYFUNCTION("""COMPUTED_VALUE"""),"+ 0,6 %")</f>
        <v>+ 0,6 %</v>
      </c>
      <c r="E90" s="1" t="str">
        <f>IFERROR(__xludf.DUMMYFUNCTION("""COMPUTED_VALUE"""),"+ 11,1 %")</f>
        <v>+ 11,1 %</v>
      </c>
    </row>
    <row r="91">
      <c r="A91" s="2">
        <f>IFERROR(__xludf.DUMMYFUNCTION("""COMPUTED_VALUE"""),43466.0)</f>
        <v>43466</v>
      </c>
      <c r="B91" s="1" t="str">
        <f>IFERROR(__xludf.DUMMYFUNCTION("""COMPUTED_VALUE"""),"4.000 €/m2")</f>
        <v>4.000 €/m2</v>
      </c>
      <c r="C91" s="1" t="str">
        <f>IFERROR(__xludf.DUMMYFUNCTION("""COMPUTED_VALUE"""),"- 0,7 %")</f>
        <v>- 0,7 %</v>
      </c>
      <c r="D91" s="1" t="str">
        <f>IFERROR(__xludf.DUMMYFUNCTION("""COMPUTED_VALUE"""),"+ 0,1 %")</f>
        <v>+ 0,1 %</v>
      </c>
      <c r="E91" s="1" t="str">
        <f>IFERROR(__xludf.DUMMYFUNCTION("""COMPUTED_VALUE"""),"+ 13,6 %")</f>
        <v>+ 13,6 %</v>
      </c>
    </row>
    <row r="92">
      <c r="A92" s="2">
        <f>IFERROR(__xludf.DUMMYFUNCTION("""COMPUTED_VALUE"""),43435.0)</f>
        <v>43435</v>
      </c>
      <c r="B92" s="1" t="str">
        <f>IFERROR(__xludf.DUMMYFUNCTION("""COMPUTED_VALUE"""),"4.029 €/m2")</f>
        <v>4.029 €/m2</v>
      </c>
      <c r="C92" s="1" t="str">
        <f>IFERROR(__xludf.DUMMYFUNCTION("""COMPUTED_VALUE"""),"+ 0,8 %")</f>
        <v>+ 0,8 %</v>
      </c>
      <c r="D92" s="1" t="str">
        <f>IFERROR(__xludf.DUMMYFUNCTION("""COMPUTED_VALUE"""),"+ 1,8 %")</f>
        <v>+ 1,8 %</v>
      </c>
      <c r="E92" s="1" t="str">
        <f>IFERROR(__xludf.DUMMYFUNCTION("""COMPUTED_VALUE"""),"+ 17,6 %")</f>
        <v>+ 17,6 %</v>
      </c>
    </row>
    <row r="93">
      <c r="A93" s="2">
        <f>IFERROR(__xludf.DUMMYFUNCTION("""COMPUTED_VALUE"""),43405.0)</f>
        <v>43405</v>
      </c>
      <c r="B93" s="1" t="str">
        <f>IFERROR(__xludf.DUMMYFUNCTION("""COMPUTED_VALUE"""),"3.999 €/m2")</f>
        <v>3.999 €/m2</v>
      </c>
      <c r="C93" s="1" t="str">
        <f>IFERROR(__xludf.DUMMYFUNCTION("""COMPUTED_VALUE"""),"+ 0,1 %")</f>
        <v>+ 0,1 %</v>
      </c>
      <c r="D93" s="1" t="str">
        <f>IFERROR(__xludf.DUMMYFUNCTION("""COMPUTED_VALUE"""),"+ 0,8 %")</f>
        <v>+ 0,8 %</v>
      </c>
      <c r="E93" s="1" t="str">
        <f>IFERROR(__xludf.DUMMYFUNCTION("""COMPUTED_VALUE"""),"+ 18,9 %")</f>
        <v>+ 18,9 %</v>
      </c>
    </row>
    <row r="94">
      <c r="A94" s="2">
        <f>IFERROR(__xludf.DUMMYFUNCTION("""COMPUTED_VALUE"""),43374.0)</f>
        <v>43374</v>
      </c>
      <c r="B94" s="1" t="str">
        <f>IFERROR(__xludf.DUMMYFUNCTION("""COMPUTED_VALUE"""),"3.996 €/m2")</f>
        <v>3.996 €/m2</v>
      </c>
      <c r="C94" s="1" t="str">
        <f>IFERROR(__xludf.DUMMYFUNCTION("""COMPUTED_VALUE"""),"+ 1,0 %")</f>
        <v>+ 1,0 %</v>
      </c>
      <c r="D94" s="1" t="str">
        <f>IFERROR(__xludf.DUMMYFUNCTION("""COMPUTED_VALUE"""),"+ 0,3 %")</f>
        <v>+ 0,3 %</v>
      </c>
      <c r="E94" s="1" t="str">
        <f>IFERROR(__xludf.DUMMYFUNCTION("""COMPUTED_VALUE"""),"+ 20,2 %")</f>
        <v>+ 20,2 %</v>
      </c>
    </row>
    <row r="95">
      <c r="A95" s="2">
        <f>IFERROR(__xludf.DUMMYFUNCTION("""COMPUTED_VALUE"""),43344.0)</f>
        <v>43344</v>
      </c>
      <c r="B95" s="1" t="str">
        <f>IFERROR(__xludf.DUMMYFUNCTION("""COMPUTED_VALUE"""),"3.957 €/m2")</f>
        <v>3.957 €/m2</v>
      </c>
      <c r="C95" s="1" t="str">
        <f>IFERROR(__xludf.DUMMYFUNCTION("""COMPUTED_VALUE"""),"- 0,3 %")</f>
        <v>- 0,3 %</v>
      </c>
      <c r="D95" s="1" t="str">
        <f>IFERROR(__xludf.DUMMYFUNCTION("""COMPUTED_VALUE"""),"+ 1,8 %")</f>
        <v>+ 1,8 %</v>
      </c>
      <c r="E95" s="1" t="str">
        <f>IFERROR(__xludf.DUMMYFUNCTION("""COMPUTED_VALUE"""),"+ 19,4 %")</f>
        <v>+ 19,4 %</v>
      </c>
    </row>
    <row r="96">
      <c r="A96" s="2">
        <f>IFERROR(__xludf.DUMMYFUNCTION("""COMPUTED_VALUE"""),43313.0)</f>
        <v>43313</v>
      </c>
      <c r="B96" s="1" t="str">
        <f>IFERROR(__xludf.DUMMYFUNCTION("""COMPUTED_VALUE"""),"3.969 €/m2")</f>
        <v>3.969 €/m2</v>
      </c>
      <c r="C96" s="1" t="str">
        <f>IFERROR(__xludf.DUMMYFUNCTION("""COMPUTED_VALUE"""),"- 0,4 %")</f>
        <v>- 0,4 %</v>
      </c>
      <c r="D96" s="1" t="str">
        <f>IFERROR(__xludf.DUMMYFUNCTION("""COMPUTED_VALUE"""),"+ 5,7 %")</f>
        <v>+ 5,7 %</v>
      </c>
      <c r="E96" s="1" t="str">
        <f>IFERROR(__xludf.DUMMYFUNCTION("""COMPUTED_VALUE"""),"+ 20,3 %")</f>
        <v>+ 20,3 %</v>
      </c>
    </row>
    <row r="97">
      <c r="A97" s="2">
        <f>IFERROR(__xludf.DUMMYFUNCTION("""COMPUTED_VALUE"""),43282.0)</f>
        <v>43282</v>
      </c>
      <c r="B97" s="1" t="str">
        <f>IFERROR(__xludf.DUMMYFUNCTION("""COMPUTED_VALUE"""),"3.985 €/m2")</f>
        <v>3.985 €/m2</v>
      </c>
      <c r="C97" s="1" t="str">
        <f>IFERROR(__xludf.DUMMYFUNCTION("""COMPUTED_VALUE"""),"+ 2,5 %")</f>
        <v>+ 2,5 %</v>
      </c>
      <c r="D97" s="1" t="str">
        <f>IFERROR(__xludf.DUMMYFUNCTION("""COMPUTED_VALUE"""),"+ 7,6 %")</f>
        <v>+ 7,6 %</v>
      </c>
      <c r="E97" s="1" t="str">
        <f>IFERROR(__xludf.DUMMYFUNCTION("""COMPUTED_VALUE"""),"+ 21,6 %")</f>
        <v>+ 21,6 %</v>
      </c>
    </row>
    <row r="98">
      <c r="A98" s="2">
        <f>IFERROR(__xludf.DUMMYFUNCTION("""COMPUTED_VALUE"""),43252.0)</f>
        <v>43252</v>
      </c>
      <c r="B98" s="1" t="str">
        <f>IFERROR(__xludf.DUMMYFUNCTION("""COMPUTED_VALUE"""),"3.887 €/m2")</f>
        <v>3.887 €/m2</v>
      </c>
      <c r="C98" s="1" t="str">
        <f>IFERROR(__xludf.DUMMYFUNCTION("""COMPUTED_VALUE"""),"+ 3,5 %")</f>
        <v>+ 3,5 %</v>
      </c>
      <c r="D98" s="1" t="str">
        <f>IFERROR(__xludf.DUMMYFUNCTION("""COMPUTED_VALUE"""),"+ 6,1 %")</f>
        <v>+ 6,1 %</v>
      </c>
      <c r="E98" s="1" t="str">
        <f>IFERROR(__xludf.DUMMYFUNCTION("""COMPUTED_VALUE"""),"+ 21,1 %")</f>
        <v>+ 21,1 %</v>
      </c>
    </row>
    <row r="99">
      <c r="A99" s="2">
        <f>IFERROR(__xludf.DUMMYFUNCTION("""COMPUTED_VALUE"""),43221.0)</f>
        <v>43221</v>
      </c>
      <c r="B99" s="1" t="str">
        <f>IFERROR(__xludf.DUMMYFUNCTION("""COMPUTED_VALUE"""),"3.756 €/m2")</f>
        <v>3.756 €/m2</v>
      </c>
      <c r="C99" s="1" t="str">
        <f>IFERROR(__xludf.DUMMYFUNCTION("""COMPUTED_VALUE"""),"+ 1,4 %")</f>
        <v>+ 1,4 %</v>
      </c>
      <c r="D99" s="1" t="str">
        <f>IFERROR(__xludf.DUMMYFUNCTION("""COMPUTED_VALUE"""),"+ 3,7 %")</f>
        <v>+ 3,7 %</v>
      </c>
      <c r="E99" s="1" t="str">
        <f>IFERROR(__xludf.DUMMYFUNCTION("""COMPUTED_VALUE"""),"+ 18,4 %")</f>
        <v>+ 18,4 %</v>
      </c>
    </row>
    <row r="100">
      <c r="A100" s="2">
        <f>IFERROR(__xludf.DUMMYFUNCTION("""COMPUTED_VALUE"""),43191.0)</f>
        <v>43191</v>
      </c>
      <c r="B100" s="1" t="str">
        <f>IFERROR(__xludf.DUMMYFUNCTION("""COMPUTED_VALUE"""),"3.705 €/m2")</f>
        <v>3.705 €/m2</v>
      </c>
      <c r="C100" s="1" t="str">
        <f>IFERROR(__xludf.DUMMYFUNCTION("""COMPUTED_VALUE"""),"+ 1,2 %")</f>
        <v>+ 1,2 %</v>
      </c>
      <c r="D100" s="1" t="str">
        <f>IFERROR(__xludf.DUMMYFUNCTION("""COMPUTED_VALUE"""),"+ 5,2 %")</f>
        <v>+ 5,2 %</v>
      </c>
      <c r="E100" s="1" t="str">
        <f>IFERROR(__xludf.DUMMYFUNCTION("""COMPUTED_VALUE"""),"+ 19,5 %")</f>
        <v>+ 19,5 %</v>
      </c>
    </row>
    <row r="101">
      <c r="A101" s="2">
        <f>IFERROR(__xludf.DUMMYFUNCTION("""COMPUTED_VALUE"""),43160.0)</f>
        <v>43160</v>
      </c>
      <c r="B101" s="1" t="str">
        <f>IFERROR(__xludf.DUMMYFUNCTION("""COMPUTED_VALUE"""),"3.662 €/m2")</f>
        <v>3.662 €/m2</v>
      </c>
      <c r="C101" s="1" t="str">
        <f>IFERROR(__xludf.DUMMYFUNCTION("""COMPUTED_VALUE"""),"+ 1,1 %")</f>
        <v>+ 1,1 %</v>
      </c>
      <c r="D101" s="1" t="str">
        <f>IFERROR(__xludf.DUMMYFUNCTION("""COMPUTED_VALUE"""),"+ 6,8 %")</f>
        <v>+ 6,8 %</v>
      </c>
      <c r="E101" s="1" t="str">
        <f>IFERROR(__xludf.DUMMYFUNCTION("""COMPUTED_VALUE"""),"+ 20,8 %")</f>
        <v>+ 20,8 %</v>
      </c>
    </row>
    <row r="102">
      <c r="A102" s="2">
        <f>IFERROR(__xludf.DUMMYFUNCTION("""COMPUTED_VALUE"""),43132.0)</f>
        <v>43132</v>
      </c>
      <c r="B102" s="1" t="str">
        <f>IFERROR(__xludf.DUMMYFUNCTION("""COMPUTED_VALUE"""),"3.622 €/m2")</f>
        <v>3.622 €/m2</v>
      </c>
      <c r="C102" s="1" t="str">
        <f>IFERROR(__xludf.DUMMYFUNCTION("""COMPUTED_VALUE"""),"+ 2,9 %")</f>
        <v>+ 2,9 %</v>
      </c>
      <c r="D102" s="1" t="str">
        <f>IFERROR(__xludf.DUMMYFUNCTION("""COMPUTED_VALUE"""),"+ 7,7 %")</f>
        <v>+ 7,7 %</v>
      </c>
      <c r="E102" s="1" t="str">
        <f>IFERROR(__xludf.DUMMYFUNCTION("""COMPUTED_VALUE"""),"+ 20,8 %")</f>
        <v>+ 20,8 %</v>
      </c>
    </row>
    <row r="103">
      <c r="A103" s="2">
        <f>IFERROR(__xludf.DUMMYFUNCTION("""COMPUTED_VALUE"""),43101.0)</f>
        <v>43101</v>
      </c>
      <c r="B103" s="1" t="str">
        <f>IFERROR(__xludf.DUMMYFUNCTION("""COMPUTED_VALUE"""),"3.521 €/m2")</f>
        <v>3.521 €/m2</v>
      </c>
      <c r="C103" s="1" t="str">
        <f>IFERROR(__xludf.DUMMYFUNCTION("""COMPUTED_VALUE"""),"+ 2,7 %")</f>
        <v>+ 2,7 %</v>
      </c>
      <c r="D103" s="1" t="str">
        <f>IFERROR(__xludf.DUMMYFUNCTION("""COMPUTED_VALUE"""),"+ 5,9 %")</f>
        <v>+ 5,9 %</v>
      </c>
      <c r="E103" s="1" t="str">
        <f>IFERROR(__xludf.DUMMYFUNCTION("""COMPUTED_VALUE"""),"+ 19,6 %")</f>
        <v>+ 19,6 %</v>
      </c>
    </row>
    <row r="104">
      <c r="A104" s="2">
        <f>IFERROR(__xludf.DUMMYFUNCTION("""COMPUTED_VALUE"""),43070.0)</f>
        <v>43070</v>
      </c>
      <c r="B104" s="1" t="str">
        <f>IFERROR(__xludf.DUMMYFUNCTION("""COMPUTED_VALUE"""),"3.427 €/m2")</f>
        <v>3.427 €/m2</v>
      </c>
      <c r="C104" s="1" t="str">
        <f>IFERROR(__xludf.DUMMYFUNCTION("""COMPUTED_VALUE"""),"+ 1,9 %")</f>
        <v>+ 1,9 %</v>
      </c>
      <c r="D104" s="1" t="str">
        <f>IFERROR(__xludf.DUMMYFUNCTION("""COMPUTED_VALUE"""),"+ 3,4 %")</f>
        <v>+ 3,4 %</v>
      </c>
      <c r="E104" s="1" t="str">
        <f>IFERROR(__xludf.DUMMYFUNCTION("""COMPUTED_VALUE"""),"+ 16,6 %")</f>
        <v>+ 16,6 %</v>
      </c>
    </row>
    <row r="105">
      <c r="A105" s="2">
        <f>IFERROR(__xludf.DUMMYFUNCTION("""COMPUTED_VALUE"""),43040.0)</f>
        <v>43040</v>
      </c>
      <c r="B105" s="1" t="str">
        <f>IFERROR(__xludf.DUMMYFUNCTION("""COMPUTED_VALUE"""),"3.363 €/m2")</f>
        <v>3.363 €/m2</v>
      </c>
      <c r="C105" s="1" t="str">
        <f>IFERROR(__xludf.DUMMYFUNCTION("""COMPUTED_VALUE"""),"+ 1,2 %")</f>
        <v>+ 1,2 %</v>
      </c>
      <c r="D105" s="1" t="str">
        <f>IFERROR(__xludf.DUMMYFUNCTION("""COMPUTED_VALUE"""),"+ 1,9 %")</f>
        <v>+ 1,9 %</v>
      </c>
      <c r="E105" s="1" t="str">
        <f>IFERROR(__xludf.DUMMYFUNCTION("""COMPUTED_VALUE"""),"+ 15,1 %")</f>
        <v>+ 15,1 %</v>
      </c>
    </row>
    <row r="106">
      <c r="A106" s="2">
        <f>IFERROR(__xludf.DUMMYFUNCTION("""COMPUTED_VALUE"""),43009.0)</f>
        <v>43009</v>
      </c>
      <c r="B106" s="1" t="str">
        <f>IFERROR(__xludf.DUMMYFUNCTION("""COMPUTED_VALUE"""),"3.324 €/m2")</f>
        <v>3.324 €/m2</v>
      </c>
      <c r="C106" s="1" t="str">
        <f>IFERROR(__xludf.DUMMYFUNCTION("""COMPUTED_VALUE"""),"+ 0,3 %")</f>
        <v>+ 0,3 %</v>
      </c>
      <c r="D106" s="1" t="str">
        <f>IFERROR(__xludf.DUMMYFUNCTION("""COMPUTED_VALUE"""),"+ 1,5 %")</f>
        <v>+ 1,5 %</v>
      </c>
      <c r="E106" s="1" t="str">
        <f>IFERROR(__xludf.DUMMYFUNCTION("""COMPUTED_VALUE"""),"+ 14,6 %")</f>
        <v>+ 14,6 %</v>
      </c>
    </row>
    <row r="107">
      <c r="A107" s="2">
        <f>IFERROR(__xludf.DUMMYFUNCTION("""COMPUTED_VALUE"""),42979.0)</f>
        <v>42979</v>
      </c>
      <c r="B107" s="1" t="str">
        <f>IFERROR(__xludf.DUMMYFUNCTION("""COMPUTED_VALUE"""),"3.313 €/m2")</f>
        <v>3.313 €/m2</v>
      </c>
      <c r="C107" s="1" t="str">
        <f>IFERROR(__xludf.DUMMYFUNCTION("""COMPUTED_VALUE"""),"+ 0,4 %")</f>
        <v>+ 0,4 %</v>
      </c>
      <c r="D107" s="1" t="str">
        <f>IFERROR(__xludf.DUMMYFUNCTION("""COMPUTED_VALUE"""),"+ 3,3 %")</f>
        <v>+ 3,3 %</v>
      </c>
      <c r="E107" s="1" t="str">
        <f>IFERROR(__xludf.DUMMYFUNCTION("""COMPUTED_VALUE"""),"+ 13,9 %")</f>
        <v>+ 13,9 %</v>
      </c>
    </row>
    <row r="108">
      <c r="A108" s="2">
        <f>IFERROR(__xludf.DUMMYFUNCTION("""COMPUTED_VALUE"""),42948.0)</f>
        <v>42948</v>
      </c>
      <c r="B108" s="1" t="str">
        <f>IFERROR(__xludf.DUMMYFUNCTION("""COMPUTED_VALUE"""),"3.300 €/m2")</f>
        <v>3.300 €/m2</v>
      </c>
      <c r="C108" s="1" t="str">
        <f>IFERROR(__xludf.DUMMYFUNCTION("""COMPUTED_VALUE"""),"+ 0,7 %")</f>
        <v>+ 0,7 %</v>
      </c>
      <c r="D108" s="1" t="str">
        <f>IFERROR(__xludf.DUMMYFUNCTION("""COMPUTED_VALUE"""),"+ 4,0 %")</f>
        <v>+ 4,0 %</v>
      </c>
      <c r="E108" s="1" t="str">
        <f>IFERROR(__xludf.DUMMYFUNCTION("""COMPUTED_VALUE"""),"+ 13,4 %")</f>
        <v>+ 13,4 %</v>
      </c>
    </row>
    <row r="109">
      <c r="A109" s="2">
        <f>IFERROR(__xludf.DUMMYFUNCTION("""COMPUTED_VALUE"""),42917.0)</f>
        <v>42917</v>
      </c>
      <c r="B109" s="1" t="str">
        <f>IFERROR(__xludf.DUMMYFUNCTION("""COMPUTED_VALUE"""),"3.276 €/m2")</f>
        <v>3.276 €/m2</v>
      </c>
      <c r="C109" s="1" t="str">
        <f>IFERROR(__xludf.DUMMYFUNCTION("""COMPUTED_VALUE"""),"+ 2,1 %")</f>
        <v>+ 2,1 %</v>
      </c>
      <c r="D109" s="1" t="str">
        <f>IFERROR(__xludf.DUMMYFUNCTION("""COMPUTED_VALUE"""),"+ 5,7 %")</f>
        <v>+ 5,7 %</v>
      </c>
      <c r="E109" s="1" t="str">
        <f>IFERROR(__xludf.DUMMYFUNCTION("""COMPUTED_VALUE"""),"+ 13,1 %")</f>
        <v>+ 13,1 %</v>
      </c>
    </row>
    <row r="110">
      <c r="A110" s="2">
        <f>IFERROR(__xludf.DUMMYFUNCTION("""COMPUTED_VALUE"""),42887.0)</f>
        <v>42887</v>
      </c>
      <c r="B110" s="1" t="str">
        <f>IFERROR(__xludf.DUMMYFUNCTION("""COMPUTED_VALUE"""),"3.208 €/m2")</f>
        <v>3.208 €/m2</v>
      </c>
      <c r="C110" s="1" t="str">
        <f>IFERROR(__xludf.DUMMYFUNCTION("""COMPUTED_VALUE"""),"+ 1,1 %")</f>
        <v>+ 1,1 %</v>
      </c>
      <c r="D110" s="1" t="str">
        <f>IFERROR(__xludf.DUMMYFUNCTION("""COMPUTED_VALUE"""),"+ 5,8 %")</f>
        <v>+ 5,8 %</v>
      </c>
      <c r="E110" s="1" t="str">
        <f>IFERROR(__xludf.DUMMYFUNCTION("""COMPUTED_VALUE"""),"+ 12,6 %")</f>
        <v>+ 12,6 %</v>
      </c>
    </row>
    <row r="111">
      <c r="A111" s="2">
        <f>IFERROR(__xludf.DUMMYFUNCTION("""COMPUTED_VALUE"""),42856.0)</f>
        <v>42856</v>
      </c>
      <c r="B111" s="1" t="str">
        <f>IFERROR(__xludf.DUMMYFUNCTION("""COMPUTED_VALUE"""),"3.173 €/m2")</f>
        <v>3.173 €/m2</v>
      </c>
      <c r="C111" s="1" t="str">
        <f>IFERROR(__xludf.DUMMYFUNCTION("""COMPUTED_VALUE"""),"+ 2,3 %")</f>
        <v>+ 2,3 %</v>
      </c>
      <c r="D111" s="1" t="str">
        <f>IFERROR(__xludf.DUMMYFUNCTION("""COMPUTED_VALUE"""),"+ 5,8 %")</f>
        <v>+ 5,8 %</v>
      </c>
      <c r="E111" s="1" t="str">
        <f>IFERROR(__xludf.DUMMYFUNCTION("""COMPUTED_VALUE"""),"+ 13,3 %")</f>
        <v>+ 13,3 %</v>
      </c>
    </row>
    <row r="112">
      <c r="A112" s="2">
        <f>IFERROR(__xludf.DUMMYFUNCTION("""COMPUTED_VALUE"""),42826.0)</f>
        <v>42826</v>
      </c>
      <c r="B112" s="1" t="str">
        <f>IFERROR(__xludf.DUMMYFUNCTION("""COMPUTED_VALUE"""),"3.101 €/m2")</f>
        <v>3.101 €/m2</v>
      </c>
      <c r="C112" s="1" t="str">
        <f>IFERROR(__xludf.DUMMYFUNCTION("""COMPUTED_VALUE"""),"+ 2,3 %")</f>
        <v>+ 2,3 %</v>
      </c>
      <c r="D112" s="1" t="str">
        <f>IFERROR(__xludf.DUMMYFUNCTION("""COMPUTED_VALUE"""),"+ 5,4 %")</f>
        <v>+ 5,4 %</v>
      </c>
      <c r="E112" s="1" t="str">
        <f>IFERROR(__xludf.DUMMYFUNCTION("""COMPUTED_VALUE"""),"+ 11,4 %")</f>
        <v>+ 11,4 %</v>
      </c>
    </row>
    <row r="113">
      <c r="A113" s="2">
        <f>IFERROR(__xludf.DUMMYFUNCTION("""COMPUTED_VALUE"""),42795.0)</f>
        <v>42795</v>
      </c>
      <c r="B113" s="1" t="str">
        <f>IFERROR(__xludf.DUMMYFUNCTION("""COMPUTED_VALUE"""),"3.031 €/m2")</f>
        <v>3.031 €/m2</v>
      </c>
      <c r="C113" s="1" t="str">
        <f>IFERROR(__xludf.DUMMYFUNCTION("""COMPUTED_VALUE"""),"+ 1,1 %")</f>
        <v>+ 1,1 %</v>
      </c>
      <c r="D113" s="1" t="str">
        <f>IFERROR(__xludf.DUMMYFUNCTION("""COMPUTED_VALUE"""),"+ 3,1 %")</f>
        <v>+ 3,1 %</v>
      </c>
      <c r="E113" s="1" t="str">
        <f>IFERROR(__xludf.DUMMYFUNCTION("""COMPUTED_VALUE"""),"+ 10,8 %")</f>
        <v>+ 10,8 %</v>
      </c>
    </row>
    <row r="114">
      <c r="A114" s="2">
        <f>IFERROR(__xludf.DUMMYFUNCTION("""COMPUTED_VALUE"""),42767.0)</f>
        <v>42767</v>
      </c>
      <c r="B114" s="1" t="str">
        <f>IFERROR(__xludf.DUMMYFUNCTION("""COMPUTED_VALUE"""),"2.999 €/m2")</f>
        <v>2.999 €/m2</v>
      </c>
      <c r="C114" s="1" t="str">
        <f>IFERROR(__xludf.DUMMYFUNCTION("""COMPUTED_VALUE"""),"+ 1,9 %")</f>
        <v>+ 1,9 %</v>
      </c>
      <c r="D114" s="1" t="str">
        <f>IFERROR(__xludf.DUMMYFUNCTION("""COMPUTED_VALUE"""),"+ 2,6 %")</f>
        <v>+ 2,6 %</v>
      </c>
      <c r="E114" s="1" t="str">
        <f>IFERROR(__xludf.DUMMYFUNCTION("""COMPUTED_VALUE"""),"+ 9,6 %")</f>
        <v>+ 9,6 %</v>
      </c>
    </row>
    <row r="115">
      <c r="A115" s="2">
        <f>IFERROR(__xludf.DUMMYFUNCTION("""COMPUTED_VALUE"""),42736.0)</f>
        <v>42736</v>
      </c>
      <c r="B115" s="1" t="str">
        <f>IFERROR(__xludf.DUMMYFUNCTION("""COMPUTED_VALUE"""),"2.943 €/m2")</f>
        <v>2.943 €/m2</v>
      </c>
      <c r="C115" s="1" t="str">
        <f>IFERROR(__xludf.DUMMYFUNCTION("""COMPUTED_VALUE"""),"+ 0,1 %")</f>
        <v>+ 0,1 %</v>
      </c>
      <c r="D115" s="1" t="str">
        <f>IFERROR(__xludf.DUMMYFUNCTION("""COMPUTED_VALUE"""),"+ 1,5 %")</f>
        <v>+ 1,5 %</v>
      </c>
      <c r="E115" s="1" t="str">
        <f>IFERROR(__xludf.DUMMYFUNCTION("""COMPUTED_VALUE"""),"+ 7,7 %")</f>
        <v>+ 7,7 %</v>
      </c>
    </row>
    <row r="116">
      <c r="A116" s="2">
        <f>IFERROR(__xludf.DUMMYFUNCTION("""COMPUTED_VALUE"""),42705.0)</f>
        <v>42705</v>
      </c>
      <c r="B116" s="1" t="str">
        <f>IFERROR(__xludf.DUMMYFUNCTION("""COMPUTED_VALUE"""),"2.940 €/m2")</f>
        <v>2.940 €/m2</v>
      </c>
      <c r="C116" s="1" t="str">
        <f>IFERROR(__xludf.DUMMYFUNCTION("""COMPUTED_VALUE"""),"+ 0,6 %")</f>
        <v>+ 0,6 %</v>
      </c>
      <c r="D116" s="1" t="str">
        <f>IFERROR(__xludf.DUMMYFUNCTION("""COMPUTED_VALUE"""),"+ 1,1 %")</f>
        <v>+ 1,1 %</v>
      </c>
      <c r="E116" s="1" t="str">
        <f>IFERROR(__xludf.DUMMYFUNCTION("""COMPUTED_VALUE"""),"+ 6,5 %")</f>
        <v>+ 6,5 %</v>
      </c>
    </row>
    <row r="117">
      <c r="A117" s="2">
        <f>IFERROR(__xludf.DUMMYFUNCTION("""COMPUTED_VALUE"""),42675.0)</f>
        <v>42675</v>
      </c>
      <c r="B117" s="1" t="str">
        <f>IFERROR(__xludf.DUMMYFUNCTION("""COMPUTED_VALUE"""),"2.922 €/m2")</f>
        <v>2.922 €/m2</v>
      </c>
      <c r="C117" s="1" t="str">
        <f>IFERROR(__xludf.DUMMYFUNCTION("""COMPUTED_VALUE"""),"+ 0,8 %")</f>
        <v>+ 0,8 %</v>
      </c>
      <c r="D117" s="1" t="str">
        <f>IFERROR(__xludf.DUMMYFUNCTION("""COMPUTED_VALUE"""),"+ 0,4 %")</f>
        <v>+ 0,4 %</v>
      </c>
      <c r="E117" s="1" t="str">
        <f>IFERROR(__xludf.DUMMYFUNCTION("""COMPUTED_VALUE"""),"+ 6,3 %")</f>
        <v>+ 6,3 %</v>
      </c>
    </row>
    <row r="118">
      <c r="A118" s="2">
        <f>IFERROR(__xludf.DUMMYFUNCTION("""COMPUTED_VALUE"""),42644.0)</f>
        <v>42644</v>
      </c>
      <c r="B118" s="1" t="str">
        <f>IFERROR(__xludf.DUMMYFUNCTION("""COMPUTED_VALUE"""),"2.899 €/m2")</f>
        <v>2.899 €/m2</v>
      </c>
      <c r="C118" s="1" t="str">
        <f>IFERROR(__xludf.DUMMYFUNCTION("""COMPUTED_VALUE"""),"- 0,3 %")</f>
        <v>- 0,3 %</v>
      </c>
      <c r="D118" s="1" t="str">
        <f>IFERROR(__xludf.DUMMYFUNCTION("""COMPUTED_VALUE"""),"+ 0,1 %")</f>
        <v>+ 0,1 %</v>
      </c>
      <c r="E118" s="1" t="str">
        <f>IFERROR(__xludf.DUMMYFUNCTION("""COMPUTED_VALUE"""),"+ 4,5 %")</f>
        <v>+ 4,5 %</v>
      </c>
    </row>
    <row r="119">
      <c r="A119" s="2">
        <f>IFERROR(__xludf.DUMMYFUNCTION("""COMPUTED_VALUE"""),42614.0)</f>
        <v>42614</v>
      </c>
      <c r="B119" s="1" t="str">
        <f>IFERROR(__xludf.DUMMYFUNCTION("""COMPUTED_VALUE"""),"2.909 €/m2")</f>
        <v>2.909 €/m2</v>
      </c>
      <c r="C119" s="1" t="str">
        <f>IFERROR(__xludf.DUMMYFUNCTION("""COMPUTED_VALUE"""),"0,0 %")</f>
        <v>0,0 %</v>
      </c>
      <c r="D119" s="1" t="str">
        <f>IFERROR(__xludf.DUMMYFUNCTION("""COMPUTED_VALUE"""),"+ 2,1 %")</f>
        <v>+ 2,1 %</v>
      </c>
      <c r="E119" s="1" t="str">
        <f>IFERROR(__xludf.DUMMYFUNCTION("""COMPUTED_VALUE"""),"+ 4,9 %")</f>
        <v>+ 4,9 %</v>
      </c>
    </row>
    <row r="120">
      <c r="A120" s="2">
        <f>IFERROR(__xludf.DUMMYFUNCTION("""COMPUTED_VALUE"""),42583.0)</f>
        <v>42583</v>
      </c>
      <c r="B120" s="1" t="str">
        <f>IFERROR(__xludf.DUMMYFUNCTION("""COMPUTED_VALUE"""),"2.910 €/m2")</f>
        <v>2.910 €/m2</v>
      </c>
      <c r="C120" s="1" t="str">
        <f>IFERROR(__xludf.DUMMYFUNCTION("""COMPUTED_VALUE"""),"+ 0,4 %")</f>
        <v>+ 0,4 %</v>
      </c>
      <c r="D120" s="1" t="str">
        <f>IFERROR(__xludf.DUMMYFUNCTION("""COMPUTED_VALUE"""),"+ 3,9 %")</f>
        <v>+ 3,9 %</v>
      </c>
      <c r="E120" s="1" t="str">
        <f>IFERROR(__xludf.DUMMYFUNCTION("""COMPUTED_VALUE"""),"+ 5,6 %")</f>
        <v>+ 5,6 %</v>
      </c>
    </row>
    <row r="121">
      <c r="A121" s="2">
        <f>IFERROR(__xludf.DUMMYFUNCTION("""COMPUTED_VALUE"""),42552.0)</f>
        <v>42552</v>
      </c>
      <c r="B121" s="1" t="str">
        <f>IFERROR(__xludf.DUMMYFUNCTION("""COMPUTED_VALUE"""),"2.897 €/m2")</f>
        <v>2.897 €/m2</v>
      </c>
      <c r="C121" s="1" t="str">
        <f>IFERROR(__xludf.DUMMYFUNCTION("""COMPUTED_VALUE"""),"+ 1,7 %")</f>
        <v>+ 1,7 %</v>
      </c>
      <c r="D121" s="1" t="str">
        <f>IFERROR(__xludf.DUMMYFUNCTION("""COMPUTED_VALUE"""),"+ 4,1 %")</f>
        <v>+ 4,1 %</v>
      </c>
      <c r="E121" s="1" t="str">
        <f>IFERROR(__xludf.DUMMYFUNCTION("""COMPUTED_VALUE"""),"+ 5,7 %")</f>
        <v>+ 5,7 %</v>
      </c>
    </row>
    <row r="122">
      <c r="A122" s="2">
        <f>IFERROR(__xludf.DUMMYFUNCTION("""COMPUTED_VALUE"""),42522.0)</f>
        <v>42522</v>
      </c>
      <c r="B122" s="1" t="str">
        <f>IFERROR(__xludf.DUMMYFUNCTION("""COMPUTED_VALUE"""),"2.849 €/m2")</f>
        <v>2.849 €/m2</v>
      </c>
      <c r="C122" s="1" t="str">
        <f>IFERROR(__xludf.DUMMYFUNCTION("""COMPUTED_VALUE"""),"+ 1,7 %")</f>
        <v>+ 1,7 %</v>
      </c>
      <c r="D122" s="1" t="str">
        <f>IFERROR(__xludf.DUMMYFUNCTION("""COMPUTED_VALUE"""),"+ 4,1 %")</f>
        <v>+ 4,1 %</v>
      </c>
      <c r="E122" s="1" t="str">
        <f>IFERROR(__xludf.DUMMYFUNCTION("""COMPUTED_VALUE"""),"+ 4,0 %")</f>
        <v>+ 4,0 %</v>
      </c>
    </row>
    <row r="123">
      <c r="A123" s="2">
        <f>IFERROR(__xludf.DUMMYFUNCTION("""COMPUTED_VALUE"""),42491.0)</f>
        <v>42491</v>
      </c>
      <c r="B123" s="1" t="str">
        <f>IFERROR(__xludf.DUMMYFUNCTION("""COMPUTED_VALUE"""),"2.800 €/m2")</f>
        <v>2.800 €/m2</v>
      </c>
      <c r="C123" s="1" t="str">
        <f>IFERROR(__xludf.DUMMYFUNCTION("""COMPUTED_VALUE"""),"+ 0,6 %")</f>
        <v>+ 0,6 %</v>
      </c>
      <c r="D123" s="1" t="str">
        <f>IFERROR(__xludf.DUMMYFUNCTION("""COMPUTED_VALUE"""),"+ 2,3 %")</f>
        <v>+ 2,3 %</v>
      </c>
      <c r="E123" s="1" t="str">
        <f>IFERROR(__xludf.DUMMYFUNCTION("""COMPUTED_VALUE"""),"+ 3,4 %")</f>
        <v>+ 3,4 %</v>
      </c>
    </row>
    <row r="124">
      <c r="A124" s="2">
        <f>IFERROR(__xludf.DUMMYFUNCTION("""COMPUTED_VALUE"""),42461.0)</f>
        <v>42461</v>
      </c>
      <c r="B124" s="1" t="str">
        <f>IFERROR(__xludf.DUMMYFUNCTION("""COMPUTED_VALUE"""),"2.783 €/m2")</f>
        <v>2.783 €/m2</v>
      </c>
      <c r="C124" s="1" t="str">
        <f>IFERROR(__xludf.DUMMYFUNCTION("""COMPUTED_VALUE"""),"+ 1,7 %")</f>
        <v>+ 1,7 %</v>
      </c>
      <c r="D124" s="1" t="str">
        <f>IFERROR(__xludf.DUMMYFUNCTION("""COMPUTED_VALUE"""),"+ 1,8 %")</f>
        <v>+ 1,8 %</v>
      </c>
      <c r="E124" s="1" t="str">
        <f>IFERROR(__xludf.DUMMYFUNCTION("""COMPUTED_VALUE"""),"+ 2,8 %")</f>
        <v>+ 2,8 %</v>
      </c>
    </row>
    <row r="125">
      <c r="A125" s="2">
        <f>IFERROR(__xludf.DUMMYFUNCTION("""COMPUTED_VALUE"""),42430.0)</f>
        <v>42430</v>
      </c>
      <c r="B125" s="1" t="str">
        <f>IFERROR(__xludf.DUMMYFUNCTION("""COMPUTED_VALUE"""),"2.736 €/m2")</f>
        <v>2.736 €/m2</v>
      </c>
      <c r="C125" s="1" t="str">
        <f>IFERROR(__xludf.DUMMYFUNCTION("""COMPUTED_VALUE"""),"n.d.")</f>
        <v>n.d.</v>
      </c>
      <c r="D125" s="1" t="str">
        <f>IFERROR(__xludf.DUMMYFUNCTION("""COMPUTED_VALUE"""),"- 0,9 %")</f>
        <v>- 0,9 %</v>
      </c>
      <c r="E125" s="1" t="str">
        <f>IFERROR(__xludf.DUMMYFUNCTION("""COMPUTED_VALUE"""),"+ 1,1 %")</f>
        <v>+ 1,1 %</v>
      </c>
    </row>
    <row r="126">
      <c r="A126" s="2">
        <f>IFERROR(__xludf.DUMMYFUNCTION("""COMPUTED_VALUE"""),42401.0)</f>
        <v>42401</v>
      </c>
      <c r="B126" s="1" t="str">
        <f>IFERROR(__xludf.DUMMYFUNCTION("""COMPUTED_VALUE"""),"2.736 €/m2")</f>
        <v>2.736 €/m2</v>
      </c>
      <c r="C126" s="1" t="str">
        <f>IFERROR(__xludf.DUMMYFUNCTION("""COMPUTED_VALUE"""),"+ 0,1 %")</f>
        <v>+ 0,1 %</v>
      </c>
      <c r="D126" s="1" t="str">
        <f>IFERROR(__xludf.DUMMYFUNCTION("""COMPUTED_VALUE"""),"- 0,4 %")</f>
        <v>- 0,4 %</v>
      </c>
      <c r="E126" s="1" t="str">
        <f>IFERROR(__xludf.DUMMYFUNCTION("""COMPUTED_VALUE"""),"+ 2,4 %")</f>
        <v>+ 2,4 %</v>
      </c>
    </row>
    <row r="127">
      <c r="A127" s="2">
        <f>IFERROR(__xludf.DUMMYFUNCTION("""COMPUTED_VALUE"""),42370.0)</f>
        <v>42370</v>
      </c>
      <c r="B127" s="1" t="str">
        <f>IFERROR(__xludf.DUMMYFUNCTION("""COMPUTED_VALUE"""),"2.732 €/m2")</f>
        <v>2.732 €/m2</v>
      </c>
      <c r="C127" s="1" t="str">
        <f>IFERROR(__xludf.DUMMYFUNCTION("""COMPUTED_VALUE"""),"- 1,1 %")</f>
        <v>- 1,1 %</v>
      </c>
      <c r="D127" s="1" t="str">
        <f>IFERROR(__xludf.DUMMYFUNCTION("""COMPUTED_VALUE"""),"- 1,6 %")</f>
        <v>- 1,6 %</v>
      </c>
      <c r="E127" s="1" t="str">
        <f>IFERROR(__xludf.DUMMYFUNCTION("""COMPUTED_VALUE"""),"+ 2,5 %")</f>
        <v>+ 2,5 %</v>
      </c>
    </row>
    <row r="128">
      <c r="A128" s="2">
        <f>IFERROR(__xludf.DUMMYFUNCTION("""COMPUTED_VALUE"""),42339.0)</f>
        <v>42339</v>
      </c>
      <c r="B128" s="1" t="str">
        <f>IFERROR(__xludf.DUMMYFUNCTION("""COMPUTED_VALUE"""),"2.761 €/m2")</f>
        <v>2.761 €/m2</v>
      </c>
      <c r="C128" s="1" t="str">
        <f>IFERROR(__xludf.DUMMYFUNCTION("""COMPUTED_VALUE"""),"+ 0,5 %")</f>
        <v>+ 0,5 %</v>
      </c>
      <c r="D128" s="1" t="str">
        <f>IFERROR(__xludf.DUMMYFUNCTION("""COMPUTED_VALUE"""),"- 0,4 %")</f>
        <v>- 0,4 %</v>
      </c>
      <c r="E128" s="1" t="str">
        <f>IFERROR(__xludf.DUMMYFUNCTION("""COMPUTED_VALUE"""),"+ 3,5 %")</f>
        <v>+ 3,5 %</v>
      </c>
    </row>
    <row r="129">
      <c r="A129" s="2">
        <f>IFERROR(__xludf.DUMMYFUNCTION("""COMPUTED_VALUE"""),42309.0)</f>
        <v>42309</v>
      </c>
      <c r="B129" s="1" t="str">
        <f>IFERROR(__xludf.DUMMYFUNCTION("""COMPUTED_VALUE"""),"2.748 €/m2")</f>
        <v>2.748 €/m2</v>
      </c>
      <c r="C129" s="1" t="str">
        <f>IFERROR(__xludf.DUMMYFUNCTION("""COMPUTED_VALUE"""),"- 1,0 %")</f>
        <v>- 1,0 %</v>
      </c>
      <c r="D129" s="1" t="str">
        <f>IFERROR(__xludf.DUMMYFUNCTION("""COMPUTED_VALUE"""),"- 0,3 %")</f>
        <v>- 0,3 %</v>
      </c>
      <c r="E129" s="1" t="str">
        <f>IFERROR(__xludf.DUMMYFUNCTION("""COMPUTED_VALUE"""),"+ 3,4 %")</f>
        <v>+ 3,4 %</v>
      </c>
    </row>
    <row r="130">
      <c r="A130" s="2">
        <f>IFERROR(__xludf.DUMMYFUNCTION("""COMPUTED_VALUE"""),42278.0)</f>
        <v>42278</v>
      </c>
      <c r="B130" s="1" t="str">
        <f>IFERROR(__xludf.DUMMYFUNCTION("""COMPUTED_VALUE"""),"2.776 €/m2")</f>
        <v>2.776 €/m2</v>
      </c>
      <c r="C130" s="1" t="str">
        <f>IFERROR(__xludf.DUMMYFUNCTION("""COMPUTED_VALUE"""),"+ 0,1 %")</f>
        <v>+ 0,1 %</v>
      </c>
      <c r="D130" s="1" t="str">
        <f>IFERROR(__xludf.DUMMYFUNCTION("""COMPUTED_VALUE"""),"+ 1,2 %")</f>
        <v>+ 1,2 %</v>
      </c>
      <c r="E130" s="1" t="str">
        <f>IFERROR(__xludf.DUMMYFUNCTION("""COMPUTED_VALUE"""),"+ 4,1 %")</f>
        <v>+ 4,1 %</v>
      </c>
    </row>
    <row r="131">
      <c r="A131" s="2">
        <f>IFERROR(__xludf.DUMMYFUNCTION("""COMPUTED_VALUE"""),42248.0)</f>
        <v>42248</v>
      </c>
      <c r="B131" s="1" t="str">
        <f>IFERROR(__xludf.DUMMYFUNCTION("""COMPUTED_VALUE"""),"2.773 €/m2")</f>
        <v>2.773 €/m2</v>
      </c>
      <c r="C131" s="1" t="str">
        <f>IFERROR(__xludf.DUMMYFUNCTION("""COMPUTED_VALUE"""),"+ 0,6 %")</f>
        <v>+ 0,6 %</v>
      </c>
      <c r="D131" s="1" t="str">
        <f>IFERROR(__xludf.DUMMYFUNCTION("""COMPUTED_VALUE"""),"+ 1,2 %")</f>
        <v>+ 1,2 %</v>
      </c>
      <c r="E131" s="1" t="str">
        <f>IFERROR(__xludf.DUMMYFUNCTION("""COMPUTED_VALUE"""),"+ 3,8 %")</f>
        <v>+ 3,8 %</v>
      </c>
    </row>
    <row r="132">
      <c r="A132" s="2">
        <f>IFERROR(__xludf.DUMMYFUNCTION("""COMPUTED_VALUE"""),42217.0)</f>
        <v>42217</v>
      </c>
      <c r="B132" s="1" t="str">
        <f>IFERROR(__xludf.DUMMYFUNCTION("""COMPUTED_VALUE"""),"2.757 €/m2")</f>
        <v>2.757 €/m2</v>
      </c>
      <c r="C132" s="1" t="str">
        <f>IFERROR(__xludf.DUMMYFUNCTION("""COMPUTED_VALUE"""),"+ 0,5 %")</f>
        <v>+ 0,5 %</v>
      </c>
      <c r="D132" s="1" t="str">
        <f>IFERROR(__xludf.DUMMYFUNCTION("""COMPUTED_VALUE"""),"+ 1,8 %")</f>
        <v>+ 1,8 %</v>
      </c>
      <c r="E132" s="1" t="str">
        <f>IFERROR(__xludf.DUMMYFUNCTION("""COMPUTED_VALUE"""),"+ 2,6 %")</f>
        <v>+ 2,6 %</v>
      </c>
    </row>
    <row r="133">
      <c r="A133" s="2">
        <f>IFERROR(__xludf.DUMMYFUNCTION("""COMPUTED_VALUE"""),42186.0)</f>
        <v>42186</v>
      </c>
      <c r="B133" s="1" t="str">
        <f>IFERROR(__xludf.DUMMYFUNCTION("""COMPUTED_VALUE"""),"2.742 €/m2")</f>
        <v>2.742 €/m2</v>
      </c>
      <c r="C133" s="1" t="str">
        <f>IFERROR(__xludf.DUMMYFUNCTION("""COMPUTED_VALUE"""),"+ 0,1 %")</f>
        <v>+ 0,1 %</v>
      </c>
      <c r="D133" s="1" t="str">
        <f>IFERROR(__xludf.DUMMYFUNCTION("""COMPUTED_VALUE"""),"+ 1,3 %")</f>
        <v>+ 1,3 %</v>
      </c>
      <c r="E133" s="1" t="str">
        <f>IFERROR(__xludf.DUMMYFUNCTION("""COMPUTED_VALUE"""),"+ 1,5 %")</f>
        <v>+ 1,5 %</v>
      </c>
    </row>
    <row r="134">
      <c r="A134" s="2">
        <f>IFERROR(__xludf.DUMMYFUNCTION("""COMPUTED_VALUE"""),42156.0)</f>
        <v>42156</v>
      </c>
      <c r="B134" s="1" t="str">
        <f>IFERROR(__xludf.DUMMYFUNCTION("""COMPUTED_VALUE"""),"2.739 €/m2")</f>
        <v>2.739 €/m2</v>
      </c>
      <c r="C134" s="1" t="str">
        <f>IFERROR(__xludf.DUMMYFUNCTION("""COMPUTED_VALUE"""),"+ 1,2 %")</f>
        <v>+ 1,2 %</v>
      </c>
      <c r="D134" s="1" t="str">
        <f>IFERROR(__xludf.DUMMYFUNCTION("""COMPUTED_VALUE"""),"+ 1,3 %")</f>
        <v>+ 1,3 %</v>
      </c>
      <c r="E134" s="1" t="str">
        <f>IFERROR(__xludf.DUMMYFUNCTION("""COMPUTED_VALUE"""),"+ 1,1 %")</f>
        <v>+ 1,1 %</v>
      </c>
    </row>
    <row r="135">
      <c r="A135" s="2">
        <f>IFERROR(__xludf.DUMMYFUNCTION("""COMPUTED_VALUE"""),42125.0)</f>
        <v>42125</v>
      </c>
      <c r="B135" s="1" t="str">
        <f>IFERROR(__xludf.DUMMYFUNCTION("""COMPUTED_VALUE"""),"2.708 €/m2")</f>
        <v>2.708 €/m2</v>
      </c>
      <c r="C135" s="1" t="str">
        <f>IFERROR(__xludf.DUMMYFUNCTION("""COMPUTED_VALUE"""),"0,0 %")</f>
        <v>0,0 %</v>
      </c>
      <c r="D135" s="1" t="str">
        <f>IFERROR(__xludf.DUMMYFUNCTION("""COMPUTED_VALUE"""),"+ 1,3 %")</f>
        <v>+ 1,3 %</v>
      </c>
      <c r="E135" s="1" t="str">
        <f>IFERROR(__xludf.DUMMYFUNCTION("""COMPUTED_VALUE"""),"+ 0,4 %")</f>
        <v>+ 0,4 %</v>
      </c>
    </row>
    <row r="136">
      <c r="A136" s="2">
        <f>IFERROR(__xludf.DUMMYFUNCTION("""COMPUTED_VALUE"""),42095.0)</f>
        <v>42095</v>
      </c>
      <c r="B136" s="1" t="str">
        <f>IFERROR(__xludf.DUMMYFUNCTION("""COMPUTED_VALUE"""),"2.708 €/m2")</f>
        <v>2.708 €/m2</v>
      </c>
      <c r="C136" s="1" t="str">
        <f>IFERROR(__xludf.DUMMYFUNCTION("""COMPUTED_VALUE"""),"+ 0,1 %")</f>
        <v>+ 0,1 %</v>
      </c>
      <c r="D136" s="1" t="str">
        <f>IFERROR(__xludf.DUMMYFUNCTION("""COMPUTED_VALUE"""),"+ 1,5 %")</f>
        <v>+ 1,5 %</v>
      </c>
      <c r="E136" s="1" t="str">
        <f>IFERROR(__xludf.DUMMYFUNCTION("""COMPUTED_VALUE"""),"- 0,2 %")</f>
        <v>- 0,2 %</v>
      </c>
    </row>
    <row r="137">
      <c r="A137" s="2">
        <f>IFERROR(__xludf.DUMMYFUNCTION("""COMPUTED_VALUE"""),42064.0)</f>
        <v>42064</v>
      </c>
      <c r="B137" s="1" t="str">
        <f>IFERROR(__xludf.DUMMYFUNCTION("""COMPUTED_VALUE"""),"2.705 €/m2")</f>
        <v>2.705 €/m2</v>
      </c>
      <c r="C137" s="1" t="str">
        <f>IFERROR(__xludf.DUMMYFUNCTION("""COMPUTED_VALUE"""),"+ 1,2 %")</f>
        <v>+ 1,2 %</v>
      </c>
      <c r="D137" s="1" t="str">
        <f>IFERROR(__xludf.DUMMYFUNCTION("""COMPUTED_VALUE"""),"+ 1,4 %")</f>
        <v>+ 1,4 %</v>
      </c>
      <c r="E137" s="1" t="str">
        <f>IFERROR(__xludf.DUMMYFUNCTION("""COMPUTED_VALUE"""),"- 0,9 %")</f>
        <v>- 0,9 %</v>
      </c>
    </row>
    <row r="138">
      <c r="A138" s="2">
        <f>IFERROR(__xludf.DUMMYFUNCTION("""COMPUTED_VALUE"""),42036.0)</f>
        <v>42036</v>
      </c>
      <c r="B138" s="1" t="str">
        <f>IFERROR(__xludf.DUMMYFUNCTION("""COMPUTED_VALUE"""),"2.672 €/m2")</f>
        <v>2.672 €/m2</v>
      </c>
      <c r="C138" s="1" t="str">
        <f>IFERROR(__xludf.DUMMYFUNCTION("""COMPUTED_VALUE"""),"+ 0,2 %")</f>
        <v>+ 0,2 %</v>
      </c>
      <c r="D138" s="1" t="str">
        <f>IFERROR(__xludf.DUMMYFUNCTION("""COMPUTED_VALUE"""),"+ 0,5 %")</f>
        <v>+ 0,5 %</v>
      </c>
      <c r="E138" s="1" t="str">
        <f>IFERROR(__xludf.DUMMYFUNCTION("""COMPUTED_VALUE"""),"- 1,7 %")</f>
        <v>- 1,7 %</v>
      </c>
    </row>
    <row r="139">
      <c r="A139" s="2">
        <f>IFERROR(__xludf.DUMMYFUNCTION("""COMPUTED_VALUE"""),42005.0)</f>
        <v>42005</v>
      </c>
      <c r="B139" s="1" t="str">
        <f>IFERROR(__xludf.DUMMYFUNCTION("""COMPUTED_VALUE"""),"2.667 €/m2")</f>
        <v>2.667 €/m2</v>
      </c>
      <c r="C139" s="1" t="str">
        <f>IFERROR(__xludf.DUMMYFUNCTION("""COMPUTED_VALUE"""),"- 0,1 %")</f>
        <v>- 0,1 %</v>
      </c>
      <c r="D139" s="1" t="str">
        <f>IFERROR(__xludf.DUMMYFUNCTION("""COMPUTED_VALUE"""),"n.d.")</f>
        <v>n.d.</v>
      </c>
      <c r="E139" s="1" t="str">
        <f>IFERROR(__xludf.DUMMYFUNCTION("""COMPUTED_VALUE"""),"- 0,5 %")</f>
        <v>- 0,5 %</v>
      </c>
    </row>
    <row r="140">
      <c r="A140" s="2">
        <f>IFERROR(__xludf.DUMMYFUNCTION("""COMPUTED_VALUE"""),41974.0)</f>
        <v>41974</v>
      </c>
      <c r="B140" s="1" t="str">
        <f>IFERROR(__xludf.DUMMYFUNCTION("""COMPUTED_VALUE"""),"2.669 €/m2")</f>
        <v>2.669 €/m2</v>
      </c>
      <c r="C140" s="1" t="str">
        <f>IFERROR(__xludf.DUMMYFUNCTION("""COMPUTED_VALUE"""),"+ 0,4 %")</f>
        <v>+ 0,4 %</v>
      </c>
      <c r="D140" s="1" t="str">
        <f>IFERROR(__xludf.DUMMYFUNCTION("""COMPUTED_VALUE"""),"- 0,1 %")</f>
        <v>- 0,1 %</v>
      </c>
      <c r="E140" s="1" t="str">
        <f>IFERROR(__xludf.DUMMYFUNCTION("""COMPUTED_VALUE"""),"- 0,9 %")</f>
        <v>- 0,9 %</v>
      </c>
    </row>
    <row r="141">
      <c r="A141" s="2">
        <f>IFERROR(__xludf.DUMMYFUNCTION("""COMPUTED_VALUE"""),41944.0)</f>
        <v>41944</v>
      </c>
      <c r="B141" s="1" t="str">
        <f>IFERROR(__xludf.DUMMYFUNCTION("""COMPUTED_VALUE"""),"2.658 €/m2")</f>
        <v>2.658 €/m2</v>
      </c>
      <c r="C141" s="1" t="str">
        <f>IFERROR(__xludf.DUMMYFUNCTION("""COMPUTED_VALUE"""),"- 0,3 %")</f>
        <v>- 0,3 %</v>
      </c>
      <c r="D141" s="1" t="str">
        <f>IFERROR(__xludf.DUMMYFUNCTION("""COMPUTED_VALUE"""),"- 1,1 %")</f>
        <v>- 1,1 %</v>
      </c>
      <c r="E141" s="1" t="str">
        <f>IFERROR(__xludf.DUMMYFUNCTION("""COMPUTED_VALUE"""),"- 2,1 %")</f>
        <v>- 2,1 %</v>
      </c>
    </row>
    <row r="142">
      <c r="A142" s="2">
        <f>IFERROR(__xludf.DUMMYFUNCTION("""COMPUTED_VALUE"""),41913.0)</f>
        <v>41913</v>
      </c>
      <c r="B142" s="1" t="str">
        <f>IFERROR(__xludf.DUMMYFUNCTION("""COMPUTED_VALUE"""),"2.667 €/m2")</f>
        <v>2.667 €/m2</v>
      </c>
      <c r="C142" s="1" t="str">
        <f>IFERROR(__xludf.DUMMYFUNCTION("""COMPUTED_VALUE"""),"- 0,2 %")</f>
        <v>- 0,2 %</v>
      </c>
      <c r="D142" s="1" t="str">
        <f>IFERROR(__xludf.DUMMYFUNCTION("""COMPUTED_VALUE"""),"- 1,3 %")</f>
        <v>- 1,3 %</v>
      </c>
      <c r="E142" s="1" t="str">
        <f>IFERROR(__xludf.DUMMYFUNCTION("""COMPUTED_VALUE"""),"- 3,0 %")</f>
        <v>- 3,0 %</v>
      </c>
    </row>
    <row r="143">
      <c r="A143" s="2">
        <f>IFERROR(__xludf.DUMMYFUNCTION("""COMPUTED_VALUE"""),41883.0)</f>
        <v>41883</v>
      </c>
      <c r="B143" s="1" t="str">
        <f>IFERROR(__xludf.DUMMYFUNCTION("""COMPUTED_VALUE"""),"2.671 €/m2")</f>
        <v>2.671 €/m2</v>
      </c>
      <c r="C143" s="1" t="str">
        <f>IFERROR(__xludf.DUMMYFUNCTION("""COMPUTED_VALUE"""),"- 0,6 %")</f>
        <v>- 0,6 %</v>
      </c>
      <c r="D143" s="1" t="str">
        <f>IFERROR(__xludf.DUMMYFUNCTION("""COMPUTED_VALUE"""),"- 1,4 %")</f>
        <v>- 1,4 %</v>
      </c>
      <c r="E143" s="1" t="str">
        <f>IFERROR(__xludf.DUMMYFUNCTION("""COMPUTED_VALUE"""),"- 3,3 %")</f>
        <v>- 3,3 %</v>
      </c>
    </row>
    <row r="144">
      <c r="A144" s="2">
        <f>IFERROR(__xludf.DUMMYFUNCTION("""COMPUTED_VALUE"""),41852.0)</f>
        <v>41852</v>
      </c>
      <c r="B144" s="1" t="str">
        <f>IFERROR(__xludf.DUMMYFUNCTION("""COMPUTED_VALUE"""),"2.688 €/m2")</f>
        <v>2.688 €/m2</v>
      </c>
      <c r="C144" s="1" t="str">
        <f>IFERROR(__xludf.DUMMYFUNCTION("""COMPUTED_VALUE"""),"- 0,6 %")</f>
        <v>- 0,6 %</v>
      </c>
      <c r="D144" s="1" t="str">
        <f>IFERROR(__xludf.DUMMYFUNCTION("""COMPUTED_VALUE"""),"- 0,4 %")</f>
        <v>- 0,4 %</v>
      </c>
      <c r="E144" s="1" t="str">
        <f>IFERROR(__xludf.DUMMYFUNCTION("""COMPUTED_VALUE"""),"- 2,3 %")</f>
        <v>- 2,3 %</v>
      </c>
    </row>
    <row r="145">
      <c r="A145" s="2">
        <f>IFERROR(__xludf.DUMMYFUNCTION("""COMPUTED_VALUE"""),41821.0)</f>
        <v>41821</v>
      </c>
      <c r="B145" s="1" t="str">
        <f>IFERROR(__xludf.DUMMYFUNCTION("""COMPUTED_VALUE"""),"2.703 €/m2")</f>
        <v>2.703 €/m2</v>
      </c>
      <c r="C145" s="1" t="str">
        <f>IFERROR(__xludf.DUMMYFUNCTION("""COMPUTED_VALUE"""),"- 0,2 %")</f>
        <v>- 0,2 %</v>
      </c>
      <c r="D145" s="1" t="str">
        <f>IFERROR(__xludf.DUMMYFUNCTION("""COMPUTED_VALUE"""),"- 0,4 %")</f>
        <v>- 0,4 %</v>
      </c>
      <c r="E145" s="1" t="str">
        <f>IFERROR(__xludf.DUMMYFUNCTION("""COMPUTED_VALUE"""),"- 2,7 %")</f>
        <v>- 2,7 %</v>
      </c>
    </row>
    <row r="146">
      <c r="A146" s="2">
        <f>IFERROR(__xludf.DUMMYFUNCTION("""COMPUTED_VALUE"""),41791.0)</f>
        <v>41791</v>
      </c>
      <c r="B146" s="1" t="str">
        <f>IFERROR(__xludf.DUMMYFUNCTION("""COMPUTED_VALUE"""),"2.709 €/m2")</f>
        <v>2.709 €/m2</v>
      </c>
      <c r="C146" s="1" t="str">
        <f>IFERROR(__xludf.DUMMYFUNCTION("""COMPUTED_VALUE"""),"+ 0,4 %")</f>
        <v>+ 0,4 %</v>
      </c>
      <c r="D146" s="1" t="str">
        <f>IFERROR(__xludf.DUMMYFUNCTION("""COMPUTED_VALUE"""),"- 0,7 %")</f>
        <v>- 0,7 %</v>
      </c>
      <c r="E146" s="1" t="str">
        <f>IFERROR(__xludf.DUMMYFUNCTION("""COMPUTED_VALUE"""),"- 2,6 %")</f>
        <v>- 2,6 %</v>
      </c>
    </row>
    <row r="147">
      <c r="A147" s="2">
        <f>IFERROR(__xludf.DUMMYFUNCTION("""COMPUTED_VALUE"""),41760.0)</f>
        <v>41760</v>
      </c>
      <c r="B147" s="1" t="str">
        <f>IFERROR(__xludf.DUMMYFUNCTION("""COMPUTED_VALUE"""),"2.697 €/m2")</f>
        <v>2.697 €/m2</v>
      </c>
      <c r="C147" s="1" t="str">
        <f>IFERROR(__xludf.DUMMYFUNCTION("""COMPUTED_VALUE"""),"- 0,6 %")</f>
        <v>- 0,6 %</v>
      </c>
      <c r="D147" s="1" t="str">
        <f>IFERROR(__xludf.DUMMYFUNCTION("""COMPUTED_VALUE"""),"- 0,7 %")</f>
        <v>- 0,7 %</v>
      </c>
      <c r="E147" s="1" t="str">
        <f>IFERROR(__xludf.DUMMYFUNCTION("""COMPUTED_VALUE"""),"- 4,3 %")</f>
        <v>- 4,3 %</v>
      </c>
    </row>
    <row r="148">
      <c r="A148" s="2">
        <f>IFERROR(__xludf.DUMMYFUNCTION("""COMPUTED_VALUE"""),41730.0)</f>
        <v>41730</v>
      </c>
      <c r="B148" s="1" t="str">
        <f>IFERROR(__xludf.DUMMYFUNCTION("""COMPUTED_VALUE"""),"2.714 €/m2")</f>
        <v>2.714 €/m2</v>
      </c>
      <c r="C148" s="1" t="str">
        <f>IFERROR(__xludf.DUMMYFUNCTION("""COMPUTED_VALUE"""),"- 0,6 %")</f>
        <v>- 0,6 %</v>
      </c>
      <c r="D148" s="1" t="str">
        <f>IFERROR(__xludf.DUMMYFUNCTION("""COMPUTED_VALUE"""),"+ 1,3 %")</f>
        <v>+ 1,3 %</v>
      </c>
      <c r="E148" s="1" t="str">
        <f>IFERROR(__xludf.DUMMYFUNCTION("""COMPUTED_VALUE"""),"- 3,8 %")</f>
        <v>- 3,8 %</v>
      </c>
    </row>
    <row r="149">
      <c r="A149" s="2">
        <f>IFERROR(__xludf.DUMMYFUNCTION("""COMPUTED_VALUE"""),41699.0)</f>
        <v>41699</v>
      </c>
      <c r="B149" s="1" t="str">
        <f>IFERROR(__xludf.DUMMYFUNCTION("""COMPUTED_VALUE"""),"2.730 €/m2")</f>
        <v>2.730 €/m2</v>
      </c>
      <c r="C149" s="1" t="str">
        <f>IFERROR(__xludf.DUMMYFUNCTION("""COMPUTED_VALUE"""),"+ 0,5 %")</f>
        <v>+ 0,5 %</v>
      </c>
      <c r="D149" s="1" t="str">
        <f>IFERROR(__xludf.DUMMYFUNCTION("""COMPUTED_VALUE"""),"+ 1,4 %")</f>
        <v>+ 1,4 %</v>
      </c>
      <c r="E149" s="1" t="str">
        <f>IFERROR(__xludf.DUMMYFUNCTION("""COMPUTED_VALUE"""),"- 4,1 %")</f>
        <v>- 4,1 %</v>
      </c>
    </row>
    <row r="150">
      <c r="A150" s="2">
        <f>IFERROR(__xludf.DUMMYFUNCTION("""COMPUTED_VALUE"""),41671.0)</f>
        <v>41671</v>
      </c>
      <c r="B150" s="1" t="str">
        <f>IFERROR(__xludf.DUMMYFUNCTION("""COMPUTED_VALUE"""),"2.717 €/m2")</f>
        <v>2.717 €/m2</v>
      </c>
      <c r="C150" s="1" t="str">
        <f>IFERROR(__xludf.DUMMYFUNCTION("""COMPUTED_VALUE"""),"+ 1,4 %")</f>
        <v>+ 1,4 %</v>
      </c>
      <c r="D150" s="1" t="str">
        <f>IFERROR(__xludf.DUMMYFUNCTION("""COMPUTED_VALUE"""),"+ 0,1 %")</f>
        <v>+ 0,1 %</v>
      </c>
      <c r="E150" s="1" t="str">
        <f>IFERROR(__xludf.DUMMYFUNCTION("""COMPUTED_VALUE"""),"- 5,7 %")</f>
        <v>- 5,7 %</v>
      </c>
    </row>
    <row r="151">
      <c r="A151" s="2">
        <f>IFERROR(__xludf.DUMMYFUNCTION("""COMPUTED_VALUE"""),41640.0)</f>
        <v>41640</v>
      </c>
      <c r="B151" s="1" t="str">
        <f>IFERROR(__xludf.DUMMYFUNCTION("""COMPUTED_VALUE"""),"2.680 €/m2")</f>
        <v>2.680 €/m2</v>
      </c>
      <c r="C151" s="1" t="str">
        <f>IFERROR(__xludf.DUMMYFUNCTION("""COMPUTED_VALUE"""),"- 0,5 %")</f>
        <v>- 0,5 %</v>
      </c>
      <c r="D151" s="1" t="str">
        <f>IFERROR(__xludf.DUMMYFUNCTION("""COMPUTED_VALUE"""),"- 2,5 %")</f>
        <v>- 2,5 %</v>
      </c>
      <c r="E151" s="1" t="str">
        <f>IFERROR(__xludf.DUMMYFUNCTION("""COMPUTED_VALUE"""),"- 7,9 %")</f>
        <v>- 7,9 %</v>
      </c>
    </row>
    <row r="152">
      <c r="A152" s="2">
        <f>IFERROR(__xludf.DUMMYFUNCTION("""COMPUTED_VALUE"""),41609.0)</f>
        <v>41609</v>
      </c>
      <c r="B152" s="1" t="str">
        <f>IFERROR(__xludf.DUMMYFUNCTION("""COMPUTED_VALUE"""),"2.692 €/m2")</f>
        <v>2.692 €/m2</v>
      </c>
      <c r="C152" s="1" t="str">
        <f>IFERROR(__xludf.DUMMYFUNCTION("""COMPUTED_VALUE"""),"- 0,8 %")</f>
        <v>- 0,8 %</v>
      </c>
      <c r="D152" s="1" t="str">
        <f>IFERROR(__xludf.DUMMYFUNCTION("""COMPUTED_VALUE"""),"- 2,5 %")</f>
        <v>- 2,5 %</v>
      </c>
      <c r="E152" s="1" t="str">
        <f>IFERROR(__xludf.DUMMYFUNCTION("""COMPUTED_VALUE"""),"- 7,5 %")</f>
        <v>- 7,5 %</v>
      </c>
    </row>
    <row r="153">
      <c r="A153" s="2">
        <f>IFERROR(__xludf.DUMMYFUNCTION("""COMPUTED_VALUE"""),41579.0)</f>
        <v>41579</v>
      </c>
      <c r="B153" s="1" t="str">
        <f>IFERROR(__xludf.DUMMYFUNCTION("""COMPUTED_VALUE"""),"2.714 €/m2")</f>
        <v>2.714 €/m2</v>
      </c>
      <c r="C153" s="1" t="str">
        <f>IFERROR(__xludf.DUMMYFUNCTION("""COMPUTED_VALUE"""),"- 1,3 %")</f>
        <v>- 1,3 %</v>
      </c>
      <c r="D153" s="1" t="str">
        <f>IFERROR(__xludf.DUMMYFUNCTION("""COMPUTED_VALUE"""),"- 1,3 %")</f>
        <v>- 1,3 %</v>
      </c>
      <c r="E153" s="1" t="str">
        <f>IFERROR(__xludf.DUMMYFUNCTION("""COMPUTED_VALUE"""),"- 8,2 %")</f>
        <v>- 8,2 %</v>
      </c>
    </row>
    <row r="154">
      <c r="A154" s="2">
        <f>IFERROR(__xludf.DUMMYFUNCTION("""COMPUTED_VALUE"""),41548.0)</f>
        <v>41548</v>
      </c>
      <c r="B154" s="1" t="str">
        <f>IFERROR(__xludf.DUMMYFUNCTION("""COMPUTED_VALUE"""),"2.750 €/m2")</f>
        <v>2.750 €/m2</v>
      </c>
      <c r="C154" s="1" t="str">
        <f>IFERROR(__xludf.DUMMYFUNCTION("""COMPUTED_VALUE"""),"- 0,4 %")</f>
        <v>- 0,4 %</v>
      </c>
      <c r="D154" s="1" t="str">
        <f>IFERROR(__xludf.DUMMYFUNCTION("""COMPUTED_VALUE"""),"- 1,0 %")</f>
        <v>- 1,0 %</v>
      </c>
      <c r="E154" s="1" t="str">
        <f>IFERROR(__xludf.DUMMYFUNCTION("""COMPUTED_VALUE"""),"- 8,6 %")</f>
        <v>- 8,6 %</v>
      </c>
    </row>
    <row r="155">
      <c r="A155" s="2">
        <f>IFERROR(__xludf.DUMMYFUNCTION("""COMPUTED_VALUE"""),41518.0)</f>
        <v>41518</v>
      </c>
      <c r="B155" s="1" t="str">
        <f>IFERROR(__xludf.DUMMYFUNCTION("""COMPUTED_VALUE"""),"2.762 €/m2")</f>
        <v>2.762 €/m2</v>
      </c>
      <c r="C155" s="1" t="str">
        <f>IFERROR(__xludf.DUMMYFUNCTION("""COMPUTED_VALUE"""),"+ 0,4 %")</f>
        <v>+ 0,4 %</v>
      </c>
      <c r="D155" s="1" t="str">
        <f>IFERROR(__xludf.DUMMYFUNCTION("""COMPUTED_VALUE"""),"- 0,7 %")</f>
        <v>- 0,7 %</v>
      </c>
      <c r="E155" s="1" t="str">
        <f>IFERROR(__xludf.DUMMYFUNCTION("""COMPUTED_VALUE"""),"- 8,4 %")</f>
        <v>- 8,4 %</v>
      </c>
    </row>
    <row r="156">
      <c r="A156" s="2">
        <f>IFERROR(__xludf.DUMMYFUNCTION("""COMPUTED_VALUE"""),41487.0)</f>
        <v>41487</v>
      </c>
      <c r="B156" s="1" t="str">
        <f>IFERROR(__xludf.DUMMYFUNCTION("""COMPUTED_VALUE"""),"2.750 €/m2")</f>
        <v>2.750 €/m2</v>
      </c>
      <c r="C156" s="1" t="str">
        <f>IFERROR(__xludf.DUMMYFUNCTION("""COMPUTED_VALUE"""),"- 1,0 %")</f>
        <v>- 1,0 %</v>
      </c>
      <c r="D156" s="1" t="str">
        <f>IFERROR(__xludf.DUMMYFUNCTION("""COMPUTED_VALUE"""),"- 2,4 %")</f>
        <v>- 2,4 %</v>
      </c>
      <c r="E156" s="1" t="str">
        <f>IFERROR(__xludf.DUMMYFUNCTION("""COMPUTED_VALUE"""),"- 8,7 %")</f>
        <v>- 8,7 %</v>
      </c>
    </row>
    <row r="157">
      <c r="A157" s="2">
        <f>IFERROR(__xludf.DUMMYFUNCTION("""COMPUTED_VALUE"""),41456.0)</f>
        <v>41456</v>
      </c>
      <c r="B157" s="1" t="str">
        <f>IFERROR(__xludf.DUMMYFUNCTION("""COMPUTED_VALUE"""),"2.778 €/m2")</f>
        <v>2.778 €/m2</v>
      </c>
      <c r="C157" s="1" t="str">
        <f>IFERROR(__xludf.DUMMYFUNCTION("""COMPUTED_VALUE"""),"- 0,1 %")</f>
        <v>- 0,1 %</v>
      </c>
      <c r="D157" s="1" t="str">
        <f>IFERROR(__xludf.DUMMYFUNCTION("""COMPUTED_VALUE"""),"- 1,6 %")</f>
        <v>- 1,6 %</v>
      </c>
      <c r="E157" s="1" t="str">
        <f>IFERROR(__xludf.DUMMYFUNCTION("""COMPUTED_VALUE"""),"- 9,2 %")</f>
        <v>- 9,2 %</v>
      </c>
    </row>
    <row r="158">
      <c r="A158" s="2">
        <f>IFERROR(__xludf.DUMMYFUNCTION("""COMPUTED_VALUE"""),41426.0)</f>
        <v>41426</v>
      </c>
      <c r="B158" s="1" t="str">
        <f>IFERROR(__xludf.DUMMYFUNCTION("""COMPUTED_VALUE"""),"2.781 €/m2")</f>
        <v>2.781 €/m2</v>
      </c>
      <c r="C158" s="1" t="str">
        <f>IFERROR(__xludf.DUMMYFUNCTION("""COMPUTED_VALUE"""),"- 1,3 %")</f>
        <v>- 1,3 %</v>
      </c>
      <c r="D158" s="1" t="str">
        <f>IFERROR(__xludf.DUMMYFUNCTION("""COMPUTED_VALUE"""),"- 2,3 %")</f>
        <v>- 2,3 %</v>
      </c>
      <c r="E158" s="1" t="str">
        <f>IFERROR(__xludf.DUMMYFUNCTION("""COMPUTED_VALUE"""),"- 10,2 %")</f>
        <v>- 10,2 %</v>
      </c>
    </row>
    <row r="159">
      <c r="A159" s="2">
        <f>IFERROR(__xludf.DUMMYFUNCTION("""COMPUTED_VALUE"""),41395.0)</f>
        <v>41395</v>
      </c>
      <c r="B159" s="1" t="str">
        <f>IFERROR(__xludf.DUMMYFUNCTION("""COMPUTED_VALUE"""),"2.818 €/m2")</f>
        <v>2.818 €/m2</v>
      </c>
      <c r="C159" s="1" t="str">
        <f>IFERROR(__xludf.DUMMYFUNCTION("""COMPUTED_VALUE"""),"- 0,1 %")</f>
        <v>- 0,1 %</v>
      </c>
      <c r="D159" s="1" t="str">
        <f>IFERROR(__xludf.DUMMYFUNCTION("""COMPUTED_VALUE"""),"- 2,2 %")</f>
        <v>- 2,2 %</v>
      </c>
      <c r="E159" s="1" t="str">
        <f>IFERROR(__xludf.DUMMYFUNCTION("""COMPUTED_VALUE"""),"- 10,4 %")</f>
        <v>- 10,4 %</v>
      </c>
    </row>
    <row r="160">
      <c r="A160" s="2">
        <f>IFERROR(__xludf.DUMMYFUNCTION("""COMPUTED_VALUE"""),41365.0)</f>
        <v>41365</v>
      </c>
      <c r="B160" s="1" t="str">
        <f>IFERROR(__xludf.DUMMYFUNCTION("""COMPUTED_VALUE"""),"2.821 €/m2")</f>
        <v>2.821 €/m2</v>
      </c>
      <c r="C160" s="1" t="str">
        <f>IFERROR(__xludf.DUMMYFUNCTION("""COMPUTED_VALUE"""),"- 0,9 %")</f>
        <v>- 0,9 %</v>
      </c>
      <c r="D160" s="1" t="str">
        <f>IFERROR(__xludf.DUMMYFUNCTION("""COMPUTED_VALUE"""),"- 3,1 %")</f>
        <v>- 3,1 %</v>
      </c>
      <c r="E160" s="1" t="str">
        <f>IFERROR(__xludf.DUMMYFUNCTION("""COMPUTED_VALUE"""),"- 10,8 %")</f>
        <v>- 10,8 %</v>
      </c>
    </row>
    <row r="161">
      <c r="A161" s="2">
        <f>IFERROR(__xludf.DUMMYFUNCTION("""COMPUTED_VALUE"""),41334.0)</f>
        <v>41334</v>
      </c>
      <c r="B161" s="1" t="str">
        <f>IFERROR(__xludf.DUMMYFUNCTION("""COMPUTED_VALUE"""),"2.846 €/m2")</f>
        <v>2.846 €/m2</v>
      </c>
      <c r="C161" s="1" t="str">
        <f>IFERROR(__xludf.DUMMYFUNCTION("""COMPUTED_VALUE"""),"- 1,2 %")</f>
        <v>- 1,2 %</v>
      </c>
      <c r="D161" s="1" t="str">
        <f>IFERROR(__xludf.DUMMYFUNCTION("""COMPUTED_VALUE"""),"- 2,2 %")</f>
        <v>- 2,2 %</v>
      </c>
      <c r="E161" s="1" t="str">
        <f>IFERROR(__xludf.DUMMYFUNCTION("""COMPUTED_VALUE"""),"- 12,2 %")</f>
        <v>- 12,2 %</v>
      </c>
    </row>
    <row r="162">
      <c r="A162" s="2">
        <f>IFERROR(__xludf.DUMMYFUNCTION("""COMPUTED_VALUE"""),41306.0)</f>
        <v>41306</v>
      </c>
      <c r="B162" s="1" t="str">
        <f>IFERROR(__xludf.DUMMYFUNCTION("""COMPUTED_VALUE"""),"2.881 €/m2")</f>
        <v>2.881 €/m2</v>
      </c>
      <c r="C162" s="1" t="str">
        <f>IFERROR(__xludf.DUMMYFUNCTION("""COMPUTED_VALUE"""),"- 1,0 %")</f>
        <v>- 1,0 %</v>
      </c>
      <c r="D162" s="1" t="str">
        <f>IFERROR(__xludf.DUMMYFUNCTION("""COMPUTED_VALUE"""),"- 2,5 %")</f>
        <v>- 2,5 %</v>
      </c>
      <c r="E162" s="1" t="str">
        <f>IFERROR(__xludf.DUMMYFUNCTION("""COMPUTED_VALUE"""),"- 10,8 %")</f>
        <v>- 10,8 %</v>
      </c>
    </row>
    <row r="163">
      <c r="A163" s="2">
        <f>IFERROR(__xludf.DUMMYFUNCTION("""COMPUTED_VALUE"""),41275.0)</f>
        <v>41275</v>
      </c>
      <c r="B163" s="1" t="str">
        <f>IFERROR(__xludf.DUMMYFUNCTION("""COMPUTED_VALUE"""),"2.910 €/m2")</f>
        <v>2.910 €/m2</v>
      </c>
      <c r="C163" s="1" t="str">
        <f>IFERROR(__xludf.DUMMYFUNCTION("""COMPUTED_VALUE"""),"0,0 %")</f>
        <v>0,0 %</v>
      </c>
      <c r="D163" s="1" t="str">
        <f>IFERROR(__xludf.DUMMYFUNCTION("""COMPUTED_VALUE"""),"- 3,2 %")</f>
        <v>- 3,2 %</v>
      </c>
      <c r="E163" s="1" t="str">
        <f>IFERROR(__xludf.DUMMYFUNCTION("""COMPUTED_VALUE"""),"- 10,9 %")</f>
        <v>- 10,9 %</v>
      </c>
    </row>
    <row r="164">
      <c r="A164" s="2">
        <f>IFERROR(__xludf.DUMMYFUNCTION("""COMPUTED_VALUE"""),41244.0)</f>
        <v>41244</v>
      </c>
      <c r="B164" s="1" t="str">
        <f>IFERROR(__xludf.DUMMYFUNCTION("""COMPUTED_VALUE"""),"2.911 €/m2")</f>
        <v>2.911 €/m2</v>
      </c>
      <c r="C164" s="1" t="str">
        <f>IFERROR(__xludf.DUMMYFUNCTION("""COMPUTED_VALUE"""),"- 1,5 %")</f>
        <v>- 1,5 %</v>
      </c>
      <c r="D164" s="1" t="str">
        <f>IFERROR(__xludf.DUMMYFUNCTION("""COMPUTED_VALUE"""),"- 3,4 %")</f>
        <v>- 3,4 %</v>
      </c>
      <c r="E164" s="1" t="str">
        <f>IFERROR(__xludf.DUMMYFUNCTION("""COMPUTED_VALUE"""),"- 11,8 %")</f>
        <v>- 11,8 %</v>
      </c>
    </row>
    <row r="165">
      <c r="A165" s="2">
        <f>IFERROR(__xludf.DUMMYFUNCTION("""COMPUTED_VALUE"""),41214.0)</f>
        <v>41214</v>
      </c>
      <c r="B165" s="1" t="str">
        <f>IFERROR(__xludf.DUMMYFUNCTION("""COMPUTED_VALUE"""),"2.956 €/m2")</f>
        <v>2.956 €/m2</v>
      </c>
      <c r="C165" s="1" t="str">
        <f>IFERROR(__xludf.DUMMYFUNCTION("""COMPUTED_VALUE"""),"- 1,7 %")</f>
        <v>- 1,7 %</v>
      </c>
      <c r="D165" s="1" t="str">
        <f>IFERROR(__xludf.DUMMYFUNCTION("""COMPUTED_VALUE"""),"- 1,8 %")</f>
        <v>- 1,8 %</v>
      </c>
      <c r="E165" s="1" t="str">
        <f>IFERROR(__xludf.DUMMYFUNCTION("""COMPUTED_VALUE"""),"- 10,6 %")</f>
        <v>- 10,6 %</v>
      </c>
    </row>
    <row r="166">
      <c r="A166" s="2">
        <f>IFERROR(__xludf.DUMMYFUNCTION("""COMPUTED_VALUE"""),41183.0)</f>
        <v>41183</v>
      </c>
      <c r="B166" s="1" t="str">
        <f>IFERROR(__xludf.DUMMYFUNCTION("""COMPUTED_VALUE"""),"3.007 €/m2")</f>
        <v>3.007 €/m2</v>
      </c>
      <c r="C166" s="1" t="str">
        <f>IFERROR(__xludf.DUMMYFUNCTION("""COMPUTED_VALUE"""),"- 0,2 %")</f>
        <v>- 0,2 %</v>
      </c>
      <c r="D166" s="1" t="str">
        <f>IFERROR(__xludf.DUMMYFUNCTION("""COMPUTED_VALUE"""),"- 1,7 %")</f>
        <v>- 1,7 %</v>
      </c>
      <c r="E166" s="1" t="str">
        <f>IFERROR(__xludf.DUMMYFUNCTION("""COMPUTED_VALUE"""),"- 9,8 %")</f>
        <v>- 9,8 %</v>
      </c>
    </row>
    <row r="167">
      <c r="A167" s="2">
        <f>IFERROR(__xludf.DUMMYFUNCTION("""COMPUTED_VALUE"""),41153.0)</f>
        <v>41153</v>
      </c>
      <c r="B167" s="1" t="str">
        <f>IFERROR(__xludf.DUMMYFUNCTION("""COMPUTED_VALUE"""),"3.014 €/m2")</f>
        <v>3.014 €/m2</v>
      </c>
      <c r="C167" s="1" t="str">
        <f>IFERROR(__xludf.DUMMYFUNCTION("""COMPUTED_VALUE"""),"+ 0,1 %")</f>
        <v>+ 0,1 %</v>
      </c>
      <c r="D167" s="1" t="str">
        <f>IFERROR(__xludf.DUMMYFUNCTION("""COMPUTED_VALUE"""),"- 2,6 %")</f>
        <v>- 2,6 %</v>
      </c>
      <c r="E167" s="1" t="str">
        <f>IFERROR(__xludf.DUMMYFUNCTION("""COMPUTED_VALUE"""),"- 9,6 %")</f>
        <v>- 9,6 %</v>
      </c>
    </row>
    <row r="168">
      <c r="A168" s="2">
        <f>IFERROR(__xludf.DUMMYFUNCTION("""COMPUTED_VALUE"""),41122.0)</f>
        <v>41122</v>
      </c>
      <c r="B168" s="1" t="str">
        <f>IFERROR(__xludf.DUMMYFUNCTION("""COMPUTED_VALUE"""),"3.010 €/m2")</f>
        <v>3.010 €/m2</v>
      </c>
      <c r="C168" s="1" t="str">
        <f>IFERROR(__xludf.DUMMYFUNCTION("""COMPUTED_VALUE"""),"- 1,6 %")</f>
        <v>- 1,6 %</v>
      </c>
      <c r="D168" s="1" t="str">
        <f>IFERROR(__xludf.DUMMYFUNCTION("""COMPUTED_VALUE"""),"- 4,3 %")</f>
        <v>- 4,3 %</v>
      </c>
      <c r="E168" s="1" t="str">
        <f>IFERROR(__xludf.DUMMYFUNCTION("""COMPUTED_VALUE"""),"- 9,7 %")</f>
        <v>- 9,7 %</v>
      </c>
    </row>
    <row r="169">
      <c r="A169" s="2">
        <f>IFERROR(__xludf.DUMMYFUNCTION("""COMPUTED_VALUE"""),41091.0)</f>
        <v>41091</v>
      </c>
      <c r="B169" s="1" t="str">
        <f>IFERROR(__xludf.DUMMYFUNCTION("""COMPUTED_VALUE"""),"3.060 €/m2")</f>
        <v>3.060 €/m2</v>
      </c>
      <c r="C169" s="1" t="str">
        <f>IFERROR(__xludf.DUMMYFUNCTION("""COMPUTED_VALUE"""),"- 1,1 %")</f>
        <v>- 1,1 %</v>
      </c>
      <c r="D169" s="1" t="str">
        <f>IFERROR(__xludf.DUMMYFUNCTION("""COMPUTED_VALUE"""),"- 3,3 %")</f>
        <v>- 3,3 %</v>
      </c>
      <c r="E169" s="1" t="str">
        <f>IFERROR(__xludf.DUMMYFUNCTION("""COMPUTED_VALUE"""),"- 9,6 %")</f>
        <v>- 9,6 %</v>
      </c>
    </row>
    <row r="170">
      <c r="A170" s="2">
        <f>IFERROR(__xludf.DUMMYFUNCTION("""COMPUTED_VALUE"""),41061.0)</f>
        <v>41061</v>
      </c>
      <c r="B170" s="1" t="str">
        <f>IFERROR(__xludf.DUMMYFUNCTION("""COMPUTED_VALUE"""),"3.095 €/m2")</f>
        <v>3.095 €/m2</v>
      </c>
      <c r="C170" s="1" t="str">
        <f>IFERROR(__xludf.DUMMYFUNCTION("""COMPUTED_VALUE"""),"- 1,6 %")</f>
        <v>- 1,6 %</v>
      </c>
      <c r="D170" s="1" t="str">
        <f>IFERROR(__xludf.DUMMYFUNCTION("""COMPUTED_VALUE"""),"- 4,5 %")</f>
        <v>- 4,5 %</v>
      </c>
      <c r="E170" s="1" t="str">
        <f>IFERROR(__xludf.DUMMYFUNCTION("""COMPUTED_VALUE"""),"- 9,6 %")</f>
        <v>- 9,6 %</v>
      </c>
    </row>
    <row r="171">
      <c r="A171" s="2">
        <f>IFERROR(__xludf.DUMMYFUNCTION("""COMPUTED_VALUE"""),41030.0)</f>
        <v>41030</v>
      </c>
      <c r="B171" s="1" t="str">
        <f>IFERROR(__xludf.DUMMYFUNCTION("""COMPUTED_VALUE"""),"3.144 €/m2")</f>
        <v>3.144 €/m2</v>
      </c>
      <c r="C171" s="1" t="str">
        <f>IFERROR(__xludf.DUMMYFUNCTION("""COMPUTED_VALUE"""),"- 0,6 %")</f>
        <v>- 0,6 %</v>
      </c>
      <c r="D171" s="1" t="str">
        <f>IFERROR(__xludf.DUMMYFUNCTION("""COMPUTED_VALUE"""),"- 2,7 %")</f>
        <v>- 2,7 %</v>
      </c>
      <c r="E171" s="1" t="str">
        <f>IFERROR(__xludf.DUMMYFUNCTION("""COMPUTED_VALUE"""),"- 8,6 %")</f>
        <v>- 8,6 %</v>
      </c>
    </row>
    <row r="172">
      <c r="A172" s="2">
        <f>IFERROR(__xludf.DUMMYFUNCTION("""COMPUTED_VALUE"""),41000.0)</f>
        <v>41000</v>
      </c>
      <c r="B172" s="1" t="str">
        <f>IFERROR(__xludf.DUMMYFUNCTION("""COMPUTED_VALUE"""),"3.164 €/m2")</f>
        <v>3.164 €/m2</v>
      </c>
      <c r="C172" s="1" t="str">
        <f>IFERROR(__xludf.DUMMYFUNCTION("""COMPUTED_VALUE"""),"- 2,4 %")</f>
        <v>- 2,4 %</v>
      </c>
      <c r="D172" s="1" t="str">
        <f>IFERROR(__xludf.DUMMYFUNCTION("""COMPUTED_VALUE"""),"- 3,1 %")</f>
        <v>- 3,1 %</v>
      </c>
      <c r="E172" s="1" t="str">
        <f>IFERROR(__xludf.DUMMYFUNCTION("""COMPUTED_VALUE"""),"- 8,5 %")</f>
        <v>- 8,5 %</v>
      </c>
    </row>
    <row r="173">
      <c r="A173" s="2">
        <f>IFERROR(__xludf.DUMMYFUNCTION("""COMPUTED_VALUE"""),40969.0)</f>
        <v>40969</v>
      </c>
      <c r="B173" s="1" t="str">
        <f>IFERROR(__xludf.DUMMYFUNCTION("""COMPUTED_VALUE"""),"3.242 €/m2")</f>
        <v>3.242 €/m2</v>
      </c>
      <c r="C173" s="1" t="str">
        <f>IFERROR(__xludf.DUMMYFUNCTION("""COMPUTED_VALUE"""),"+ 0,3 %")</f>
        <v>+ 0,3 %</v>
      </c>
      <c r="D173" s="1" t="str">
        <f>IFERROR(__xludf.DUMMYFUNCTION("""COMPUTED_VALUE"""),"- 1,8 %")</f>
        <v>- 1,8 %</v>
      </c>
      <c r="E173" s="1" t="str">
        <f>IFERROR(__xludf.DUMMYFUNCTION("""COMPUTED_VALUE"""),"- 6,7 %")</f>
        <v>- 6,7 %</v>
      </c>
    </row>
    <row r="174">
      <c r="A174" s="2">
        <f>IFERROR(__xludf.DUMMYFUNCTION("""COMPUTED_VALUE"""),40940.0)</f>
        <v>40940</v>
      </c>
      <c r="B174" s="1" t="str">
        <f>IFERROR(__xludf.DUMMYFUNCTION("""COMPUTED_VALUE"""),"3.231 €/m2")</f>
        <v>3.231 €/m2</v>
      </c>
      <c r="C174" s="1" t="str">
        <f>IFERROR(__xludf.DUMMYFUNCTION("""COMPUTED_VALUE"""),"- 1,1 %")</f>
        <v>- 1,1 %</v>
      </c>
      <c r="D174" s="1" t="str">
        <f>IFERROR(__xludf.DUMMYFUNCTION("""COMPUTED_VALUE"""),"- 2,3 %")</f>
        <v>- 2,3 %</v>
      </c>
      <c r="E174" s="1" t="str">
        <f>IFERROR(__xludf.DUMMYFUNCTION("""COMPUTED_VALUE"""),"- 8,3 %")</f>
        <v>- 8,3 %</v>
      </c>
    </row>
    <row r="175">
      <c r="A175" s="2">
        <f>IFERROR(__xludf.DUMMYFUNCTION("""COMPUTED_VALUE"""),40909.0)</f>
        <v>40909</v>
      </c>
      <c r="B175" s="1" t="str">
        <f>IFERROR(__xludf.DUMMYFUNCTION("""COMPUTED_VALUE"""),"3.265 €/m2")</f>
        <v>3.265 €/m2</v>
      </c>
      <c r="C175" s="1" t="str">
        <f>IFERROR(__xludf.DUMMYFUNCTION("""COMPUTED_VALUE"""),"- 1,1 %")</f>
        <v>- 1,1 %</v>
      </c>
      <c r="D175" s="1" t="str">
        <f>IFERROR(__xludf.DUMMYFUNCTION("""COMPUTED_VALUE"""),"- 2,0 %")</f>
        <v>- 2,0 %</v>
      </c>
      <c r="E175" s="1" t="str">
        <f>IFERROR(__xludf.DUMMYFUNCTION("""COMPUTED_VALUE"""),"- 7,8 %")</f>
        <v>- 7,8 %</v>
      </c>
    </row>
    <row r="176">
      <c r="A176" s="2">
        <f>IFERROR(__xludf.DUMMYFUNCTION("""COMPUTED_VALUE"""),40878.0)</f>
        <v>40878</v>
      </c>
      <c r="B176" s="1" t="str">
        <f>IFERROR(__xludf.DUMMYFUNCTION("""COMPUTED_VALUE"""),"3.301 €/m2")</f>
        <v>3.301 €/m2</v>
      </c>
      <c r="C176" s="1" t="str">
        <f>IFERROR(__xludf.DUMMYFUNCTION("""COMPUTED_VALUE"""),"- 0,2 %")</f>
        <v>- 0,2 %</v>
      </c>
      <c r="D176" s="1" t="str">
        <f>IFERROR(__xludf.DUMMYFUNCTION("""COMPUTED_VALUE"""),"- 0,9 %")</f>
        <v>- 0,9 %</v>
      </c>
      <c r="E176" s="1" t="str">
        <f>IFERROR(__xludf.DUMMYFUNCTION("""COMPUTED_VALUE"""),"- 7,3 %")</f>
        <v>- 7,3 %</v>
      </c>
    </row>
    <row r="177">
      <c r="A177" s="2">
        <f>IFERROR(__xludf.DUMMYFUNCTION("""COMPUTED_VALUE"""),40848.0)</f>
        <v>40848</v>
      </c>
      <c r="B177" s="1" t="str">
        <f>IFERROR(__xludf.DUMMYFUNCTION("""COMPUTED_VALUE"""),"3.307 €/m2")</f>
        <v>3.307 €/m2</v>
      </c>
      <c r="C177" s="1" t="str">
        <f>IFERROR(__xludf.DUMMYFUNCTION("""COMPUTED_VALUE"""),"- 0,8 %")</f>
        <v>- 0,8 %</v>
      </c>
      <c r="D177" s="1" t="str">
        <f>IFERROR(__xludf.DUMMYFUNCTION("""COMPUTED_VALUE"""),"- 0,8 %")</f>
        <v>- 0,8 %</v>
      </c>
      <c r="E177" s="1" t="str">
        <f>IFERROR(__xludf.DUMMYFUNCTION("""COMPUTED_VALUE"""),"- 7,5 %")</f>
        <v>- 7,5 %</v>
      </c>
    </row>
    <row r="178">
      <c r="A178" s="2">
        <f>IFERROR(__xludf.DUMMYFUNCTION("""COMPUTED_VALUE"""),40817.0)</f>
        <v>40817</v>
      </c>
      <c r="B178" s="1" t="str">
        <f>IFERROR(__xludf.DUMMYFUNCTION("""COMPUTED_VALUE"""),"3.332 €/m2")</f>
        <v>3.332 €/m2</v>
      </c>
      <c r="C178" s="1" t="str">
        <f>IFERROR(__xludf.DUMMYFUNCTION("""COMPUTED_VALUE"""),"0,0 %")</f>
        <v>0,0 %</v>
      </c>
      <c r="D178" s="1" t="str">
        <f>IFERROR(__xludf.DUMMYFUNCTION("""COMPUTED_VALUE"""),"- 1,6 %")</f>
        <v>- 1,6 %</v>
      </c>
      <c r="E178" s="1" t="str">
        <f>IFERROR(__xludf.DUMMYFUNCTION("""COMPUTED_VALUE"""),"- 6,5 %")</f>
        <v>- 6,5 %</v>
      </c>
    </row>
    <row r="179">
      <c r="A179" s="2">
        <f>IFERROR(__xludf.DUMMYFUNCTION("""COMPUTED_VALUE"""),40787.0)</f>
        <v>40787</v>
      </c>
      <c r="B179" s="1" t="str">
        <f>IFERROR(__xludf.DUMMYFUNCTION("""COMPUTED_VALUE"""),"3.332 €/m2")</f>
        <v>3.332 €/m2</v>
      </c>
      <c r="C179" s="1" t="str">
        <f>IFERROR(__xludf.DUMMYFUNCTION("""COMPUTED_VALUE"""),"0,0 %")</f>
        <v>0,0 %</v>
      </c>
      <c r="D179" s="1" t="str">
        <f>IFERROR(__xludf.DUMMYFUNCTION("""COMPUTED_VALUE"""),"- 2,7 %")</f>
        <v>- 2,7 %</v>
      </c>
      <c r="E179" s="1" t="str">
        <f>IFERROR(__xludf.DUMMYFUNCTION("""COMPUTED_VALUE"""),"- 6,0 %")</f>
        <v>- 6,0 %</v>
      </c>
    </row>
    <row r="180">
      <c r="A180" s="2">
        <f>IFERROR(__xludf.DUMMYFUNCTION("""COMPUTED_VALUE"""),40756.0)</f>
        <v>40756</v>
      </c>
      <c r="B180" s="1" t="str">
        <f>IFERROR(__xludf.DUMMYFUNCTION("""COMPUTED_VALUE"""),"3.332 €/m2")</f>
        <v>3.332 €/m2</v>
      </c>
      <c r="C180" s="1" t="str">
        <f>IFERROR(__xludf.DUMMYFUNCTION("""COMPUTED_VALUE"""),"- 1,6 %")</f>
        <v>- 1,6 %</v>
      </c>
      <c r="D180" s="1" t="str">
        <f>IFERROR(__xludf.DUMMYFUNCTION("""COMPUTED_VALUE"""),"- 3,1 %")</f>
        <v>- 3,1 %</v>
      </c>
      <c r="E180" s="1" t="str">
        <f>IFERROR(__xludf.DUMMYFUNCTION("""COMPUTED_VALUE"""),"- 5,8 %")</f>
        <v>- 5,8 %</v>
      </c>
    </row>
    <row r="181">
      <c r="A181" s="2">
        <f>IFERROR(__xludf.DUMMYFUNCTION("""COMPUTED_VALUE"""),40725.0)</f>
        <v>40725</v>
      </c>
      <c r="B181" s="1" t="str">
        <f>IFERROR(__xludf.DUMMYFUNCTION("""COMPUTED_VALUE"""),"3.387 €/m2")</f>
        <v>3.387 €/m2</v>
      </c>
      <c r="C181" s="1" t="str">
        <f>IFERROR(__xludf.DUMMYFUNCTION("""COMPUTED_VALUE"""),"- 1,1 %")</f>
        <v>- 1,1 %</v>
      </c>
      <c r="D181" s="1" t="str">
        <f>IFERROR(__xludf.DUMMYFUNCTION("""COMPUTED_VALUE"""),"- 2,1 %")</f>
        <v>- 2,1 %</v>
      </c>
      <c r="E181" s="1" t="str">
        <f>IFERROR(__xludf.DUMMYFUNCTION("""COMPUTED_VALUE"""),"- 4,5 %")</f>
        <v>- 4,5 %</v>
      </c>
    </row>
    <row r="182">
      <c r="A182" s="2">
        <f>IFERROR(__xludf.DUMMYFUNCTION("""COMPUTED_VALUE"""),40695.0)</f>
        <v>40695</v>
      </c>
      <c r="B182" s="1" t="str">
        <f>IFERROR(__xludf.DUMMYFUNCTION("""COMPUTED_VALUE"""),"3.426 €/m2")</f>
        <v>3.426 €/m2</v>
      </c>
      <c r="C182" s="1" t="str">
        <f>IFERROR(__xludf.DUMMYFUNCTION("""COMPUTED_VALUE"""),"- 0,4 %")</f>
        <v>- 0,4 %</v>
      </c>
      <c r="D182" s="1" t="str">
        <f>IFERROR(__xludf.DUMMYFUNCTION("""COMPUTED_VALUE"""),"- 1,4 %")</f>
        <v>- 1,4 %</v>
      </c>
      <c r="E182" s="1" t="str">
        <f>IFERROR(__xludf.DUMMYFUNCTION("""COMPUTED_VALUE"""),"- 3,7 %")</f>
        <v>- 3,7 %</v>
      </c>
    </row>
    <row r="183">
      <c r="A183" s="2">
        <f>IFERROR(__xludf.DUMMYFUNCTION("""COMPUTED_VALUE"""),40664.0)</f>
        <v>40664</v>
      </c>
      <c r="B183" s="1" t="str">
        <f>IFERROR(__xludf.DUMMYFUNCTION("""COMPUTED_VALUE"""),"3.440 €/m2")</f>
        <v>3.440 €/m2</v>
      </c>
      <c r="C183" s="1" t="str">
        <f>IFERROR(__xludf.DUMMYFUNCTION("""COMPUTED_VALUE"""),"- 0,6 %")</f>
        <v>- 0,6 %</v>
      </c>
      <c r="D183" s="1" t="str">
        <f>IFERROR(__xludf.DUMMYFUNCTION("""COMPUTED_VALUE"""),"- 2,3 %")</f>
        <v>- 2,3 %</v>
      </c>
      <c r="E183" s="1" t="str">
        <f>IFERROR(__xludf.DUMMYFUNCTION("""COMPUTED_VALUE"""),"- 2,8 %")</f>
        <v>- 2,8 %</v>
      </c>
    </row>
    <row r="184">
      <c r="A184" s="2">
        <f>IFERROR(__xludf.DUMMYFUNCTION("""COMPUTED_VALUE"""),40634.0)</f>
        <v>40634</v>
      </c>
      <c r="B184" s="1" t="str">
        <f>IFERROR(__xludf.DUMMYFUNCTION("""COMPUTED_VALUE"""),"3.460 €/m2")</f>
        <v>3.460 €/m2</v>
      </c>
      <c r="C184" s="1" t="str">
        <f>IFERROR(__xludf.DUMMYFUNCTION("""COMPUTED_VALUE"""),"- 0,4 %")</f>
        <v>- 0,4 %</v>
      </c>
      <c r="D184" s="1" t="str">
        <f>IFERROR(__xludf.DUMMYFUNCTION("""COMPUTED_VALUE"""),"- 2,3 %")</f>
        <v>- 2,3 %</v>
      </c>
      <c r="E184" s="1" t="str">
        <f>IFERROR(__xludf.DUMMYFUNCTION("""COMPUTED_VALUE"""),"- 1,6 %")</f>
        <v>- 1,6 %</v>
      </c>
    </row>
    <row r="185">
      <c r="A185" s="2">
        <f>IFERROR(__xludf.DUMMYFUNCTION("""COMPUTED_VALUE"""),40603.0)</f>
        <v>40603</v>
      </c>
      <c r="B185" s="1" t="str">
        <f>IFERROR(__xludf.DUMMYFUNCTION("""COMPUTED_VALUE"""),"3.475 €/m2")</f>
        <v>3.475 €/m2</v>
      </c>
      <c r="C185" s="1" t="str">
        <f>IFERROR(__xludf.DUMMYFUNCTION("""COMPUTED_VALUE"""),"- 1,4 %")</f>
        <v>- 1,4 %</v>
      </c>
      <c r="D185" s="1" t="str">
        <f>IFERROR(__xludf.DUMMYFUNCTION("""COMPUTED_VALUE"""),"- 2,4 %")</f>
        <v>- 2,4 %</v>
      </c>
      <c r="E185" s="1" t="str">
        <f>IFERROR(__xludf.DUMMYFUNCTION("""COMPUTED_VALUE"""),"- 0,7 %")</f>
        <v>- 0,7 %</v>
      </c>
    </row>
    <row r="186">
      <c r="A186" s="2">
        <f>IFERROR(__xludf.DUMMYFUNCTION("""COMPUTED_VALUE"""),40575.0)</f>
        <v>40575</v>
      </c>
      <c r="B186" s="1" t="str">
        <f>IFERROR(__xludf.DUMMYFUNCTION("""COMPUTED_VALUE"""),"3.523 €/m2")</f>
        <v>3.523 €/m2</v>
      </c>
      <c r="C186" s="1" t="str">
        <f>IFERROR(__xludf.DUMMYFUNCTION("""COMPUTED_VALUE"""),"- 0,6 %")</f>
        <v>- 0,6 %</v>
      </c>
      <c r="D186" s="1" t="str">
        <f>IFERROR(__xludf.DUMMYFUNCTION("""COMPUTED_VALUE"""),"- 1,5 %")</f>
        <v>- 1,5 %</v>
      </c>
      <c r="E186" s="1" t="str">
        <f>IFERROR(__xludf.DUMMYFUNCTION("""COMPUTED_VALUE"""),"+ 0,3 %")</f>
        <v>+ 0,3 %</v>
      </c>
    </row>
    <row r="187">
      <c r="A187" s="2">
        <f>IFERROR(__xludf.DUMMYFUNCTION("""COMPUTED_VALUE"""),40544.0)</f>
        <v>40544</v>
      </c>
      <c r="B187" s="1" t="str">
        <f>IFERROR(__xludf.DUMMYFUNCTION("""COMPUTED_VALUE"""),"3.543 €/m2")</f>
        <v>3.543 €/m2</v>
      </c>
      <c r="C187" s="1" t="str">
        <f>IFERROR(__xludf.DUMMYFUNCTION("""COMPUTED_VALUE"""),"- 0,5 %")</f>
        <v>- 0,5 %</v>
      </c>
      <c r="D187" s="1" t="str">
        <f>IFERROR(__xludf.DUMMYFUNCTION("""COMPUTED_VALUE"""),"- 0,6 %")</f>
        <v>- 0,6 %</v>
      </c>
      <c r="E187" s="1" t="str">
        <f>IFERROR(__xludf.DUMMYFUNCTION("""COMPUTED_VALUE"""),"+ 1,4 %")</f>
        <v>+ 1,4 %</v>
      </c>
    </row>
    <row r="188">
      <c r="A188" s="2">
        <f>IFERROR(__xludf.DUMMYFUNCTION("""COMPUTED_VALUE"""),40513.0)</f>
        <v>40513</v>
      </c>
      <c r="B188" s="1" t="str">
        <f>IFERROR(__xludf.DUMMYFUNCTION("""COMPUTED_VALUE"""),"3.561 €/m2")</f>
        <v>3.561 €/m2</v>
      </c>
      <c r="C188" s="1" t="str">
        <f>IFERROR(__xludf.DUMMYFUNCTION("""COMPUTED_VALUE"""),"- 0,4 %")</f>
        <v>- 0,4 %</v>
      </c>
      <c r="D188" s="1" t="str">
        <f>IFERROR(__xludf.DUMMYFUNCTION("""COMPUTED_VALUE"""),"+ 0,4 %")</f>
        <v>+ 0,4 %</v>
      </c>
      <c r="E188" s="1" t="str">
        <f>IFERROR(__xludf.DUMMYFUNCTION("""COMPUTED_VALUE"""),"+ 1,9 %")</f>
        <v>+ 1,9 %</v>
      </c>
    </row>
    <row r="189">
      <c r="A189" s="2">
        <f>IFERROR(__xludf.DUMMYFUNCTION("""COMPUTED_VALUE"""),40483.0)</f>
        <v>40483</v>
      </c>
      <c r="B189" s="1" t="str">
        <f>IFERROR(__xludf.DUMMYFUNCTION("""COMPUTED_VALUE"""),"3.576 €/m2")</f>
        <v>3.576 €/m2</v>
      </c>
      <c r="C189" s="1" t="str">
        <f>IFERROR(__xludf.DUMMYFUNCTION("""COMPUTED_VALUE"""),"+ 0,4 %")</f>
        <v>+ 0,4 %</v>
      </c>
      <c r="D189" s="1" t="str">
        <f>IFERROR(__xludf.DUMMYFUNCTION("""COMPUTED_VALUE"""),"+ 1,1 %")</f>
        <v>+ 1,1 %</v>
      </c>
      <c r="E189" s="1" t="str">
        <f>IFERROR(__xludf.DUMMYFUNCTION("""COMPUTED_VALUE"""),"+ 0,6 %")</f>
        <v>+ 0,6 %</v>
      </c>
    </row>
    <row r="190">
      <c r="A190" s="2">
        <f>IFERROR(__xludf.DUMMYFUNCTION("""COMPUTED_VALUE"""),40452.0)</f>
        <v>40452</v>
      </c>
      <c r="B190" s="1" t="str">
        <f>IFERROR(__xludf.DUMMYFUNCTION("""COMPUTED_VALUE"""),"3.564 €/m2")</f>
        <v>3.564 €/m2</v>
      </c>
      <c r="C190" s="1" t="str">
        <f>IFERROR(__xludf.DUMMYFUNCTION("""COMPUTED_VALUE"""),"+ 0,5 %")</f>
        <v>+ 0,5 %</v>
      </c>
      <c r="D190" s="1" t="str">
        <f>IFERROR(__xludf.DUMMYFUNCTION("""COMPUTED_VALUE"""),"+ 0,5 %")</f>
        <v>+ 0,5 %</v>
      </c>
      <c r="E190" s="1" t="str">
        <f>IFERROR(__xludf.DUMMYFUNCTION("""COMPUTED_VALUE"""),"n.d.")</f>
        <v>n.d.</v>
      </c>
    </row>
    <row r="191">
      <c r="A191" s="2">
        <f>IFERROR(__xludf.DUMMYFUNCTION("""COMPUTED_VALUE"""),40422.0)</f>
        <v>40422</v>
      </c>
      <c r="B191" s="1" t="str">
        <f>IFERROR(__xludf.DUMMYFUNCTION("""COMPUTED_VALUE"""),"3.545 €/m2")</f>
        <v>3.545 €/m2</v>
      </c>
      <c r="C191" s="1" t="str">
        <f>IFERROR(__xludf.DUMMYFUNCTION("""COMPUTED_VALUE"""),"+ 0,2 %")</f>
        <v>+ 0,2 %</v>
      </c>
      <c r="D191" s="1" t="str">
        <f>IFERROR(__xludf.DUMMYFUNCTION("""COMPUTED_VALUE"""),"- 0,3 %")</f>
        <v>- 0,3 %</v>
      </c>
      <c r="E191" s="1" t="str">
        <f>IFERROR(__xludf.DUMMYFUNCTION("""COMPUTED_VALUE"""),"- 1,2 %")</f>
        <v>- 1,2 %</v>
      </c>
    </row>
    <row r="192">
      <c r="A192" s="2">
        <f>IFERROR(__xludf.DUMMYFUNCTION("""COMPUTED_VALUE"""),40391.0)</f>
        <v>40391</v>
      </c>
      <c r="B192" s="1" t="str">
        <f>IFERROR(__xludf.DUMMYFUNCTION("""COMPUTED_VALUE"""),"3.538 €/m2")</f>
        <v>3.538 €/m2</v>
      </c>
      <c r="C192" s="1" t="str">
        <f>IFERROR(__xludf.DUMMYFUNCTION("""COMPUTED_VALUE"""),"- 0,2 %")</f>
        <v>- 0,2 %</v>
      </c>
      <c r="D192" s="1" t="str">
        <f>IFERROR(__xludf.DUMMYFUNCTION("""COMPUTED_VALUE"""),"- 0,1 %")</f>
        <v>- 0,1 %</v>
      </c>
      <c r="E192" s="1" t="str">
        <f>IFERROR(__xludf.DUMMYFUNCTION("""COMPUTED_VALUE"""),"- 1,4 %")</f>
        <v>- 1,4 %</v>
      </c>
    </row>
    <row r="193">
      <c r="A193" s="2">
        <f>IFERROR(__xludf.DUMMYFUNCTION("""COMPUTED_VALUE"""),40360.0)</f>
        <v>40360</v>
      </c>
      <c r="B193" s="1" t="str">
        <f>IFERROR(__xludf.DUMMYFUNCTION("""COMPUTED_VALUE"""),"3.545 €/m2")</f>
        <v>3.545 €/m2</v>
      </c>
      <c r="C193" s="1" t="str">
        <f>IFERROR(__xludf.DUMMYFUNCTION("""COMPUTED_VALUE"""),"- 0,3 %")</f>
        <v>- 0,3 %</v>
      </c>
      <c r="D193" s="1" t="str">
        <f>IFERROR(__xludf.DUMMYFUNCTION("""COMPUTED_VALUE"""),"+ 0,8 %")</f>
        <v>+ 0,8 %</v>
      </c>
      <c r="E193" s="1" t="str">
        <f>IFERROR(__xludf.DUMMYFUNCTION("""COMPUTED_VALUE"""),"- 0,7 %")</f>
        <v>- 0,7 %</v>
      </c>
    </row>
    <row r="194">
      <c r="A194" s="2">
        <f>IFERROR(__xludf.DUMMYFUNCTION("""COMPUTED_VALUE"""),40330.0)</f>
        <v>40330</v>
      </c>
      <c r="B194" s="1" t="str">
        <f>IFERROR(__xludf.DUMMYFUNCTION("""COMPUTED_VALUE"""),"3.556 €/m2")</f>
        <v>3.556 €/m2</v>
      </c>
      <c r="C194" s="1" t="str">
        <f>IFERROR(__xludf.DUMMYFUNCTION("""COMPUTED_VALUE"""),"+ 0,5 %")</f>
        <v>+ 0,5 %</v>
      </c>
      <c r="D194" s="1" t="str">
        <f>IFERROR(__xludf.DUMMYFUNCTION("""COMPUTED_VALUE"""),"+ 1,6 %")</f>
        <v>+ 1,6 %</v>
      </c>
      <c r="E194" s="1" t="str">
        <f>IFERROR(__xludf.DUMMYFUNCTION("""COMPUTED_VALUE"""),"- 2,4 %")</f>
        <v>- 2,4 %</v>
      </c>
    </row>
    <row r="195">
      <c r="A195" s="2">
        <f>IFERROR(__xludf.DUMMYFUNCTION("""COMPUTED_VALUE"""),40299.0)</f>
        <v>40299</v>
      </c>
      <c r="B195" s="1" t="str">
        <f>IFERROR(__xludf.DUMMYFUNCTION("""COMPUTED_VALUE"""),"3.540 €/m2")</f>
        <v>3.540 €/m2</v>
      </c>
      <c r="C195" s="1" t="str">
        <f>IFERROR(__xludf.DUMMYFUNCTION("""COMPUTED_VALUE"""),"+ 0,6 %")</f>
        <v>+ 0,6 %</v>
      </c>
      <c r="D195" s="1" t="str">
        <f>IFERROR(__xludf.DUMMYFUNCTION("""COMPUTED_VALUE"""),"+ 0,8 %")</f>
        <v>+ 0,8 %</v>
      </c>
      <c r="E195" s="1" t="str">
        <f>IFERROR(__xludf.DUMMYFUNCTION("""COMPUTED_VALUE"""),"- 4,2 %")</f>
        <v>- 4,2 %</v>
      </c>
    </row>
    <row r="196">
      <c r="A196" s="2">
        <f>IFERROR(__xludf.DUMMYFUNCTION("""COMPUTED_VALUE"""),40269.0)</f>
        <v>40269</v>
      </c>
      <c r="B196" s="1" t="str">
        <f>IFERROR(__xludf.DUMMYFUNCTION("""COMPUTED_VALUE"""),"3.518 €/m2")</f>
        <v>3.518 €/m2</v>
      </c>
      <c r="C196" s="1" t="str">
        <f>IFERROR(__xludf.DUMMYFUNCTION("""COMPUTED_VALUE"""),"+ 0,5 %")</f>
        <v>+ 0,5 %</v>
      </c>
      <c r="D196" s="1" t="str">
        <f>IFERROR(__xludf.DUMMYFUNCTION("""COMPUTED_VALUE"""),"+ 0,7 %")</f>
        <v>+ 0,7 %</v>
      </c>
      <c r="E196" s="1" t="str">
        <f>IFERROR(__xludf.DUMMYFUNCTION("""COMPUTED_VALUE"""),"- 5,5 %")</f>
        <v>- 5,5 %</v>
      </c>
    </row>
    <row r="197">
      <c r="A197" s="2">
        <f>IFERROR(__xludf.DUMMYFUNCTION("""COMPUTED_VALUE"""),40238.0)</f>
        <v>40238</v>
      </c>
      <c r="B197" s="1" t="str">
        <f>IFERROR(__xludf.DUMMYFUNCTION("""COMPUTED_VALUE"""),"3.500 €/m2")</f>
        <v>3.500 €/m2</v>
      </c>
      <c r="C197" s="1" t="str">
        <f>IFERROR(__xludf.DUMMYFUNCTION("""COMPUTED_VALUE"""),"- 0,4 %")</f>
        <v>- 0,4 %</v>
      </c>
      <c r="D197" s="1" t="str">
        <f>IFERROR(__xludf.DUMMYFUNCTION("""COMPUTED_VALUE"""),"+ 0,2 %")</f>
        <v>+ 0,2 %</v>
      </c>
      <c r="E197" s="1" t="str">
        <f>IFERROR(__xludf.DUMMYFUNCTION("""COMPUTED_VALUE"""),"- 6,0 %")</f>
        <v>- 6,0 %</v>
      </c>
    </row>
    <row r="198">
      <c r="A198" s="2">
        <f>IFERROR(__xludf.DUMMYFUNCTION("""COMPUTED_VALUE"""),40210.0)</f>
        <v>40210</v>
      </c>
      <c r="B198" s="1" t="str">
        <f>IFERROR(__xludf.DUMMYFUNCTION("""COMPUTED_VALUE"""),"3.513 €/m2")</f>
        <v>3.513 €/m2</v>
      </c>
      <c r="C198" s="1" t="str">
        <f>IFERROR(__xludf.DUMMYFUNCTION("""COMPUTED_VALUE"""),"+ 0,5 %")</f>
        <v>+ 0,5 %</v>
      </c>
      <c r="D198" s="1" t="str">
        <f>IFERROR(__xludf.DUMMYFUNCTION("""COMPUTED_VALUE"""),"- 1,2 %")</f>
        <v>- 1,2 %</v>
      </c>
      <c r="E198" s="1" t="str">
        <f>IFERROR(__xludf.DUMMYFUNCTION("""COMPUTED_VALUE"""),"- 5,6 %")</f>
        <v>- 5,6 %</v>
      </c>
    </row>
    <row r="199">
      <c r="A199" s="2">
        <f>IFERROR(__xludf.DUMMYFUNCTION("""COMPUTED_VALUE"""),40179.0)</f>
        <v>40179</v>
      </c>
      <c r="B199" s="1" t="str">
        <f>IFERROR(__xludf.DUMMYFUNCTION("""COMPUTED_VALUE"""),"3.494 €/m2")</f>
        <v>3.494 €/m2</v>
      </c>
      <c r="C199" s="1" t="str">
        <f>IFERROR(__xludf.DUMMYFUNCTION("""COMPUTED_VALUE"""),"0,0 %")</f>
        <v>0,0 %</v>
      </c>
      <c r="D199" s="1" t="str">
        <f>IFERROR(__xludf.DUMMYFUNCTION("""COMPUTED_VALUE"""),"- 2,0 %")</f>
        <v>- 2,0 %</v>
      </c>
      <c r="E199" s="1" t="str">
        <f>IFERROR(__xludf.DUMMYFUNCTION("""COMPUTED_VALUE"""),"- 7,6 %")</f>
        <v>- 7,6 %</v>
      </c>
    </row>
    <row r="200">
      <c r="A200" s="2">
        <f>IFERROR(__xludf.DUMMYFUNCTION("""COMPUTED_VALUE"""),40148.0)</f>
        <v>40148</v>
      </c>
      <c r="B200" s="1" t="str">
        <f>IFERROR(__xludf.DUMMYFUNCTION("""COMPUTED_VALUE"""),"3.494 €/m2")</f>
        <v>3.494 €/m2</v>
      </c>
      <c r="C200" s="1" t="str">
        <f>IFERROR(__xludf.DUMMYFUNCTION("""COMPUTED_VALUE"""),"- 1,8 %")</f>
        <v>- 1,8 %</v>
      </c>
      <c r="D200" s="1" t="str">
        <f>IFERROR(__xludf.DUMMYFUNCTION("""COMPUTED_VALUE"""),"- 2,7 %")</f>
        <v>- 2,7 %</v>
      </c>
      <c r="E200" s="1" t="str">
        <f>IFERROR(__xludf.DUMMYFUNCTION("""COMPUTED_VALUE"""),"- 4,7 %")</f>
        <v>- 4,7 %</v>
      </c>
    </row>
    <row r="201">
      <c r="A201" s="2">
        <f>IFERROR(__xludf.DUMMYFUNCTION("""COMPUTED_VALUE"""),40118.0)</f>
        <v>40118</v>
      </c>
      <c r="B201" s="1" t="str">
        <f>IFERROR(__xludf.DUMMYFUNCTION("""COMPUTED_VALUE"""),"3.556 €/m2")</f>
        <v>3.556 €/m2</v>
      </c>
      <c r="C201" s="1" t="str">
        <f>IFERROR(__xludf.DUMMYFUNCTION("""COMPUTED_VALUE"""),"- 0,2 %")</f>
        <v>- 0,2 %</v>
      </c>
      <c r="D201" s="1" t="str">
        <f>IFERROR(__xludf.DUMMYFUNCTION("""COMPUTED_VALUE"""),"- 0,9 %")</f>
        <v>- 0,9 %</v>
      </c>
      <c r="E201" s="1" t="str">
        <f>IFERROR(__xludf.DUMMYFUNCTION("""COMPUTED_VALUE"""),"- 4,2 %")</f>
        <v>- 4,2 %</v>
      </c>
    </row>
    <row r="202">
      <c r="A202" s="2">
        <f>IFERROR(__xludf.DUMMYFUNCTION("""COMPUTED_VALUE"""),40087.0)</f>
        <v>40087</v>
      </c>
      <c r="B202" s="1" t="str">
        <f>IFERROR(__xludf.DUMMYFUNCTION("""COMPUTED_VALUE"""),"3.564 €/m2")</f>
        <v>3.564 €/m2</v>
      </c>
      <c r="C202" s="1" t="str">
        <f>IFERROR(__xludf.DUMMYFUNCTION("""COMPUTED_VALUE"""),"- 0,7 %")</f>
        <v>- 0,7 %</v>
      </c>
      <c r="D202" s="1" t="str">
        <f>IFERROR(__xludf.DUMMYFUNCTION("""COMPUTED_VALUE"""),"- 0,2 %")</f>
        <v>- 0,2 %</v>
      </c>
      <c r="E202" s="1" t="str">
        <f>IFERROR(__xludf.DUMMYFUNCTION("""COMPUTED_VALUE"""),"- 3,6 %")</f>
        <v>- 3,6 %</v>
      </c>
    </row>
    <row r="203">
      <c r="A203" s="2">
        <f>IFERROR(__xludf.DUMMYFUNCTION("""COMPUTED_VALUE"""),40057.0)</f>
        <v>40057</v>
      </c>
      <c r="B203" s="1" t="str">
        <f>IFERROR(__xludf.DUMMYFUNCTION("""COMPUTED_VALUE"""),"3.589 €/m2")</f>
        <v>3.589 €/m2</v>
      </c>
      <c r="C203" s="1" t="str">
        <f>IFERROR(__xludf.DUMMYFUNCTION("""COMPUTED_VALUE"""),"n.d.")</f>
        <v>n.d.</v>
      </c>
      <c r="D203" s="1" t="str">
        <f>IFERROR(__xludf.DUMMYFUNCTION("""COMPUTED_VALUE"""),"- 1,5 %")</f>
        <v>- 1,5 %</v>
      </c>
      <c r="E203" s="1" t="str">
        <f>IFERROR(__xludf.DUMMYFUNCTION("""COMPUTED_VALUE"""),"- 4,0 %")</f>
        <v>- 4,0 %</v>
      </c>
    </row>
    <row r="204">
      <c r="A204" s="2">
        <f>IFERROR(__xludf.DUMMYFUNCTION("""COMPUTED_VALUE"""),40026.0)</f>
        <v>40026</v>
      </c>
      <c r="B204" s="1" t="str">
        <f>IFERROR(__xludf.DUMMYFUNCTION("""COMPUTED_VALUE"""),"3.589 €/m2")</f>
        <v>3.589 €/m2</v>
      </c>
      <c r="C204" s="1" t="str">
        <f>IFERROR(__xludf.DUMMYFUNCTION("""COMPUTED_VALUE"""),"+ 0,5 %")</f>
        <v>+ 0,5 %</v>
      </c>
      <c r="D204" s="1" t="str">
        <f>IFERROR(__xludf.DUMMYFUNCTION("""COMPUTED_VALUE"""),"- 2,9 %")</f>
        <v>- 2,9 %</v>
      </c>
      <c r="E204" s="1" t="str">
        <f>IFERROR(__xludf.DUMMYFUNCTION("""COMPUTED_VALUE"""),"- 3,4 %")</f>
        <v>- 3,4 %</v>
      </c>
    </row>
    <row r="205">
      <c r="A205" s="2">
        <f>IFERROR(__xludf.DUMMYFUNCTION("""COMPUTED_VALUE"""),39995.0)</f>
        <v>39995</v>
      </c>
      <c r="B205" s="1" t="str">
        <f>IFERROR(__xludf.DUMMYFUNCTION("""COMPUTED_VALUE"""),"3.571 €/m2")</f>
        <v>3.571 €/m2</v>
      </c>
      <c r="C205" s="1" t="str">
        <f>IFERROR(__xludf.DUMMYFUNCTION("""COMPUTED_VALUE"""),"- 2,0 %")</f>
        <v>- 2,0 %</v>
      </c>
      <c r="D205" s="1" t="str">
        <f>IFERROR(__xludf.DUMMYFUNCTION("""COMPUTED_VALUE"""),"- 4,1 %")</f>
        <v>- 4,1 %</v>
      </c>
      <c r="E205" s="1" t="str">
        <f>IFERROR(__xludf.DUMMYFUNCTION("""COMPUTED_VALUE"""),"- 5,3 %")</f>
        <v>- 5,3 %</v>
      </c>
    </row>
    <row r="206">
      <c r="A206" s="2">
        <f>IFERROR(__xludf.DUMMYFUNCTION("""COMPUTED_VALUE"""),39965.0)</f>
        <v>39965</v>
      </c>
      <c r="B206" s="1" t="str">
        <f>IFERROR(__xludf.DUMMYFUNCTION("""COMPUTED_VALUE"""),"3.643 €/m2")</f>
        <v>3.643 €/m2</v>
      </c>
      <c r="C206" s="1" t="str">
        <f>IFERROR(__xludf.DUMMYFUNCTION("""COMPUTED_VALUE"""),"- 1,4 %")</f>
        <v>- 1,4 %</v>
      </c>
      <c r="D206" s="1" t="str">
        <f>IFERROR(__xludf.DUMMYFUNCTION("""COMPUTED_VALUE"""),"- 2,1 %")</f>
        <v>- 2,1 %</v>
      </c>
      <c r="E206" s="1" t="str">
        <f>IFERROR(__xludf.DUMMYFUNCTION("""COMPUTED_VALUE"""),"- 3,9 %")</f>
        <v>- 3,9 %</v>
      </c>
    </row>
    <row r="207">
      <c r="A207" s="2">
        <f>IFERROR(__xludf.DUMMYFUNCTION("""COMPUTED_VALUE"""),39934.0)</f>
        <v>39934</v>
      </c>
      <c r="B207" s="1" t="str">
        <f>IFERROR(__xludf.DUMMYFUNCTION("""COMPUTED_VALUE"""),"3.696 €/m2")</f>
        <v>3.696 €/m2</v>
      </c>
      <c r="C207" s="1" t="str">
        <f>IFERROR(__xludf.DUMMYFUNCTION("""COMPUTED_VALUE"""),"- 0,7 %")</f>
        <v>- 0,7 %</v>
      </c>
      <c r="D207" s="1" t="str">
        <f>IFERROR(__xludf.DUMMYFUNCTION("""COMPUTED_VALUE"""),"- 0,7 %")</f>
        <v>- 0,7 %</v>
      </c>
      <c r="E207" s="1" t="str">
        <f>IFERROR(__xludf.DUMMYFUNCTION("""COMPUTED_VALUE"""),"- 7,6 %")</f>
        <v>- 7,6 %</v>
      </c>
    </row>
    <row r="208">
      <c r="A208" s="2">
        <f>IFERROR(__xludf.DUMMYFUNCTION("""COMPUTED_VALUE"""),39904.0)</f>
        <v>39904</v>
      </c>
      <c r="B208" s="1" t="str">
        <f>IFERROR(__xludf.DUMMYFUNCTION("""COMPUTED_VALUE"""),"3.722 €/m2")</f>
        <v>3.722 €/m2</v>
      </c>
      <c r="C208" s="1" t="str">
        <f>IFERROR(__xludf.DUMMYFUNCTION("""COMPUTED_VALUE"""),"n.d.")</f>
        <v>n.d.</v>
      </c>
      <c r="D208" s="1" t="str">
        <f>IFERROR(__xludf.DUMMYFUNCTION("""COMPUTED_VALUE"""),"- 1,6 %")</f>
        <v>- 1,6 %</v>
      </c>
      <c r="E208" s="1" t="str">
        <f>IFERROR(__xludf.DUMMYFUNCTION("""COMPUTED_VALUE"""),"- 4,8 %")</f>
        <v>- 4,8 %</v>
      </c>
    </row>
    <row r="209">
      <c r="A209" s="2">
        <f>IFERROR(__xludf.DUMMYFUNCTION("""COMPUTED_VALUE"""),39873.0)</f>
        <v>39873</v>
      </c>
      <c r="B209" s="1" t="str">
        <f>IFERROR(__xludf.DUMMYFUNCTION("""COMPUTED_VALUE"""),"3.722 €/m2")</f>
        <v>3.722 €/m2</v>
      </c>
      <c r="C209" s="1" t="str">
        <f>IFERROR(__xludf.DUMMYFUNCTION("""COMPUTED_VALUE"""),"n.d.")</f>
        <v>n.d.</v>
      </c>
      <c r="D209" s="1" t="str">
        <f>IFERROR(__xludf.DUMMYFUNCTION("""COMPUTED_VALUE"""),"+ 1,5 %")</f>
        <v>+ 1,5 %</v>
      </c>
      <c r="E209" s="1" t="str">
        <f>IFERROR(__xludf.DUMMYFUNCTION("""COMPUTED_VALUE"""),"- 6,9 %")</f>
        <v>- 6,9 %</v>
      </c>
    </row>
    <row r="210">
      <c r="A210" s="2">
        <f>IFERROR(__xludf.DUMMYFUNCTION("""COMPUTED_VALUE"""),39845.0)</f>
        <v>39845</v>
      </c>
      <c r="B210" s="1" t="str">
        <f>IFERROR(__xludf.DUMMYFUNCTION("""COMPUTED_VALUE"""),"3.722 €/m2")</f>
        <v>3.722 €/m2</v>
      </c>
      <c r="C210" s="1" t="str">
        <f>IFERROR(__xludf.DUMMYFUNCTION("""COMPUTED_VALUE"""),"- 1,6 %")</f>
        <v>- 1,6 %</v>
      </c>
      <c r="D210" s="1" t="str">
        <f>IFERROR(__xludf.DUMMYFUNCTION("""COMPUTED_VALUE"""),"+ 0,2 %")</f>
        <v>+ 0,2 %</v>
      </c>
      <c r="E210" s="1" t="str">
        <f>IFERROR(__xludf.DUMMYFUNCTION("""COMPUTED_VALUE"""),"- 2,6 %")</f>
        <v>- 2,6 %</v>
      </c>
    </row>
    <row r="211">
      <c r="A211" s="2">
        <f>IFERROR(__xludf.DUMMYFUNCTION("""COMPUTED_VALUE"""),39814.0)</f>
        <v>39814</v>
      </c>
      <c r="B211" s="1" t="str">
        <f>IFERROR(__xludf.DUMMYFUNCTION("""COMPUTED_VALUE"""),"3.782 €/m2")</f>
        <v>3.782 €/m2</v>
      </c>
      <c r="C211" s="1" t="str">
        <f>IFERROR(__xludf.DUMMYFUNCTION("""COMPUTED_VALUE"""),"+ 3,1 %")</f>
        <v>+ 3,1 %</v>
      </c>
      <c r="D211" s="1" t="str">
        <f>IFERROR(__xludf.DUMMYFUNCTION("""COMPUTED_VALUE"""),"+ 2,3 %")</f>
        <v>+ 2,3 %</v>
      </c>
      <c r="E211" s="1" t="str">
        <f>IFERROR(__xludf.DUMMYFUNCTION("""COMPUTED_VALUE"""),"- 5,5 %")</f>
        <v>- 5,5 %</v>
      </c>
    </row>
    <row r="212">
      <c r="A212" s="2">
        <f>IFERROR(__xludf.DUMMYFUNCTION("""COMPUTED_VALUE"""),39783.0)</f>
        <v>39783</v>
      </c>
      <c r="B212" s="1" t="str">
        <f>IFERROR(__xludf.DUMMYFUNCTION("""COMPUTED_VALUE"""),"3.667 €/m2")</f>
        <v>3.667 €/m2</v>
      </c>
      <c r="C212" s="1" t="str">
        <f>IFERROR(__xludf.DUMMYFUNCTION("""COMPUTED_VALUE"""),"- 1,3 %")</f>
        <v>- 1,3 %</v>
      </c>
      <c r="D212" s="1" t="str">
        <f>IFERROR(__xludf.DUMMYFUNCTION("""COMPUTED_VALUE"""),"- 1,9 %")</f>
        <v>- 1,9 %</v>
      </c>
      <c r="E212" s="1" t="str">
        <f>IFERROR(__xludf.DUMMYFUNCTION("""COMPUTED_VALUE"""),"- 8,3 %")</f>
        <v>- 8,3 %</v>
      </c>
    </row>
    <row r="213">
      <c r="A213" s="2">
        <f>IFERROR(__xludf.DUMMYFUNCTION("""COMPUTED_VALUE"""),39753.0)</f>
        <v>39753</v>
      </c>
      <c r="B213" s="1" t="str">
        <f>IFERROR(__xludf.DUMMYFUNCTION("""COMPUTED_VALUE"""),"3.714 €/m2")</f>
        <v>3.714 €/m2</v>
      </c>
      <c r="C213" s="1" t="str">
        <f>IFERROR(__xludf.DUMMYFUNCTION("""COMPUTED_VALUE"""),"+ 0,5 %")</f>
        <v>+ 0,5 %</v>
      </c>
      <c r="D213" s="1" t="str">
        <f>IFERROR(__xludf.DUMMYFUNCTION("""COMPUTED_VALUE"""),"n.d.")</f>
        <v>n.d.</v>
      </c>
      <c r="E213" s="1" t="str">
        <f>IFERROR(__xludf.DUMMYFUNCTION("""COMPUTED_VALUE"""),"- 7,1 %")</f>
        <v>- 7,1 %</v>
      </c>
    </row>
    <row r="214">
      <c r="A214" s="2">
        <f>IFERROR(__xludf.DUMMYFUNCTION("""COMPUTED_VALUE"""),39722.0)</f>
        <v>39722</v>
      </c>
      <c r="B214" s="1" t="str">
        <f>IFERROR(__xludf.DUMMYFUNCTION("""COMPUTED_VALUE"""),"3.696 €/m2")</f>
        <v>3.696 €/m2</v>
      </c>
      <c r="C214" s="1" t="str">
        <f>IFERROR(__xludf.DUMMYFUNCTION("""COMPUTED_VALUE"""),"- 1,1 %")</f>
        <v>- 1,1 %</v>
      </c>
      <c r="D214" s="1" t="str">
        <f>IFERROR(__xludf.DUMMYFUNCTION("""COMPUTED_VALUE"""),"- 2,0 %")</f>
        <v>- 2,0 %</v>
      </c>
      <c r="E214" s="1" t="str">
        <f>IFERROR(__xludf.DUMMYFUNCTION("""COMPUTED_VALUE"""),"n.d.")</f>
        <v>n.d.</v>
      </c>
    </row>
    <row r="215">
      <c r="A215" s="2">
        <f>IFERROR(__xludf.DUMMYFUNCTION("""COMPUTED_VALUE"""),39692.0)</f>
        <v>39692</v>
      </c>
      <c r="B215" s="1" t="str">
        <f>IFERROR(__xludf.DUMMYFUNCTION("""COMPUTED_VALUE"""),"3.738 €/m2")</f>
        <v>3.738 €/m2</v>
      </c>
      <c r="C215" s="1" t="str">
        <f>IFERROR(__xludf.DUMMYFUNCTION("""COMPUTED_VALUE"""),"+ 0,6 %")</f>
        <v>+ 0,6 %</v>
      </c>
      <c r="D215" s="1" t="str">
        <f>IFERROR(__xludf.DUMMYFUNCTION("""COMPUTED_VALUE"""),"- 1,3 %")</f>
        <v>- 1,3 %</v>
      </c>
      <c r="E215" s="1" t="str">
        <f>IFERROR(__xludf.DUMMYFUNCTION("""COMPUTED_VALUE"""),"n.d.")</f>
        <v>n.d.</v>
      </c>
    </row>
    <row r="216">
      <c r="A216" s="2">
        <f>IFERROR(__xludf.DUMMYFUNCTION("""COMPUTED_VALUE"""),39661.0)</f>
        <v>39661</v>
      </c>
      <c r="B216" s="1" t="str">
        <f>IFERROR(__xludf.DUMMYFUNCTION("""COMPUTED_VALUE"""),"3.714 €/m2")</f>
        <v>3.714 €/m2</v>
      </c>
      <c r="C216" s="1" t="str">
        <f>IFERROR(__xludf.DUMMYFUNCTION("""COMPUTED_VALUE"""),"- 1,5 %")</f>
        <v>- 1,5 %</v>
      </c>
      <c r="D216" s="1" t="str">
        <f>IFERROR(__xludf.DUMMYFUNCTION("""COMPUTED_VALUE"""),"- 7,1 %")</f>
        <v>- 7,1 %</v>
      </c>
      <c r="E216" s="1" t="str">
        <f>IFERROR(__xludf.DUMMYFUNCTION("""COMPUTED_VALUE"""),"n.d.")</f>
        <v>n.d.</v>
      </c>
    </row>
    <row r="217">
      <c r="A217" s="2">
        <f>IFERROR(__xludf.DUMMYFUNCTION("""COMPUTED_VALUE"""),39630.0)</f>
        <v>39630</v>
      </c>
      <c r="B217" s="1" t="str">
        <f>IFERROR(__xludf.DUMMYFUNCTION("""COMPUTED_VALUE"""),"3.772 €/m2")</f>
        <v>3.772 €/m2</v>
      </c>
      <c r="C217" s="1" t="str">
        <f>IFERROR(__xludf.DUMMYFUNCTION("""COMPUTED_VALUE"""),"- 0,5 %")</f>
        <v>- 0,5 %</v>
      </c>
      <c r="D217" s="1" t="str">
        <f>IFERROR(__xludf.DUMMYFUNCTION("""COMPUTED_VALUE"""),"- 3,5 %")</f>
        <v>- 3,5 %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IFERROR(__xludf.DUMMYFUNCTION("""COMPUTED_VALUE"""),"3.789 €/m2")</f>
        <v>3.789 €/m2</v>
      </c>
      <c r="C218" s="1" t="str">
        <f>IFERROR(__xludf.DUMMYFUNCTION("""COMPUTED_VALUE"""),"- 5,3 %")</f>
        <v>- 5,3 %</v>
      </c>
      <c r="D218" s="1" t="str">
        <f>IFERROR(__xludf.DUMMYFUNCTION("""COMPUTED_VALUE"""),"- 5,3 %")</f>
        <v>- 5,3 %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IFERROR(__xludf.DUMMYFUNCTION("""COMPUTED_VALUE"""),"4.000 €/m2")</f>
        <v>4.000 €/m2</v>
      </c>
      <c r="C219" s="1" t="str">
        <f>IFERROR(__xludf.DUMMYFUNCTION("""COMPUTED_VALUE"""),"+ 2,3 %")</f>
        <v>+ 2,3 %</v>
      </c>
      <c r="D219" s="1" t="str">
        <f>IFERROR(__xludf.DUMMYFUNCTION("""COMPUTED_VALUE"""),"+ 4,6 %")</f>
        <v>+ 4,6 %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IFERROR(__xludf.DUMMYFUNCTION("""COMPUTED_VALUE"""),"3.910 €/m2")</f>
        <v>3.910 €/m2</v>
      </c>
      <c r="C220" s="1" t="str">
        <f>IFERROR(__xludf.DUMMYFUNCTION("""COMPUTED_VALUE"""),"- 2,3 %")</f>
        <v>- 2,3 %</v>
      </c>
      <c r="D220" s="1" t="str">
        <f>IFERROR(__xludf.DUMMYFUNCTION("""COMPUTED_VALUE"""),"- 2,3 %")</f>
        <v>- 2,3 %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IFERROR(__xludf.DUMMYFUNCTION("""COMPUTED_VALUE"""),"4.000 €/m2")</f>
        <v>4.000 €/m2</v>
      </c>
      <c r="C221" s="1" t="str">
        <f>IFERROR(__xludf.DUMMYFUNCTION("""COMPUTED_VALUE"""),"+ 4,6 %")</f>
        <v>+ 4,6 %</v>
      </c>
      <c r="D221" s="1" t="str">
        <f>IFERROR(__xludf.DUMMYFUNCTION("""COMPUTED_VALUE"""),"n.d.")</f>
        <v>n.d.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IFERROR(__xludf.DUMMYFUNCTION("""COMPUTED_VALUE"""),"3.824 €/m2")</f>
        <v>3.824 €/m2</v>
      </c>
      <c r="C222" s="1" t="str">
        <f>IFERROR(__xludf.DUMMYFUNCTION("""COMPUTED_VALUE"""),"- 4,4 %")</f>
        <v>- 4,4 %</v>
      </c>
      <c r="D222" s="1" t="str">
        <f>IFERROR(__xludf.DUMMYFUNCTION("""COMPUTED_VALUE"""),"- 4,4 %")</f>
        <v>- 4,4 %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IFERROR(__xludf.DUMMYFUNCTION("""COMPUTED_VALUE"""),"4.000 €/m2")</f>
        <v>4.000 €/m2</v>
      </c>
      <c r="C223" s="1" t="str">
        <f>IFERROR(__xludf.DUMMYFUNCTION("""COMPUTED_VALUE"""),"n.d.")</f>
        <v>n.d.</v>
      </c>
      <c r="D223" s="1" t="str">
        <f>IFERROR(__xludf.DUMMYFUNCTION("""COMPUTED_VALUE"""),"n.d.")</f>
        <v>n.d.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IFERROR(__xludf.DUMMYFUNCTION("""COMPUTED_VALUE"""),"4.000 €/m2")</f>
        <v>4.000 €/m2</v>
      </c>
      <c r="C224" s="1" t="str">
        <f>IFERROR(__xludf.DUMMYFUNCTION("""COMPUTED_VALUE"""),"n.d.")</f>
        <v>n.d.</v>
      </c>
      <c r="D224" s="1" t="str">
        <f>IFERROR(__xludf.DUMMYFUNCTION("""COMPUTED_VALUE"""),"n.d.")</f>
        <v>n.d.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IFERROR(__xludf.DUMMYFUNCTION("""COMPUTED_VALUE"""),"4.000 €/m2")</f>
        <v>4.000 €/m2</v>
      </c>
      <c r="C225" s="1" t="str">
        <f>IFERROR(__xludf.DUMMYFUNCTION("""COMPUTED_VALUE"""),"n.d.")</f>
        <v>n.d.</v>
      </c>
      <c r="D225" s="1" t="str">
        <f>IFERROR(__xludf.DUMMYFUNCTION("""COMPUTED_VALUE"""),"n.d.")</f>
        <v>n.d.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IFERROR(__xludf.DUMMYFUNCTION("""COMPUTED_VALUE"""),"n.d.")</f>
        <v>n.d.</v>
      </c>
      <c r="C226" s="1" t="str">
        <f>IFERROR(__xludf.DUMMYFUNCTION("""COMPUTED_VALUE"""),"n.d.")</f>
        <v>n.d.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IFERROR(__xludf.DUMMYFUNCTION("""COMPUTED_VALUE"""),"n.d.")</f>
        <v>n.d.</v>
      </c>
      <c r="C227" s="1" t="str">
        <f>IFERROR(__xludf.DUMMYFUNCTION("""COMPUTED_VALUE"""),"n.d.")</f>
        <v>n.d.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IFERROR(__xludf.DUMMYFUNCTION("""COMPUTED_VALUE"""),"n.d.")</f>
        <v>n.d.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IFERROR(__xludf.DUMMYFUNCTION("IMPORTHTML(""https://www.idealista.com/sala-de-prensa/informes-precio-vivienda/venta/madrid-comunidad/madrid-provincia/madrid/barajas/historico/"",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IFERROR(__xludf.DUMMYFUNCTION("""COMPUTED_VALUE"""),"5.111 €/m2")</f>
        <v>5.111 €/m2</v>
      </c>
      <c r="C2" s="1" t="str">
        <f>IFERROR(__xludf.DUMMYFUNCTION("""COMPUTED_VALUE"""),"- 0,3 %")</f>
        <v>- 0,3 %</v>
      </c>
      <c r="D2" s="1" t="str">
        <f>IFERROR(__xludf.DUMMYFUNCTION("""COMPUTED_VALUE"""),"+ 2,8 %")</f>
        <v>+ 2,8 %</v>
      </c>
      <c r="E2" s="1" t="str">
        <f>IFERROR(__xludf.DUMMYFUNCTION("""COMPUTED_VALUE"""),"+ 15,8 %")</f>
        <v>+ 15,8 %</v>
      </c>
    </row>
    <row r="3">
      <c r="A3" s="2">
        <f>IFERROR(__xludf.DUMMYFUNCTION("""COMPUTED_VALUE"""),46143.0)</f>
        <v>46143</v>
      </c>
      <c r="B3" s="1" t="str">
        <f>IFERROR(__xludf.DUMMYFUNCTION("""COMPUTED_VALUE"""),"5.127 €/m2")</f>
        <v>5.127 €/m2</v>
      </c>
      <c r="C3" s="1" t="str">
        <f>IFERROR(__xludf.DUMMYFUNCTION("""COMPUTED_VALUE"""),"+ 4,6 %")</f>
        <v>+ 4,6 %</v>
      </c>
      <c r="D3" s="1" t="str">
        <f>IFERROR(__xludf.DUMMYFUNCTION("""COMPUTED_VALUE"""),"+ 4,6 %")</f>
        <v>+ 4,6 %</v>
      </c>
      <c r="E3" s="1" t="str">
        <f>IFERROR(__xludf.DUMMYFUNCTION("""COMPUTED_VALUE"""),"+ 17,2 %")</f>
        <v>+ 17,2 %</v>
      </c>
    </row>
    <row r="4">
      <c r="A4" s="2">
        <f>IFERROR(__xludf.DUMMYFUNCTION("""COMPUTED_VALUE"""),46113.0)</f>
        <v>46113</v>
      </c>
      <c r="B4" s="1" t="str">
        <f>IFERROR(__xludf.DUMMYFUNCTION("""COMPUTED_VALUE"""),"4.901 €/m2")</f>
        <v>4.901 €/m2</v>
      </c>
      <c r="C4" s="1" t="str">
        <f>IFERROR(__xludf.DUMMYFUNCTION("""COMPUTED_VALUE"""),"- 1,5 %")</f>
        <v>- 1,5 %</v>
      </c>
      <c r="D4" s="1" t="str">
        <f>IFERROR(__xludf.DUMMYFUNCTION("""COMPUTED_VALUE"""),"+ 4,0 %")</f>
        <v>+ 4,0 %</v>
      </c>
      <c r="E4" s="1" t="str">
        <f>IFERROR(__xludf.DUMMYFUNCTION("""COMPUTED_VALUE"""),"+ 20,1 %")</f>
        <v>+ 20,1 %</v>
      </c>
    </row>
    <row r="5">
      <c r="A5" s="2">
        <f>IFERROR(__xludf.DUMMYFUNCTION("""COMPUTED_VALUE"""),46082.0)</f>
        <v>46082</v>
      </c>
      <c r="B5" s="1" t="str">
        <f>IFERROR(__xludf.DUMMYFUNCTION("""COMPUTED_VALUE"""),"4.973 €/m2")</f>
        <v>4.973 €/m2</v>
      </c>
      <c r="C5" s="1" t="str">
        <f>IFERROR(__xludf.DUMMYFUNCTION("""COMPUTED_VALUE"""),"+ 1,5 %")</f>
        <v>+ 1,5 %</v>
      </c>
      <c r="D5" s="1" t="str">
        <f>IFERROR(__xludf.DUMMYFUNCTION("""COMPUTED_VALUE"""),"+ 7,3 %")</f>
        <v>+ 7,3 %</v>
      </c>
      <c r="E5" s="1" t="str">
        <f>IFERROR(__xludf.DUMMYFUNCTION("""COMPUTED_VALUE"""),"+ 22,2 %")</f>
        <v>+ 22,2 %</v>
      </c>
    </row>
    <row r="6">
      <c r="A6" s="2">
        <f>IFERROR(__xludf.DUMMYFUNCTION("""COMPUTED_VALUE"""),46054.0)</f>
        <v>46054</v>
      </c>
      <c r="B6" s="1" t="str">
        <f>IFERROR(__xludf.DUMMYFUNCTION("""COMPUTED_VALUE"""),"4.900 €/m2")</f>
        <v>4.900 €/m2</v>
      </c>
      <c r="C6" s="1" t="str">
        <f>IFERROR(__xludf.DUMMYFUNCTION("""COMPUTED_VALUE"""),"+ 4,0 %")</f>
        <v>+ 4,0 %</v>
      </c>
      <c r="D6" s="1" t="str">
        <f>IFERROR(__xludf.DUMMYFUNCTION("""COMPUTED_VALUE"""),"+ 6,3 %")</f>
        <v>+ 6,3 %</v>
      </c>
      <c r="E6" s="1" t="str">
        <f>IFERROR(__xludf.DUMMYFUNCTION("""COMPUTED_VALUE"""),"+ 18,8 %")</f>
        <v>+ 18,8 %</v>
      </c>
    </row>
    <row r="7">
      <c r="A7" s="2">
        <f>IFERROR(__xludf.DUMMYFUNCTION("""COMPUTED_VALUE"""),46023.0)</f>
        <v>46023</v>
      </c>
      <c r="B7" s="1" t="str">
        <f>IFERROR(__xludf.DUMMYFUNCTION("""COMPUTED_VALUE"""),"4.714 €/m2")</f>
        <v>4.714 €/m2</v>
      </c>
      <c r="C7" s="1" t="str">
        <f>IFERROR(__xludf.DUMMYFUNCTION("""COMPUTED_VALUE"""),"+ 1,7 %")</f>
        <v>+ 1,7 %</v>
      </c>
      <c r="D7" s="1" t="str">
        <f>IFERROR(__xludf.DUMMYFUNCTION("""COMPUTED_VALUE"""),"+ 1,5 %")</f>
        <v>+ 1,5 %</v>
      </c>
      <c r="E7" s="1" t="str">
        <f>IFERROR(__xludf.DUMMYFUNCTION("""COMPUTED_VALUE"""),"+ 23,5 %")</f>
        <v>+ 23,5 %</v>
      </c>
    </row>
    <row r="8">
      <c r="A8" s="2">
        <f>IFERROR(__xludf.DUMMYFUNCTION("""COMPUTED_VALUE"""),45992.0)</f>
        <v>45992</v>
      </c>
      <c r="B8" s="1" t="str">
        <f>IFERROR(__xludf.DUMMYFUNCTION("""COMPUTED_VALUE"""),"4.636 €/m2")</f>
        <v>4.636 €/m2</v>
      </c>
      <c r="C8" s="1" t="str">
        <f>IFERROR(__xludf.DUMMYFUNCTION("""COMPUTED_VALUE"""),"+ 0,5 %")</f>
        <v>+ 0,5 %</v>
      </c>
      <c r="D8" s="1" t="str">
        <f>IFERROR(__xludf.DUMMYFUNCTION("""COMPUTED_VALUE"""),"+ 4,4 %")</f>
        <v>+ 4,4 %</v>
      </c>
      <c r="E8" s="1" t="str">
        <f>IFERROR(__xludf.DUMMYFUNCTION("""COMPUTED_VALUE"""),"+ 20,6 %")</f>
        <v>+ 20,6 %</v>
      </c>
    </row>
    <row r="9">
      <c r="A9" s="2">
        <f>IFERROR(__xludf.DUMMYFUNCTION("""COMPUTED_VALUE"""),45962.0)</f>
        <v>45962</v>
      </c>
      <c r="B9" s="1" t="str">
        <f>IFERROR(__xludf.DUMMYFUNCTION("""COMPUTED_VALUE"""),"4.611 €/m2")</f>
        <v>4.611 €/m2</v>
      </c>
      <c r="C9" s="1" t="str">
        <f>IFERROR(__xludf.DUMMYFUNCTION("""COMPUTED_VALUE"""),"- 0,8 %")</f>
        <v>- 0,8 %</v>
      </c>
      <c r="D9" s="1" t="str">
        <f>IFERROR(__xludf.DUMMYFUNCTION("""COMPUTED_VALUE"""),"+ 6,8 %")</f>
        <v>+ 6,8 %</v>
      </c>
      <c r="E9" s="1" t="str">
        <f>IFERROR(__xludf.DUMMYFUNCTION("""COMPUTED_VALUE"""),"+ 18,2 %")</f>
        <v>+ 18,2 %</v>
      </c>
    </row>
    <row r="10">
      <c r="A10" s="2">
        <f>IFERROR(__xludf.DUMMYFUNCTION("""COMPUTED_VALUE"""),45931.0)</f>
        <v>45931</v>
      </c>
      <c r="B10" s="1" t="str">
        <f>IFERROR(__xludf.DUMMYFUNCTION("""COMPUTED_VALUE"""),"4.646 €/m2")</f>
        <v>4.646 €/m2</v>
      </c>
      <c r="C10" s="1" t="str">
        <f>IFERROR(__xludf.DUMMYFUNCTION("""COMPUTED_VALUE"""),"+ 4,6 %")</f>
        <v>+ 4,6 %</v>
      </c>
      <c r="D10" s="1" t="str">
        <f>IFERROR(__xludf.DUMMYFUNCTION("""COMPUTED_VALUE"""),"+ 5,7 %")</f>
        <v>+ 5,7 %</v>
      </c>
      <c r="E10" s="1" t="str">
        <f>IFERROR(__xludf.DUMMYFUNCTION("""COMPUTED_VALUE"""),"+ 19,2 %")</f>
        <v>+ 19,2 %</v>
      </c>
    </row>
    <row r="11">
      <c r="A11" s="2">
        <f>IFERROR(__xludf.DUMMYFUNCTION("""COMPUTED_VALUE"""),45901.0)</f>
        <v>45901</v>
      </c>
      <c r="B11" s="1" t="str">
        <f>IFERROR(__xludf.DUMMYFUNCTION("""COMPUTED_VALUE"""),"4.441 €/m2")</f>
        <v>4.441 €/m2</v>
      </c>
      <c r="C11" s="1" t="str">
        <f>IFERROR(__xludf.DUMMYFUNCTION("""COMPUTED_VALUE"""),"+ 2,8 %")</f>
        <v>+ 2,8 %</v>
      </c>
      <c r="D11" s="1" t="str">
        <f>IFERROR(__xludf.DUMMYFUNCTION("""COMPUTED_VALUE"""),"+ 0,6 %")</f>
        <v>+ 0,6 %</v>
      </c>
      <c r="E11" s="1" t="str">
        <f>IFERROR(__xludf.DUMMYFUNCTION("""COMPUTED_VALUE"""),"+ 18,2 %")</f>
        <v>+ 18,2 %</v>
      </c>
    </row>
    <row r="12">
      <c r="A12" s="2">
        <f>IFERROR(__xludf.DUMMYFUNCTION("""COMPUTED_VALUE"""),45870.0)</f>
        <v>45870</v>
      </c>
      <c r="B12" s="1" t="str">
        <f>IFERROR(__xludf.DUMMYFUNCTION("""COMPUTED_VALUE"""),"4.319 €/m2")</f>
        <v>4.319 €/m2</v>
      </c>
      <c r="C12" s="1" t="str">
        <f>IFERROR(__xludf.DUMMYFUNCTION("""COMPUTED_VALUE"""),"- 1,8 %")</f>
        <v>- 1,8 %</v>
      </c>
      <c r="D12" s="1" t="str">
        <f>IFERROR(__xludf.DUMMYFUNCTION("""COMPUTED_VALUE"""),"- 1,2 %")</f>
        <v>- 1,2 %</v>
      </c>
      <c r="E12" s="1" t="str">
        <f>IFERROR(__xludf.DUMMYFUNCTION("""COMPUTED_VALUE"""),"+ 17,2 %")</f>
        <v>+ 17,2 %</v>
      </c>
    </row>
    <row r="13">
      <c r="A13" s="2">
        <f>IFERROR(__xludf.DUMMYFUNCTION("""COMPUTED_VALUE"""),45839.0)</f>
        <v>45839</v>
      </c>
      <c r="B13" s="1" t="str">
        <f>IFERROR(__xludf.DUMMYFUNCTION("""COMPUTED_VALUE"""),"4.396 €/m2")</f>
        <v>4.396 €/m2</v>
      </c>
      <c r="C13" s="1" t="str">
        <f>IFERROR(__xludf.DUMMYFUNCTION("""COMPUTED_VALUE"""),"- 0,4 %")</f>
        <v>- 0,4 %</v>
      </c>
      <c r="D13" s="1" t="str">
        <f>IFERROR(__xludf.DUMMYFUNCTION("""COMPUTED_VALUE"""),"+ 7,8 %")</f>
        <v>+ 7,8 %</v>
      </c>
      <c r="E13" s="1" t="str">
        <f>IFERROR(__xludf.DUMMYFUNCTION("""COMPUTED_VALUE"""),"+ 18,0 %")</f>
        <v>+ 18,0 %</v>
      </c>
    </row>
    <row r="14">
      <c r="A14" s="2">
        <f>IFERROR(__xludf.DUMMYFUNCTION("""COMPUTED_VALUE"""),45809.0)</f>
        <v>45809</v>
      </c>
      <c r="B14" s="1" t="str">
        <f>IFERROR(__xludf.DUMMYFUNCTION("""COMPUTED_VALUE"""),"4.415 €/m2")</f>
        <v>4.415 €/m2</v>
      </c>
      <c r="C14" s="1" t="str">
        <f>IFERROR(__xludf.DUMMYFUNCTION("""COMPUTED_VALUE"""),"+ 1,0 %")</f>
        <v>+ 1,0 %</v>
      </c>
      <c r="D14" s="1" t="str">
        <f>IFERROR(__xludf.DUMMYFUNCTION("""COMPUTED_VALUE"""),"+ 8,5 %")</f>
        <v>+ 8,5 %</v>
      </c>
      <c r="E14" s="1" t="str">
        <f>IFERROR(__xludf.DUMMYFUNCTION("""COMPUTED_VALUE"""),"+ 19,8 %")</f>
        <v>+ 19,8 %</v>
      </c>
    </row>
    <row r="15">
      <c r="A15" s="2">
        <f>IFERROR(__xludf.DUMMYFUNCTION("""COMPUTED_VALUE"""),45778.0)</f>
        <v>45778</v>
      </c>
      <c r="B15" s="1" t="str">
        <f>IFERROR(__xludf.DUMMYFUNCTION("""COMPUTED_VALUE"""),"4.373 €/m2")</f>
        <v>4.373 €/m2</v>
      </c>
      <c r="C15" s="1" t="str">
        <f>IFERROR(__xludf.DUMMYFUNCTION("""COMPUTED_VALUE"""),"+ 7,2 %")</f>
        <v>+ 7,2 %</v>
      </c>
      <c r="D15" s="1" t="str">
        <f>IFERROR(__xludf.DUMMYFUNCTION("""COMPUTED_VALUE"""),"+ 6,1 %")</f>
        <v>+ 6,1 %</v>
      </c>
      <c r="E15" s="1" t="str">
        <f>IFERROR(__xludf.DUMMYFUNCTION("""COMPUTED_VALUE"""),"+ 19,1 %")</f>
        <v>+ 19,1 %</v>
      </c>
    </row>
    <row r="16">
      <c r="A16" s="2">
        <f>IFERROR(__xludf.DUMMYFUNCTION("""COMPUTED_VALUE"""),45748.0)</f>
        <v>45748</v>
      </c>
      <c r="B16" s="1" t="str">
        <f>IFERROR(__xludf.DUMMYFUNCTION("""COMPUTED_VALUE"""),"4.080 €/m2")</f>
        <v>4.080 €/m2</v>
      </c>
      <c r="C16" s="1" t="str">
        <f>IFERROR(__xludf.DUMMYFUNCTION("""COMPUTED_VALUE"""),"+ 0,2 %")</f>
        <v>+ 0,2 %</v>
      </c>
      <c r="D16" s="1" t="str">
        <f>IFERROR(__xludf.DUMMYFUNCTION("""COMPUTED_VALUE"""),"+ 6,9 %")</f>
        <v>+ 6,9 %</v>
      </c>
      <c r="E16" s="1" t="str">
        <f>IFERROR(__xludf.DUMMYFUNCTION("""COMPUTED_VALUE"""),"+ 13,1 %")</f>
        <v>+ 13,1 %</v>
      </c>
    </row>
    <row r="17">
      <c r="A17" s="2">
        <f>IFERROR(__xludf.DUMMYFUNCTION("""COMPUTED_VALUE"""),45717.0)</f>
        <v>45717</v>
      </c>
      <c r="B17" s="1" t="str">
        <f>IFERROR(__xludf.DUMMYFUNCTION("""COMPUTED_VALUE"""),"4.070 €/m2")</f>
        <v>4.070 €/m2</v>
      </c>
      <c r="C17" s="1" t="str">
        <f>IFERROR(__xludf.DUMMYFUNCTION("""COMPUTED_VALUE"""),"- 1,3 %")</f>
        <v>- 1,3 %</v>
      </c>
      <c r="D17" s="1" t="str">
        <f>IFERROR(__xludf.DUMMYFUNCTION("""COMPUTED_VALUE"""),"+ 5,9 %")</f>
        <v>+ 5,9 %</v>
      </c>
      <c r="E17" s="1" t="str">
        <f>IFERROR(__xludf.DUMMYFUNCTION("""COMPUTED_VALUE"""),"+ 14,7 %")</f>
        <v>+ 14,7 %</v>
      </c>
    </row>
    <row r="18">
      <c r="A18" s="2">
        <f>IFERROR(__xludf.DUMMYFUNCTION("""COMPUTED_VALUE"""),45689.0)</f>
        <v>45689</v>
      </c>
      <c r="B18" s="1" t="str">
        <f>IFERROR(__xludf.DUMMYFUNCTION("""COMPUTED_VALUE"""),"4.123 €/m2")</f>
        <v>4.123 €/m2</v>
      </c>
      <c r="C18" s="1" t="str">
        <f>IFERROR(__xludf.DUMMYFUNCTION("""COMPUTED_VALUE"""),"+ 8,0 %")</f>
        <v>+ 8,0 %</v>
      </c>
      <c r="D18" s="1" t="str">
        <f>IFERROR(__xludf.DUMMYFUNCTION("""COMPUTED_VALUE"""),"+ 5,7 %")</f>
        <v>+ 5,7 %</v>
      </c>
      <c r="E18" s="1" t="str">
        <f>IFERROR(__xludf.DUMMYFUNCTION("""COMPUTED_VALUE"""),"+ 17,4 %")</f>
        <v>+ 17,4 %</v>
      </c>
    </row>
    <row r="19">
      <c r="A19" s="2">
        <f>IFERROR(__xludf.DUMMYFUNCTION("""COMPUTED_VALUE"""),45658.0)</f>
        <v>45658</v>
      </c>
      <c r="B19" s="1" t="str">
        <f>IFERROR(__xludf.DUMMYFUNCTION("""COMPUTED_VALUE"""),"3.817 €/m2")</f>
        <v>3.817 €/m2</v>
      </c>
      <c r="C19" s="1" t="str">
        <f>IFERROR(__xludf.DUMMYFUNCTION("""COMPUTED_VALUE"""),"- 0,7 %")</f>
        <v>- 0,7 %</v>
      </c>
      <c r="D19" s="1" t="str">
        <f>IFERROR(__xludf.DUMMYFUNCTION("""COMPUTED_VALUE"""),"- 2,1 %")</f>
        <v>- 2,1 %</v>
      </c>
      <c r="E19" s="1" t="str">
        <f>IFERROR(__xludf.DUMMYFUNCTION("""COMPUTED_VALUE"""),"+ 10,6 %")</f>
        <v>+ 10,6 %</v>
      </c>
    </row>
    <row r="20">
      <c r="A20" s="2">
        <f>IFERROR(__xludf.DUMMYFUNCTION("""COMPUTED_VALUE"""),45627.0)</f>
        <v>45627</v>
      </c>
      <c r="B20" s="1" t="str">
        <f>IFERROR(__xludf.DUMMYFUNCTION("""COMPUTED_VALUE"""),"3.845 €/m2")</f>
        <v>3.845 €/m2</v>
      </c>
      <c r="C20" s="1" t="str">
        <f>IFERROR(__xludf.DUMMYFUNCTION("""COMPUTED_VALUE"""),"- 1,4 %")</f>
        <v>- 1,4 %</v>
      </c>
      <c r="D20" s="1" t="str">
        <f>IFERROR(__xludf.DUMMYFUNCTION("""COMPUTED_VALUE"""),"+ 2,3 %")</f>
        <v>+ 2,3 %</v>
      </c>
      <c r="E20" s="1" t="str">
        <f>IFERROR(__xludf.DUMMYFUNCTION("""COMPUTED_VALUE"""),"+ 12,9 %")</f>
        <v>+ 12,9 %</v>
      </c>
    </row>
    <row r="21">
      <c r="A21" s="2">
        <f>IFERROR(__xludf.DUMMYFUNCTION("""COMPUTED_VALUE"""),45597.0)</f>
        <v>45597</v>
      </c>
      <c r="B21" s="1" t="str">
        <f>IFERROR(__xludf.DUMMYFUNCTION("""COMPUTED_VALUE"""),"3.901 €/m2")</f>
        <v>3.901 €/m2</v>
      </c>
      <c r="C21" s="1" t="str">
        <f>IFERROR(__xludf.DUMMYFUNCTION("""COMPUTED_VALUE"""),"0,0 %")</f>
        <v>0,0 %</v>
      </c>
      <c r="D21" s="1" t="str">
        <f>IFERROR(__xludf.DUMMYFUNCTION("""COMPUTED_VALUE"""),"+ 5,9 %")</f>
        <v>+ 5,9 %</v>
      </c>
      <c r="E21" s="1" t="str">
        <f>IFERROR(__xludf.DUMMYFUNCTION("""COMPUTED_VALUE"""),"+ 13,0 %")</f>
        <v>+ 13,0 %</v>
      </c>
    </row>
    <row r="22">
      <c r="A22" s="2">
        <f>IFERROR(__xludf.DUMMYFUNCTION("""COMPUTED_VALUE"""),45566.0)</f>
        <v>45566</v>
      </c>
      <c r="B22" s="1" t="str">
        <f>IFERROR(__xludf.DUMMYFUNCTION("""COMPUTED_VALUE"""),"3.899 €/m2")</f>
        <v>3.899 €/m2</v>
      </c>
      <c r="C22" s="1" t="str">
        <f>IFERROR(__xludf.DUMMYFUNCTION("""COMPUTED_VALUE"""),"+ 3,8 %")</f>
        <v>+ 3,8 %</v>
      </c>
      <c r="D22" s="1" t="str">
        <f>IFERROR(__xludf.DUMMYFUNCTION("""COMPUTED_VALUE"""),"+ 4,6 %")</f>
        <v>+ 4,6 %</v>
      </c>
      <c r="E22" s="1" t="str">
        <f>IFERROR(__xludf.DUMMYFUNCTION("""COMPUTED_VALUE"""),"+ 11,5 %")</f>
        <v>+ 11,5 %</v>
      </c>
    </row>
    <row r="23">
      <c r="A23" s="2">
        <f>IFERROR(__xludf.DUMMYFUNCTION("""COMPUTED_VALUE"""),45536.0)</f>
        <v>45536</v>
      </c>
      <c r="B23" s="1" t="str">
        <f>IFERROR(__xludf.DUMMYFUNCTION("""COMPUTED_VALUE"""),"3.758 €/m2")</f>
        <v>3.758 €/m2</v>
      </c>
      <c r="C23" s="1" t="str">
        <f>IFERROR(__xludf.DUMMYFUNCTION("""COMPUTED_VALUE"""),"+ 2,0 %")</f>
        <v>+ 2,0 %</v>
      </c>
      <c r="D23" s="1" t="str">
        <f>IFERROR(__xludf.DUMMYFUNCTION("""COMPUTED_VALUE"""),"+ 2,0 %")</f>
        <v>+ 2,0 %</v>
      </c>
      <c r="E23" s="1" t="str">
        <f>IFERROR(__xludf.DUMMYFUNCTION("""COMPUTED_VALUE"""),"+ 9,3 %")</f>
        <v>+ 9,3 %</v>
      </c>
    </row>
    <row r="24">
      <c r="A24" s="2">
        <f>IFERROR(__xludf.DUMMYFUNCTION("""COMPUTED_VALUE"""),45505.0)</f>
        <v>45505</v>
      </c>
      <c r="B24" s="1" t="str">
        <f>IFERROR(__xludf.DUMMYFUNCTION("""COMPUTED_VALUE"""),"3.684 €/m2")</f>
        <v>3.684 €/m2</v>
      </c>
      <c r="C24" s="1" t="str">
        <f>IFERROR(__xludf.DUMMYFUNCTION("""COMPUTED_VALUE"""),"- 1,1 %")</f>
        <v>- 1,1 %</v>
      </c>
      <c r="D24" s="1" t="str">
        <f>IFERROR(__xludf.DUMMYFUNCTION("""COMPUTED_VALUE"""),"+ 0,3 %")</f>
        <v>+ 0,3 %</v>
      </c>
      <c r="E24" s="1" t="str">
        <f>IFERROR(__xludf.DUMMYFUNCTION("""COMPUTED_VALUE"""),"+ 6,1 %")</f>
        <v>+ 6,1 %</v>
      </c>
    </row>
    <row r="25">
      <c r="A25" s="2">
        <f>IFERROR(__xludf.DUMMYFUNCTION("""COMPUTED_VALUE"""),45474.0)</f>
        <v>45474</v>
      </c>
      <c r="B25" s="1" t="str">
        <f>IFERROR(__xludf.DUMMYFUNCTION("""COMPUTED_VALUE"""),"3.727 €/m2")</f>
        <v>3.727 €/m2</v>
      </c>
      <c r="C25" s="1" t="str">
        <f>IFERROR(__xludf.DUMMYFUNCTION("""COMPUTED_VALUE"""),"+ 1,1 %")</f>
        <v>+ 1,1 %</v>
      </c>
      <c r="D25" s="1" t="str">
        <f>IFERROR(__xludf.DUMMYFUNCTION("""COMPUTED_VALUE"""),"+ 3,3 %")</f>
        <v>+ 3,3 %</v>
      </c>
      <c r="E25" s="1" t="str">
        <f>IFERROR(__xludf.DUMMYFUNCTION("""COMPUTED_VALUE"""),"+ 6,4 %")</f>
        <v>+ 6,4 %</v>
      </c>
    </row>
    <row r="26">
      <c r="A26" s="2">
        <f>IFERROR(__xludf.DUMMYFUNCTION("""COMPUTED_VALUE"""),45444.0)</f>
        <v>45444</v>
      </c>
      <c r="B26" s="1" t="str">
        <f>IFERROR(__xludf.DUMMYFUNCTION("""COMPUTED_VALUE"""),"3.686 €/m2")</f>
        <v>3.686 €/m2</v>
      </c>
      <c r="C26" s="1" t="str">
        <f>IFERROR(__xludf.DUMMYFUNCTION("""COMPUTED_VALUE"""),"+ 0,3 %")</f>
        <v>+ 0,3 %</v>
      </c>
      <c r="D26" s="1" t="str">
        <f>IFERROR(__xludf.DUMMYFUNCTION("""COMPUTED_VALUE"""),"+ 3,9 %")</f>
        <v>+ 3,9 %</v>
      </c>
      <c r="E26" s="1" t="str">
        <f>IFERROR(__xludf.DUMMYFUNCTION("""COMPUTED_VALUE"""),"+ 5,1 %")</f>
        <v>+ 5,1 %</v>
      </c>
    </row>
    <row r="27">
      <c r="A27" s="2">
        <f>IFERROR(__xludf.DUMMYFUNCTION("""COMPUTED_VALUE"""),45413.0)</f>
        <v>45413</v>
      </c>
      <c r="B27" s="1" t="str">
        <f>IFERROR(__xludf.DUMMYFUNCTION("""COMPUTED_VALUE"""),"3.673 €/m2")</f>
        <v>3.673 €/m2</v>
      </c>
      <c r="C27" s="1" t="str">
        <f>IFERROR(__xludf.DUMMYFUNCTION("""COMPUTED_VALUE"""),"+ 1,8 %")</f>
        <v>+ 1,8 %</v>
      </c>
      <c r="D27" s="1" t="str">
        <f>IFERROR(__xludf.DUMMYFUNCTION("""COMPUTED_VALUE"""),"+ 4,5 %")</f>
        <v>+ 4,5 %</v>
      </c>
      <c r="E27" s="1" t="str">
        <f>IFERROR(__xludf.DUMMYFUNCTION("""COMPUTED_VALUE"""),"+ 7,7 %")</f>
        <v>+ 7,7 %</v>
      </c>
    </row>
    <row r="28">
      <c r="A28" s="2">
        <f>IFERROR(__xludf.DUMMYFUNCTION("""COMPUTED_VALUE"""),45383.0)</f>
        <v>45383</v>
      </c>
      <c r="B28" s="1" t="str">
        <f>IFERROR(__xludf.DUMMYFUNCTION("""COMPUTED_VALUE"""),"3.608 €/m2")</f>
        <v>3.608 €/m2</v>
      </c>
      <c r="C28" s="1" t="str">
        <f>IFERROR(__xludf.DUMMYFUNCTION("""COMPUTED_VALUE"""),"+ 1,7 %")</f>
        <v>+ 1,7 %</v>
      </c>
      <c r="D28" s="1" t="str">
        <f>IFERROR(__xludf.DUMMYFUNCTION("""COMPUTED_VALUE"""),"+ 4,5 %")</f>
        <v>+ 4,5 %</v>
      </c>
      <c r="E28" s="1" t="str">
        <f>IFERROR(__xludf.DUMMYFUNCTION("""COMPUTED_VALUE"""),"+ 7,7 %")</f>
        <v>+ 7,7 %</v>
      </c>
    </row>
    <row r="29">
      <c r="A29" s="2">
        <f>IFERROR(__xludf.DUMMYFUNCTION("""COMPUTED_VALUE"""),45352.0)</f>
        <v>45352</v>
      </c>
      <c r="B29" s="1" t="str">
        <f>IFERROR(__xludf.DUMMYFUNCTION("""COMPUTED_VALUE"""),"3.549 €/m2")</f>
        <v>3.549 €/m2</v>
      </c>
      <c r="C29" s="1" t="str">
        <f>IFERROR(__xludf.DUMMYFUNCTION("""COMPUTED_VALUE"""),"+ 1,0 %")</f>
        <v>+ 1,0 %</v>
      </c>
      <c r="D29" s="1" t="str">
        <f>IFERROR(__xludf.DUMMYFUNCTION("""COMPUTED_VALUE"""),"+ 4,2 %")</f>
        <v>+ 4,2 %</v>
      </c>
      <c r="E29" s="1" t="str">
        <f>IFERROR(__xludf.DUMMYFUNCTION("""COMPUTED_VALUE"""),"+ 4,4 %")</f>
        <v>+ 4,4 %</v>
      </c>
    </row>
    <row r="30">
      <c r="A30" s="2">
        <f>IFERROR(__xludf.DUMMYFUNCTION("""COMPUTED_VALUE"""),45323.0)</f>
        <v>45323</v>
      </c>
      <c r="B30" s="1" t="str">
        <f>IFERROR(__xludf.DUMMYFUNCTION("""COMPUTED_VALUE"""),"3.513 €/m2")</f>
        <v>3.513 €/m2</v>
      </c>
      <c r="C30" s="1" t="str">
        <f>IFERROR(__xludf.DUMMYFUNCTION("""COMPUTED_VALUE"""),"+ 1,8 %")</f>
        <v>+ 1,8 %</v>
      </c>
      <c r="D30" s="1" t="str">
        <f>IFERROR(__xludf.DUMMYFUNCTION("""COMPUTED_VALUE"""),"+ 1,8 %")</f>
        <v>+ 1,8 %</v>
      </c>
      <c r="E30" s="1" t="str">
        <f>IFERROR(__xludf.DUMMYFUNCTION("""COMPUTED_VALUE"""),"+ 3,1 %")</f>
        <v>+ 3,1 %</v>
      </c>
    </row>
    <row r="31">
      <c r="A31" s="2">
        <f>IFERROR(__xludf.DUMMYFUNCTION("""COMPUTED_VALUE"""),45292.0)</f>
        <v>45292</v>
      </c>
      <c r="B31" s="1" t="str">
        <f>IFERROR(__xludf.DUMMYFUNCTION("""COMPUTED_VALUE"""),"3.452 €/m2")</f>
        <v>3.452 €/m2</v>
      </c>
      <c r="C31" s="1" t="str">
        <f>IFERROR(__xludf.DUMMYFUNCTION("""COMPUTED_VALUE"""),"+ 1,3 %")</f>
        <v>+ 1,3 %</v>
      </c>
      <c r="D31" s="1" t="str">
        <f>IFERROR(__xludf.DUMMYFUNCTION("""COMPUTED_VALUE"""),"- 1,3 %")</f>
        <v>- 1,3 %</v>
      </c>
      <c r="E31" s="1" t="str">
        <f>IFERROR(__xludf.DUMMYFUNCTION("""COMPUTED_VALUE"""),"+ 1,8 %")</f>
        <v>+ 1,8 %</v>
      </c>
    </row>
    <row r="32">
      <c r="A32" s="2">
        <f>IFERROR(__xludf.DUMMYFUNCTION("""COMPUTED_VALUE"""),45261.0)</f>
        <v>45261</v>
      </c>
      <c r="B32" s="1" t="str">
        <f>IFERROR(__xludf.DUMMYFUNCTION("""COMPUTED_VALUE"""),"3.406 €/m2")</f>
        <v>3.406 €/m2</v>
      </c>
      <c r="C32" s="1" t="str">
        <f>IFERROR(__xludf.DUMMYFUNCTION("""COMPUTED_VALUE"""),"- 1,3 %")</f>
        <v>- 1,3 %</v>
      </c>
      <c r="D32" s="1" t="str">
        <f>IFERROR(__xludf.DUMMYFUNCTION("""COMPUTED_VALUE"""),"- 0,9 %")</f>
        <v>- 0,9 %</v>
      </c>
      <c r="E32" s="1" t="str">
        <f>IFERROR(__xludf.DUMMYFUNCTION("""COMPUTED_VALUE"""),"+ 0,4 %")</f>
        <v>+ 0,4 %</v>
      </c>
    </row>
    <row r="33">
      <c r="A33" s="2">
        <f>IFERROR(__xludf.DUMMYFUNCTION("""COMPUTED_VALUE"""),45231.0)</f>
        <v>45231</v>
      </c>
      <c r="B33" s="1" t="str">
        <f>IFERROR(__xludf.DUMMYFUNCTION("""COMPUTED_VALUE"""),"3.451 €/m2")</f>
        <v>3.451 €/m2</v>
      </c>
      <c r="C33" s="1" t="str">
        <f>IFERROR(__xludf.DUMMYFUNCTION("""COMPUTED_VALUE"""),"- 1,3 %")</f>
        <v>- 1,3 %</v>
      </c>
      <c r="D33" s="1" t="str">
        <f>IFERROR(__xludf.DUMMYFUNCTION("""COMPUTED_VALUE"""),"- 0,6 %")</f>
        <v>- 0,6 %</v>
      </c>
      <c r="E33" s="1" t="str">
        <f>IFERROR(__xludf.DUMMYFUNCTION("""COMPUTED_VALUE"""),"+ 0,1 %")</f>
        <v>+ 0,1 %</v>
      </c>
    </row>
    <row r="34">
      <c r="A34" s="2">
        <f>IFERROR(__xludf.DUMMYFUNCTION("""COMPUTED_VALUE"""),45200.0)</f>
        <v>45200</v>
      </c>
      <c r="B34" s="1" t="str">
        <f>IFERROR(__xludf.DUMMYFUNCTION("""COMPUTED_VALUE"""),"3.497 €/m2")</f>
        <v>3.497 €/m2</v>
      </c>
      <c r="C34" s="1" t="str">
        <f>IFERROR(__xludf.DUMMYFUNCTION("""COMPUTED_VALUE"""),"+ 1,7 %")</f>
        <v>+ 1,7 %</v>
      </c>
      <c r="D34" s="1" t="str">
        <f>IFERROR(__xludf.DUMMYFUNCTION("""COMPUTED_VALUE"""),"- 0,2 %")</f>
        <v>- 0,2 %</v>
      </c>
      <c r="E34" s="1" t="str">
        <f>IFERROR(__xludf.DUMMYFUNCTION("""COMPUTED_VALUE"""),"+ 3,1 %")</f>
        <v>+ 3,1 %</v>
      </c>
    </row>
    <row r="35">
      <c r="A35" s="2">
        <f>IFERROR(__xludf.DUMMYFUNCTION("""COMPUTED_VALUE"""),45170.0)</f>
        <v>45170</v>
      </c>
      <c r="B35" s="1" t="str">
        <f>IFERROR(__xludf.DUMMYFUNCTION("""COMPUTED_VALUE"""),"3.439 €/m2")</f>
        <v>3.439 €/m2</v>
      </c>
      <c r="C35" s="1" t="str">
        <f>IFERROR(__xludf.DUMMYFUNCTION("""COMPUTED_VALUE"""),"- 1,0 %")</f>
        <v>- 1,0 %</v>
      </c>
      <c r="D35" s="1" t="str">
        <f>IFERROR(__xludf.DUMMYFUNCTION("""COMPUTED_VALUE"""),"- 1,9 %")</f>
        <v>- 1,9 %</v>
      </c>
      <c r="E35" s="1" t="str">
        <f>IFERROR(__xludf.DUMMYFUNCTION("""COMPUTED_VALUE"""),"+ 4,7 %")</f>
        <v>+ 4,7 %</v>
      </c>
    </row>
    <row r="36">
      <c r="A36" s="2">
        <f>IFERROR(__xludf.DUMMYFUNCTION("""COMPUTED_VALUE"""),45139.0)</f>
        <v>45139</v>
      </c>
      <c r="B36" s="1" t="str">
        <f>IFERROR(__xludf.DUMMYFUNCTION("""COMPUTED_VALUE"""),"3.472 €/m2")</f>
        <v>3.472 €/m2</v>
      </c>
      <c r="C36" s="1" t="str">
        <f>IFERROR(__xludf.DUMMYFUNCTION("""COMPUTED_VALUE"""),"- 0,9 %")</f>
        <v>- 0,9 %</v>
      </c>
      <c r="D36" s="1" t="str">
        <f>IFERROR(__xludf.DUMMYFUNCTION("""COMPUTED_VALUE"""),"+ 1,8 %")</f>
        <v>+ 1,8 %</v>
      </c>
      <c r="E36" s="1" t="str">
        <f>IFERROR(__xludf.DUMMYFUNCTION("""COMPUTED_VALUE"""),"+ 4,4 %")</f>
        <v>+ 4,4 %</v>
      </c>
    </row>
    <row r="37">
      <c r="A37" s="2">
        <f>IFERROR(__xludf.DUMMYFUNCTION("""COMPUTED_VALUE"""),45108.0)</f>
        <v>45108</v>
      </c>
      <c r="B37" s="1" t="str">
        <f>IFERROR(__xludf.DUMMYFUNCTION("""COMPUTED_VALUE"""),"3.504 €/m2")</f>
        <v>3.504 €/m2</v>
      </c>
      <c r="C37" s="1" t="str">
        <f>IFERROR(__xludf.DUMMYFUNCTION("""COMPUTED_VALUE"""),"- 0,1 %")</f>
        <v>- 0,1 %</v>
      </c>
      <c r="D37" s="1" t="str">
        <f>IFERROR(__xludf.DUMMYFUNCTION("""COMPUTED_VALUE"""),"+ 4,6 %")</f>
        <v>+ 4,6 %</v>
      </c>
      <c r="E37" s="1" t="str">
        <f>IFERROR(__xludf.DUMMYFUNCTION("""COMPUTED_VALUE"""),"+ 7,0 %")</f>
        <v>+ 7,0 %</v>
      </c>
    </row>
    <row r="38">
      <c r="A38" s="2">
        <f>IFERROR(__xludf.DUMMYFUNCTION("""COMPUTED_VALUE"""),45078.0)</f>
        <v>45078</v>
      </c>
      <c r="B38" s="1" t="str">
        <f>IFERROR(__xludf.DUMMYFUNCTION("""COMPUTED_VALUE"""),"3.507 €/m2")</f>
        <v>3.507 €/m2</v>
      </c>
      <c r="C38" s="1" t="str">
        <f>IFERROR(__xludf.DUMMYFUNCTION("""COMPUTED_VALUE"""),"+ 2,8 %")</f>
        <v>+ 2,8 %</v>
      </c>
      <c r="D38" s="1" t="str">
        <f>IFERROR(__xludf.DUMMYFUNCTION("""COMPUTED_VALUE"""),"+ 3,2 %")</f>
        <v>+ 3,2 %</v>
      </c>
      <c r="E38" s="1" t="str">
        <f>IFERROR(__xludf.DUMMYFUNCTION("""COMPUTED_VALUE"""),"+ 7,5 %")</f>
        <v>+ 7,5 %</v>
      </c>
    </row>
    <row r="39">
      <c r="A39" s="2">
        <f>IFERROR(__xludf.DUMMYFUNCTION("""COMPUTED_VALUE"""),45047.0)</f>
        <v>45047</v>
      </c>
      <c r="B39" s="1" t="str">
        <f>IFERROR(__xludf.DUMMYFUNCTION("""COMPUTED_VALUE"""),"3.411 €/m2")</f>
        <v>3.411 €/m2</v>
      </c>
      <c r="C39" s="1" t="str">
        <f>IFERROR(__xludf.DUMMYFUNCTION("""COMPUTED_VALUE"""),"+ 1,8 %")</f>
        <v>+ 1,8 %</v>
      </c>
      <c r="D39" s="1" t="str">
        <f>IFERROR(__xludf.DUMMYFUNCTION("""COMPUTED_VALUE"""),"+ 0,1 %")</f>
        <v>+ 0,1 %</v>
      </c>
      <c r="E39" s="1" t="str">
        <f>IFERROR(__xludf.DUMMYFUNCTION("""COMPUTED_VALUE"""),"+ 5,2 %")</f>
        <v>+ 5,2 %</v>
      </c>
    </row>
    <row r="40">
      <c r="A40" s="2">
        <f>IFERROR(__xludf.DUMMYFUNCTION("""COMPUTED_VALUE"""),45017.0)</f>
        <v>45017</v>
      </c>
      <c r="B40" s="1" t="str">
        <f>IFERROR(__xludf.DUMMYFUNCTION("""COMPUTED_VALUE"""),"3.351 €/m2")</f>
        <v>3.351 €/m2</v>
      </c>
      <c r="C40" s="1" t="str">
        <f>IFERROR(__xludf.DUMMYFUNCTION("""COMPUTED_VALUE"""),"- 1,4 %")</f>
        <v>- 1,4 %</v>
      </c>
      <c r="D40" s="1" t="str">
        <f>IFERROR(__xludf.DUMMYFUNCTION("""COMPUTED_VALUE"""),"- 1,2 %")</f>
        <v>- 1,2 %</v>
      </c>
      <c r="E40" s="1" t="str">
        <f>IFERROR(__xludf.DUMMYFUNCTION("""COMPUTED_VALUE"""),"+ 2,5 %")</f>
        <v>+ 2,5 %</v>
      </c>
    </row>
    <row r="41">
      <c r="A41" s="2">
        <f>IFERROR(__xludf.DUMMYFUNCTION("""COMPUTED_VALUE"""),44986.0)</f>
        <v>44986</v>
      </c>
      <c r="B41" s="1" t="str">
        <f>IFERROR(__xludf.DUMMYFUNCTION("""COMPUTED_VALUE"""),"3.399 €/m2")</f>
        <v>3.399 €/m2</v>
      </c>
      <c r="C41" s="1" t="str">
        <f>IFERROR(__xludf.DUMMYFUNCTION("""COMPUTED_VALUE"""),"- 0,3 %")</f>
        <v>- 0,3 %</v>
      </c>
      <c r="D41" s="1" t="str">
        <f>IFERROR(__xludf.DUMMYFUNCTION("""COMPUTED_VALUE"""),"+ 0,2 %")</f>
        <v>+ 0,2 %</v>
      </c>
      <c r="E41" s="1" t="str">
        <f>IFERROR(__xludf.DUMMYFUNCTION("""COMPUTED_VALUE"""),"+ 2,0 %")</f>
        <v>+ 2,0 %</v>
      </c>
    </row>
    <row r="42">
      <c r="A42" s="2">
        <f>IFERROR(__xludf.DUMMYFUNCTION("""COMPUTED_VALUE"""),44958.0)</f>
        <v>44958</v>
      </c>
      <c r="B42" s="1" t="str">
        <f>IFERROR(__xludf.DUMMYFUNCTION("""COMPUTED_VALUE"""),"3.407 €/m2")</f>
        <v>3.407 €/m2</v>
      </c>
      <c r="C42" s="1" t="str">
        <f>IFERROR(__xludf.DUMMYFUNCTION("""COMPUTED_VALUE"""),"+ 0,5 %")</f>
        <v>+ 0,5 %</v>
      </c>
      <c r="D42" s="1" t="str">
        <f>IFERROR(__xludf.DUMMYFUNCTION("""COMPUTED_VALUE"""),"- 1,1 %")</f>
        <v>- 1,1 %</v>
      </c>
      <c r="E42" s="1" t="str">
        <f>IFERROR(__xludf.DUMMYFUNCTION("""COMPUTED_VALUE"""),"+ 1,6 %")</f>
        <v>+ 1,6 %</v>
      </c>
    </row>
    <row r="43">
      <c r="A43" s="2">
        <f>IFERROR(__xludf.DUMMYFUNCTION("""COMPUTED_VALUE"""),44927.0)</f>
        <v>44927</v>
      </c>
      <c r="B43" s="1" t="str">
        <f>IFERROR(__xludf.DUMMYFUNCTION("""COMPUTED_VALUE"""),"3.391 €/m2")</f>
        <v>3.391 €/m2</v>
      </c>
      <c r="C43" s="1" t="str">
        <f>IFERROR(__xludf.DUMMYFUNCTION("""COMPUTED_VALUE"""),"- 0,1 %")</f>
        <v>- 0,1 %</v>
      </c>
      <c r="D43" s="1" t="str">
        <f>IFERROR(__xludf.DUMMYFUNCTION("""COMPUTED_VALUE"""),"0,0 %")</f>
        <v>0,0 %</v>
      </c>
      <c r="E43" s="1" t="str">
        <f>IFERROR(__xludf.DUMMYFUNCTION("""COMPUTED_VALUE"""),"+ 1,4 %")</f>
        <v>+ 1,4 %</v>
      </c>
    </row>
    <row r="44">
      <c r="A44" s="2">
        <f>IFERROR(__xludf.DUMMYFUNCTION("""COMPUTED_VALUE"""),44896.0)</f>
        <v>44896</v>
      </c>
      <c r="B44" s="1" t="str">
        <f>IFERROR(__xludf.DUMMYFUNCTION("""COMPUTED_VALUE"""),"3.394 €/m2")</f>
        <v>3.394 €/m2</v>
      </c>
      <c r="C44" s="1" t="str">
        <f>IFERROR(__xludf.DUMMYFUNCTION("""COMPUTED_VALUE"""),"- 1,5 %")</f>
        <v>- 1,5 %</v>
      </c>
      <c r="D44" s="1" t="str">
        <f>IFERROR(__xludf.DUMMYFUNCTION("""COMPUTED_VALUE"""),"+ 3,3 %")</f>
        <v>+ 3,3 %</v>
      </c>
      <c r="E44" s="1" t="str">
        <f>IFERROR(__xludf.DUMMYFUNCTION("""COMPUTED_VALUE"""),"+ 1,1 %")</f>
        <v>+ 1,1 %</v>
      </c>
    </row>
    <row r="45">
      <c r="A45" s="2">
        <f>IFERROR(__xludf.DUMMYFUNCTION("""COMPUTED_VALUE"""),44866.0)</f>
        <v>44866</v>
      </c>
      <c r="B45" s="1" t="str">
        <f>IFERROR(__xludf.DUMMYFUNCTION("""COMPUTED_VALUE"""),"3.447 €/m2")</f>
        <v>3.447 €/m2</v>
      </c>
      <c r="C45" s="1" t="str">
        <f>IFERROR(__xludf.DUMMYFUNCTION("""COMPUTED_VALUE"""),"+ 1,6 %")</f>
        <v>+ 1,6 %</v>
      </c>
      <c r="D45" s="1" t="str">
        <f>IFERROR(__xludf.DUMMYFUNCTION("""COMPUTED_VALUE"""),"+ 3,7 %")</f>
        <v>+ 3,7 %</v>
      </c>
      <c r="E45" s="1" t="str">
        <f>IFERROR(__xludf.DUMMYFUNCTION("""COMPUTED_VALUE"""),"+ 2,1 %")</f>
        <v>+ 2,1 %</v>
      </c>
    </row>
    <row r="46">
      <c r="A46" s="2">
        <f>IFERROR(__xludf.DUMMYFUNCTION("""COMPUTED_VALUE"""),44835.0)</f>
        <v>44835</v>
      </c>
      <c r="B46" s="1" t="str">
        <f>IFERROR(__xludf.DUMMYFUNCTION("""COMPUTED_VALUE"""),"3.391 €/m2")</f>
        <v>3.391 €/m2</v>
      </c>
      <c r="C46" s="1" t="str">
        <f>IFERROR(__xludf.DUMMYFUNCTION("""COMPUTED_VALUE"""),"+ 3,2 %")</f>
        <v>+ 3,2 %</v>
      </c>
      <c r="D46" s="1" t="str">
        <f>IFERROR(__xludf.DUMMYFUNCTION("""COMPUTED_VALUE"""),"+ 3,6 %")</f>
        <v>+ 3,6 %</v>
      </c>
      <c r="E46" s="1" t="str">
        <f>IFERROR(__xludf.DUMMYFUNCTION("""COMPUTED_VALUE"""),"+ 0,7 %")</f>
        <v>+ 0,7 %</v>
      </c>
    </row>
    <row r="47">
      <c r="A47" s="2">
        <f>IFERROR(__xludf.DUMMYFUNCTION("""COMPUTED_VALUE"""),44805.0)</f>
        <v>44805</v>
      </c>
      <c r="B47" s="1" t="str">
        <f>IFERROR(__xludf.DUMMYFUNCTION("""COMPUTED_VALUE"""),"3.285 €/m2")</f>
        <v>3.285 €/m2</v>
      </c>
      <c r="C47" s="1" t="str">
        <f>IFERROR(__xludf.DUMMYFUNCTION("""COMPUTED_VALUE"""),"- 1,2 %")</f>
        <v>- 1,2 %</v>
      </c>
      <c r="D47" s="1" t="str">
        <f>IFERROR(__xludf.DUMMYFUNCTION("""COMPUTED_VALUE"""),"+ 0,7 %")</f>
        <v>+ 0,7 %</v>
      </c>
      <c r="E47" s="1" t="str">
        <f>IFERROR(__xludf.DUMMYFUNCTION("""COMPUTED_VALUE"""),"- 1,3 %")</f>
        <v>- 1,3 %</v>
      </c>
    </row>
    <row r="48">
      <c r="A48" s="2">
        <f>IFERROR(__xludf.DUMMYFUNCTION("""COMPUTED_VALUE"""),44774.0)</f>
        <v>44774</v>
      </c>
      <c r="B48" s="1" t="str">
        <f>IFERROR(__xludf.DUMMYFUNCTION("""COMPUTED_VALUE"""),"3.325 €/m2")</f>
        <v>3.325 €/m2</v>
      </c>
      <c r="C48" s="1" t="str">
        <f>IFERROR(__xludf.DUMMYFUNCTION("""COMPUTED_VALUE"""),"+ 1,6 %")</f>
        <v>+ 1,6 %</v>
      </c>
      <c r="D48" s="1" t="str">
        <f>IFERROR(__xludf.DUMMYFUNCTION("""COMPUTED_VALUE"""),"+ 2,5 %")</f>
        <v>+ 2,5 %</v>
      </c>
      <c r="E48" s="1" t="str">
        <f>IFERROR(__xludf.DUMMYFUNCTION("""COMPUTED_VALUE"""),"+ 0,4 %")</f>
        <v>+ 0,4 %</v>
      </c>
    </row>
    <row r="49">
      <c r="A49" s="2">
        <f>IFERROR(__xludf.DUMMYFUNCTION("""COMPUTED_VALUE"""),44743.0)</f>
        <v>44743</v>
      </c>
      <c r="B49" s="1" t="str">
        <f>IFERROR(__xludf.DUMMYFUNCTION("""COMPUTED_VALUE"""),"3.274 €/m2")</f>
        <v>3.274 €/m2</v>
      </c>
      <c r="C49" s="1" t="str">
        <f>IFERROR(__xludf.DUMMYFUNCTION("""COMPUTED_VALUE"""),"+ 0,3 %")</f>
        <v>+ 0,3 %</v>
      </c>
      <c r="D49" s="1" t="str">
        <f>IFERROR(__xludf.DUMMYFUNCTION("""COMPUTED_VALUE"""),"+ 0,1 %")</f>
        <v>+ 0,1 %</v>
      </c>
      <c r="E49" s="1" t="str">
        <f>IFERROR(__xludf.DUMMYFUNCTION("""COMPUTED_VALUE"""),"+ 2,1 %")</f>
        <v>+ 2,1 %</v>
      </c>
    </row>
    <row r="50">
      <c r="A50" s="2">
        <f>IFERROR(__xludf.DUMMYFUNCTION("""COMPUTED_VALUE"""),44713.0)</f>
        <v>44713</v>
      </c>
      <c r="B50" s="1" t="str">
        <f>IFERROR(__xludf.DUMMYFUNCTION("""COMPUTED_VALUE"""),"3.264 €/m2")</f>
        <v>3.264 €/m2</v>
      </c>
      <c r="C50" s="1" t="str">
        <f>IFERROR(__xludf.DUMMYFUNCTION("""COMPUTED_VALUE"""),"+ 0,6 %")</f>
        <v>+ 0,6 %</v>
      </c>
      <c r="D50" s="1" t="str">
        <f>IFERROR(__xludf.DUMMYFUNCTION("""COMPUTED_VALUE"""),"- 2,0 %")</f>
        <v>- 2,0 %</v>
      </c>
      <c r="E50" s="1" t="str">
        <f>IFERROR(__xludf.DUMMYFUNCTION("""COMPUTED_VALUE"""),"+ 2,8 %")</f>
        <v>+ 2,8 %</v>
      </c>
    </row>
    <row r="51">
      <c r="A51" s="2">
        <f>IFERROR(__xludf.DUMMYFUNCTION("""COMPUTED_VALUE"""),44682.0)</f>
        <v>44682</v>
      </c>
      <c r="B51" s="1" t="str">
        <f>IFERROR(__xludf.DUMMYFUNCTION("""COMPUTED_VALUE"""),"3.244 €/m2")</f>
        <v>3.244 €/m2</v>
      </c>
      <c r="C51" s="1" t="str">
        <f>IFERROR(__xludf.DUMMYFUNCTION("""COMPUTED_VALUE"""),"- 0,8 %")</f>
        <v>- 0,8 %</v>
      </c>
      <c r="D51" s="1" t="str">
        <f>IFERROR(__xludf.DUMMYFUNCTION("""COMPUTED_VALUE"""),"- 3,3 %")</f>
        <v>- 3,3 %</v>
      </c>
      <c r="E51" s="1" t="str">
        <f>IFERROR(__xludf.DUMMYFUNCTION("""COMPUTED_VALUE"""),"+ 2,6 %")</f>
        <v>+ 2,6 %</v>
      </c>
    </row>
    <row r="52">
      <c r="A52" s="2">
        <f>IFERROR(__xludf.DUMMYFUNCTION("""COMPUTED_VALUE"""),44652.0)</f>
        <v>44652</v>
      </c>
      <c r="B52" s="1" t="str">
        <f>IFERROR(__xludf.DUMMYFUNCTION("""COMPUTED_VALUE"""),"3.270 €/m2")</f>
        <v>3.270 €/m2</v>
      </c>
      <c r="C52" s="1" t="str">
        <f>IFERROR(__xludf.DUMMYFUNCTION("""COMPUTED_VALUE"""),"- 1,8 %")</f>
        <v>- 1,8 %</v>
      </c>
      <c r="D52" s="1" t="str">
        <f>IFERROR(__xludf.DUMMYFUNCTION("""COMPUTED_VALUE"""),"- 2,2 %")</f>
        <v>- 2,2 %</v>
      </c>
      <c r="E52" s="1" t="str">
        <f>IFERROR(__xludf.DUMMYFUNCTION("""COMPUTED_VALUE"""),"+ 2,4 %")</f>
        <v>+ 2,4 %</v>
      </c>
    </row>
    <row r="53">
      <c r="A53" s="2">
        <f>IFERROR(__xludf.DUMMYFUNCTION("""COMPUTED_VALUE"""),44621.0)</f>
        <v>44621</v>
      </c>
      <c r="B53" s="1" t="str">
        <f>IFERROR(__xludf.DUMMYFUNCTION("""COMPUTED_VALUE"""),"3.331 €/m2")</f>
        <v>3.331 €/m2</v>
      </c>
      <c r="C53" s="1" t="str">
        <f>IFERROR(__xludf.DUMMYFUNCTION("""COMPUTED_VALUE"""),"- 0,7 %")</f>
        <v>- 0,7 %</v>
      </c>
      <c r="D53" s="1" t="str">
        <f>IFERROR(__xludf.DUMMYFUNCTION("""COMPUTED_VALUE"""),"- 0,8 %")</f>
        <v>- 0,8 %</v>
      </c>
      <c r="E53" s="1" t="str">
        <f>IFERROR(__xludf.DUMMYFUNCTION("""COMPUTED_VALUE"""),"+ 2,8 %")</f>
        <v>+ 2,8 %</v>
      </c>
    </row>
    <row r="54">
      <c r="A54" s="2">
        <f>IFERROR(__xludf.DUMMYFUNCTION("""COMPUTED_VALUE"""),44593.0)</f>
        <v>44593</v>
      </c>
      <c r="B54" s="1" t="str">
        <f>IFERROR(__xludf.DUMMYFUNCTION("""COMPUTED_VALUE"""),"3.355 €/m2")</f>
        <v>3.355 €/m2</v>
      </c>
      <c r="C54" s="1" t="str">
        <f>IFERROR(__xludf.DUMMYFUNCTION("""COMPUTED_VALUE"""),"+ 0,3 %")</f>
        <v>+ 0,3 %</v>
      </c>
      <c r="D54" s="1" t="str">
        <f>IFERROR(__xludf.DUMMYFUNCTION("""COMPUTED_VALUE"""),"- 0,6 %")</f>
        <v>- 0,6 %</v>
      </c>
      <c r="E54" s="1" t="str">
        <f>IFERROR(__xludf.DUMMYFUNCTION("""COMPUTED_VALUE"""),"+ 3,9 %")</f>
        <v>+ 3,9 %</v>
      </c>
    </row>
    <row r="55">
      <c r="A55" s="2">
        <f>IFERROR(__xludf.DUMMYFUNCTION("""COMPUTED_VALUE"""),44562.0)</f>
        <v>44562</v>
      </c>
      <c r="B55" s="1" t="str">
        <f>IFERROR(__xludf.DUMMYFUNCTION("""COMPUTED_VALUE"""),"3.343 €/m2")</f>
        <v>3.343 €/m2</v>
      </c>
      <c r="C55" s="1" t="str">
        <f>IFERROR(__xludf.DUMMYFUNCTION("""COMPUTED_VALUE"""),"- 0,4 %")</f>
        <v>- 0,4 %</v>
      </c>
      <c r="D55" s="1" t="str">
        <f>IFERROR(__xludf.DUMMYFUNCTION("""COMPUTED_VALUE"""),"- 0,7 %")</f>
        <v>- 0,7 %</v>
      </c>
      <c r="E55" s="1" t="str">
        <f>IFERROR(__xludf.DUMMYFUNCTION("""COMPUTED_VALUE"""),"+ 5,4 %")</f>
        <v>+ 5,4 %</v>
      </c>
    </row>
    <row r="56">
      <c r="A56" s="2">
        <f>IFERROR(__xludf.DUMMYFUNCTION("""COMPUTED_VALUE"""),44531.0)</f>
        <v>44531</v>
      </c>
      <c r="B56" s="1" t="str">
        <f>IFERROR(__xludf.DUMMYFUNCTION("""COMPUTED_VALUE"""),"3.356 €/m2")</f>
        <v>3.356 €/m2</v>
      </c>
      <c r="C56" s="1" t="str">
        <f>IFERROR(__xludf.DUMMYFUNCTION("""COMPUTED_VALUE"""),"- 0,6 %")</f>
        <v>- 0,6 %</v>
      </c>
      <c r="D56" s="1" t="str">
        <f>IFERROR(__xludf.DUMMYFUNCTION("""COMPUTED_VALUE"""),"+ 0,9 %")</f>
        <v>+ 0,9 %</v>
      </c>
      <c r="E56" s="1" t="str">
        <f>IFERROR(__xludf.DUMMYFUNCTION("""COMPUTED_VALUE"""),"+ 6,2 %")</f>
        <v>+ 6,2 %</v>
      </c>
    </row>
    <row r="57">
      <c r="A57" s="2">
        <f>IFERROR(__xludf.DUMMYFUNCTION("""COMPUTED_VALUE"""),44501.0)</f>
        <v>44501</v>
      </c>
      <c r="B57" s="1" t="str">
        <f>IFERROR(__xludf.DUMMYFUNCTION("""COMPUTED_VALUE"""),"3.375 €/m2")</f>
        <v>3.375 €/m2</v>
      </c>
      <c r="C57" s="1" t="str">
        <f>IFERROR(__xludf.DUMMYFUNCTION("""COMPUTED_VALUE"""),"+ 0,3 %")</f>
        <v>+ 0,3 %</v>
      </c>
      <c r="D57" s="1" t="str">
        <f>IFERROR(__xludf.DUMMYFUNCTION("""COMPUTED_VALUE"""),"+ 1,9 %")</f>
        <v>+ 1,9 %</v>
      </c>
      <c r="E57" s="1" t="str">
        <f>IFERROR(__xludf.DUMMYFUNCTION("""COMPUTED_VALUE"""),"+ 6,3 %")</f>
        <v>+ 6,3 %</v>
      </c>
    </row>
    <row r="58">
      <c r="A58" s="2">
        <f>IFERROR(__xludf.DUMMYFUNCTION("""COMPUTED_VALUE"""),44470.0)</f>
        <v>44470</v>
      </c>
      <c r="B58" s="1" t="str">
        <f>IFERROR(__xludf.DUMMYFUNCTION("""COMPUTED_VALUE"""),"3.366 €/m2")</f>
        <v>3.366 €/m2</v>
      </c>
      <c r="C58" s="1" t="str">
        <f>IFERROR(__xludf.DUMMYFUNCTION("""COMPUTED_VALUE"""),"+ 1,2 %")</f>
        <v>+ 1,2 %</v>
      </c>
      <c r="D58" s="1" t="str">
        <f>IFERROR(__xludf.DUMMYFUNCTION("""COMPUTED_VALUE"""),"+ 5,0 %")</f>
        <v>+ 5,0 %</v>
      </c>
      <c r="E58" s="1" t="str">
        <f>IFERROR(__xludf.DUMMYFUNCTION("""COMPUTED_VALUE"""),"+ 7,0 %")</f>
        <v>+ 7,0 %</v>
      </c>
    </row>
    <row r="59">
      <c r="A59" s="2">
        <f>IFERROR(__xludf.DUMMYFUNCTION("""COMPUTED_VALUE"""),44440.0)</f>
        <v>44440</v>
      </c>
      <c r="B59" s="1" t="str">
        <f>IFERROR(__xludf.DUMMYFUNCTION("""COMPUTED_VALUE"""),"3.327 €/m2")</f>
        <v>3.327 €/m2</v>
      </c>
      <c r="C59" s="1" t="str">
        <f>IFERROR(__xludf.DUMMYFUNCTION("""COMPUTED_VALUE"""),"+ 0,4 %")</f>
        <v>+ 0,4 %</v>
      </c>
      <c r="D59" s="1" t="str">
        <f>IFERROR(__xludf.DUMMYFUNCTION("""COMPUTED_VALUE"""),"+ 4,8 %")</f>
        <v>+ 4,8 %</v>
      </c>
      <c r="E59" s="1" t="str">
        <f>IFERROR(__xludf.DUMMYFUNCTION("""COMPUTED_VALUE"""),"+ 5,4 %")</f>
        <v>+ 5,4 %</v>
      </c>
    </row>
    <row r="60">
      <c r="A60" s="2">
        <f>IFERROR(__xludf.DUMMYFUNCTION("""COMPUTED_VALUE"""),44409.0)</f>
        <v>44409</v>
      </c>
      <c r="B60" s="1" t="str">
        <f>IFERROR(__xludf.DUMMYFUNCTION("""COMPUTED_VALUE"""),"3.313 €/m2")</f>
        <v>3.313 €/m2</v>
      </c>
      <c r="C60" s="1" t="str">
        <f>IFERROR(__xludf.DUMMYFUNCTION("""COMPUTED_VALUE"""),"+ 3,3 %")</f>
        <v>+ 3,3 %</v>
      </c>
      <c r="D60" s="1" t="str">
        <f>IFERROR(__xludf.DUMMYFUNCTION("""COMPUTED_VALUE"""),"+ 4,7 %")</f>
        <v>+ 4,7 %</v>
      </c>
      <c r="E60" s="1" t="str">
        <f>IFERROR(__xludf.DUMMYFUNCTION("""COMPUTED_VALUE"""),"+ 4,3 %")</f>
        <v>+ 4,3 %</v>
      </c>
    </row>
    <row r="61">
      <c r="A61" s="2">
        <f>IFERROR(__xludf.DUMMYFUNCTION("""COMPUTED_VALUE"""),44378.0)</f>
        <v>44378</v>
      </c>
      <c r="B61" s="1" t="str">
        <f>IFERROR(__xludf.DUMMYFUNCTION("""COMPUTED_VALUE"""),"3.207 €/m2")</f>
        <v>3.207 €/m2</v>
      </c>
      <c r="C61" s="1" t="str">
        <f>IFERROR(__xludf.DUMMYFUNCTION("""COMPUTED_VALUE"""),"+ 1,0 %")</f>
        <v>+ 1,0 %</v>
      </c>
      <c r="D61" s="1" t="str">
        <f>IFERROR(__xludf.DUMMYFUNCTION("""COMPUTED_VALUE"""),"+ 0,4 %")</f>
        <v>+ 0,4 %</v>
      </c>
      <c r="E61" s="1" t="str">
        <f>IFERROR(__xludf.DUMMYFUNCTION("""COMPUTED_VALUE"""),"+ 1,5 %")</f>
        <v>+ 1,5 %</v>
      </c>
    </row>
    <row r="62">
      <c r="A62" s="2">
        <f>IFERROR(__xludf.DUMMYFUNCTION("""COMPUTED_VALUE"""),44348.0)</f>
        <v>44348</v>
      </c>
      <c r="B62" s="1" t="str">
        <f>IFERROR(__xludf.DUMMYFUNCTION("""COMPUTED_VALUE"""),"3.173 €/m2")</f>
        <v>3.173 €/m2</v>
      </c>
      <c r="C62" s="1" t="str">
        <f>IFERROR(__xludf.DUMMYFUNCTION("""COMPUTED_VALUE"""),"+ 0,3 %")</f>
        <v>+ 0,3 %</v>
      </c>
      <c r="D62" s="1" t="str">
        <f>IFERROR(__xludf.DUMMYFUNCTION("""COMPUTED_VALUE"""),"- 2,0 %")</f>
        <v>- 2,0 %</v>
      </c>
      <c r="E62" s="1" t="str">
        <f>IFERROR(__xludf.DUMMYFUNCTION("""COMPUTED_VALUE"""),"+ 0,1 %")</f>
        <v>+ 0,1 %</v>
      </c>
    </row>
    <row r="63">
      <c r="A63" s="2">
        <f>IFERROR(__xludf.DUMMYFUNCTION("""COMPUTED_VALUE"""),44317.0)</f>
        <v>44317</v>
      </c>
      <c r="B63" s="1" t="str">
        <f>IFERROR(__xludf.DUMMYFUNCTION("""COMPUTED_VALUE"""),"3.163 €/m2")</f>
        <v>3.163 €/m2</v>
      </c>
      <c r="C63" s="1" t="str">
        <f>IFERROR(__xludf.DUMMYFUNCTION("""COMPUTED_VALUE"""),"- 1,0 %")</f>
        <v>- 1,0 %</v>
      </c>
      <c r="D63" s="1" t="str">
        <f>IFERROR(__xludf.DUMMYFUNCTION("""COMPUTED_VALUE"""),"- 2,0 %")</f>
        <v>- 2,0 %</v>
      </c>
      <c r="E63" s="1" t="str">
        <f>IFERROR(__xludf.DUMMYFUNCTION("""COMPUTED_VALUE"""),"+ 0,5 %")</f>
        <v>+ 0,5 %</v>
      </c>
    </row>
    <row r="64">
      <c r="A64" s="2">
        <f>IFERROR(__xludf.DUMMYFUNCTION("""COMPUTED_VALUE"""),44287.0)</f>
        <v>44287</v>
      </c>
      <c r="B64" s="1" t="str">
        <f>IFERROR(__xludf.DUMMYFUNCTION("""COMPUTED_VALUE"""),"3.194 €/m2")</f>
        <v>3.194 €/m2</v>
      </c>
      <c r="C64" s="1" t="str">
        <f>IFERROR(__xludf.DUMMYFUNCTION("""COMPUTED_VALUE"""),"- 1,4 %")</f>
        <v>- 1,4 %</v>
      </c>
      <c r="D64" s="1" t="str">
        <f>IFERROR(__xludf.DUMMYFUNCTION("""COMPUTED_VALUE"""),"+ 0,7 %")</f>
        <v>+ 0,7 %</v>
      </c>
      <c r="E64" s="1" t="str">
        <f>IFERROR(__xludf.DUMMYFUNCTION("""COMPUTED_VALUE"""),"+ 0,3 %")</f>
        <v>+ 0,3 %</v>
      </c>
    </row>
    <row r="65">
      <c r="A65" s="2">
        <f>IFERROR(__xludf.DUMMYFUNCTION("""COMPUTED_VALUE"""),44256.0)</f>
        <v>44256</v>
      </c>
      <c r="B65" s="1" t="str">
        <f>IFERROR(__xludf.DUMMYFUNCTION("""COMPUTED_VALUE"""),"3.239 €/m2")</f>
        <v>3.239 €/m2</v>
      </c>
      <c r="C65" s="1" t="str">
        <f>IFERROR(__xludf.DUMMYFUNCTION("""COMPUTED_VALUE"""),"+ 0,3 %")</f>
        <v>+ 0,3 %</v>
      </c>
      <c r="D65" s="1" t="str">
        <f>IFERROR(__xludf.DUMMYFUNCTION("""COMPUTED_VALUE"""),"+ 2,5 %")</f>
        <v>+ 2,5 %</v>
      </c>
      <c r="E65" s="1" t="str">
        <f>IFERROR(__xludf.DUMMYFUNCTION("""COMPUTED_VALUE"""),"+ 1,9 %")</f>
        <v>+ 1,9 %</v>
      </c>
    </row>
    <row r="66">
      <c r="A66" s="2">
        <f>IFERROR(__xludf.DUMMYFUNCTION("""COMPUTED_VALUE"""),44228.0)</f>
        <v>44228</v>
      </c>
      <c r="B66" s="1" t="str">
        <f>IFERROR(__xludf.DUMMYFUNCTION("""COMPUTED_VALUE"""),"3.229 €/m2")</f>
        <v>3.229 €/m2</v>
      </c>
      <c r="C66" s="1" t="str">
        <f>IFERROR(__xludf.DUMMYFUNCTION("""COMPUTED_VALUE"""),"+ 1,8 %")</f>
        <v>+ 1,8 %</v>
      </c>
      <c r="D66" s="1" t="str">
        <f>IFERROR(__xludf.DUMMYFUNCTION("""COMPUTED_VALUE"""),"+ 1,6 %")</f>
        <v>+ 1,6 %</v>
      </c>
      <c r="E66" s="1" t="str">
        <f>IFERROR(__xludf.DUMMYFUNCTION("""COMPUTED_VALUE"""),"+ 1,1 %")</f>
        <v>+ 1,1 %</v>
      </c>
    </row>
    <row r="67">
      <c r="A67" s="2">
        <f>IFERROR(__xludf.DUMMYFUNCTION("""COMPUTED_VALUE"""),44197.0)</f>
        <v>44197</v>
      </c>
      <c r="B67" s="1" t="str">
        <f>IFERROR(__xludf.DUMMYFUNCTION("""COMPUTED_VALUE"""),"3.173 €/m2")</f>
        <v>3.173 €/m2</v>
      </c>
      <c r="C67" s="1" t="str">
        <f>IFERROR(__xludf.DUMMYFUNCTION("""COMPUTED_VALUE"""),"+ 0,4 %")</f>
        <v>+ 0,4 %</v>
      </c>
      <c r="D67" s="1" t="str">
        <f>IFERROR(__xludf.DUMMYFUNCTION("""COMPUTED_VALUE"""),"+ 0,9 %")</f>
        <v>+ 0,9 %</v>
      </c>
      <c r="E67" s="1" t="str">
        <f>IFERROR(__xludf.DUMMYFUNCTION("""COMPUTED_VALUE"""),"- 0,3 %")</f>
        <v>- 0,3 %</v>
      </c>
    </row>
    <row r="68">
      <c r="A68" s="2">
        <f>IFERROR(__xludf.DUMMYFUNCTION("""COMPUTED_VALUE"""),44166.0)</f>
        <v>44166</v>
      </c>
      <c r="B68" s="1" t="str">
        <f>IFERROR(__xludf.DUMMYFUNCTION("""COMPUTED_VALUE"""),"3.159 €/m2")</f>
        <v>3.159 €/m2</v>
      </c>
      <c r="C68" s="1" t="str">
        <f>IFERROR(__xludf.DUMMYFUNCTION("""COMPUTED_VALUE"""),"- 0,5 %")</f>
        <v>- 0,5 %</v>
      </c>
      <c r="D68" s="1" t="str">
        <f>IFERROR(__xludf.DUMMYFUNCTION("""COMPUTED_VALUE"""),"+ 0,1 %")</f>
        <v>+ 0,1 %</v>
      </c>
      <c r="E68" s="1" t="str">
        <f>IFERROR(__xludf.DUMMYFUNCTION("""COMPUTED_VALUE"""),"- 2,7 %")</f>
        <v>- 2,7 %</v>
      </c>
    </row>
    <row r="69">
      <c r="A69" s="2">
        <f>IFERROR(__xludf.DUMMYFUNCTION("""COMPUTED_VALUE"""),44136.0)</f>
        <v>44136</v>
      </c>
      <c r="B69" s="1" t="str">
        <f>IFERROR(__xludf.DUMMYFUNCTION("""COMPUTED_VALUE"""),"3.177 €/m2")</f>
        <v>3.177 €/m2</v>
      </c>
      <c r="C69" s="1" t="str">
        <f>IFERROR(__xludf.DUMMYFUNCTION("""COMPUTED_VALUE"""),"+ 1,0 %")</f>
        <v>+ 1,0 %</v>
      </c>
      <c r="D69" s="1" t="str">
        <f>IFERROR(__xludf.DUMMYFUNCTION("""COMPUTED_VALUE"""),"0,0 %")</f>
        <v>0,0 %</v>
      </c>
      <c r="E69" s="1" t="str">
        <f>IFERROR(__xludf.DUMMYFUNCTION("""COMPUTED_VALUE"""),"- 0,5 %")</f>
        <v>- 0,5 %</v>
      </c>
    </row>
    <row r="70">
      <c r="A70" s="2">
        <f>IFERROR(__xludf.DUMMYFUNCTION("""COMPUTED_VALUE"""),44105.0)</f>
        <v>44105</v>
      </c>
      <c r="B70" s="1" t="str">
        <f>IFERROR(__xludf.DUMMYFUNCTION("""COMPUTED_VALUE"""),"3.146 €/m2")</f>
        <v>3.146 €/m2</v>
      </c>
      <c r="C70" s="1" t="str">
        <f>IFERROR(__xludf.DUMMYFUNCTION("""COMPUTED_VALUE"""),"- 0,4 %")</f>
        <v>- 0,4 %</v>
      </c>
      <c r="D70" s="1" t="str">
        <f>IFERROR(__xludf.DUMMYFUNCTION("""COMPUTED_VALUE"""),"- 0,4 %")</f>
        <v>- 0,4 %</v>
      </c>
      <c r="E70" s="1" t="str">
        <f>IFERROR(__xludf.DUMMYFUNCTION("""COMPUTED_VALUE"""),"+ 0,7 %")</f>
        <v>+ 0,7 %</v>
      </c>
    </row>
    <row r="71">
      <c r="A71" s="2">
        <f>IFERROR(__xludf.DUMMYFUNCTION("""COMPUTED_VALUE"""),44075.0)</f>
        <v>44075</v>
      </c>
      <c r="B71" s="1" t="str">
        <f>IFERROR(__xludf.DUMMYFUNCTION("""COMPUTED_VALUE"""),"3.158 €/m2")</f>
        <v>3.158 €/m2</v>
      </c>
      <c r="C71" s="1" t="str">
        <f>IFERROR(__xludf.DUMMYFUNCTION("""COMPUTED_VALUE"""),"- 0,6 %")</f>
        <v>- 0,6 %</v>
      </c>
      <c r="D71" s="1" t="str">
        <f>IFERROR(__xludf.DUMMYFUNCTION("""COMPUTED_VALUE"""),"- 0,4 %")</f>
        <v>- 0,4 %</v>
      </c>
      <c r="E71" s="1" t="str">
        <f>IFERROR(__xludf.DUMMYFUNCTION("""COMPUTED_VALUE"""),"+ 2,4 %")</f>
        <v>+ 2,4 %</v>
      </c>
    </row>
    <row r="72">
      <c r="A72" s="2">
        <f>IFERROR(__xludf.DUMMYFUNCTION("""COMPUTED_VALUE"""),44044.0)</f>
        <v>44044</v>
      </c>
      <c r="B72" s="1" t="str">
        <f>IFERROR(__xludf.DUMMYFUNCTION("""COMPUTED_VALUE"""),"3.176 €/m2")</f>
        <v>3.176 €/m2</v>
      </c>
      <c r="C72" s="1" t="str">
        <f>IFERROR(__xludf.DUMMYFUNCTION("""COMPUTED_VALUE"""),"+ 0,6 %")</f>
        <v>+ 0,6 %</v>
      </c>
      <c r="D72" s="1" t="str">
        <f>IFERROR(__xludf.DUMMYFUNCTION("""COMPUTED_VALUE"""),"+ 1,0 %")</f>
        <v>+ 1,0 %</v>
      </c>
      <c r="E72" s="1" t="str">
        <f>IFERROR(__xludf.DUMMYFUNCTION("""COMPUTED_VALUE"""),"+ 2,0 %")</f>
        <v>+ 2,0 %</v>
      </c>
    </row>
    <row r="73">
      <c r="A73" s="2">
        <f>IFERROR(__xludf.DUMMYFUNCTION("""COMPUTED_VALUE"""),44013.0)</f>
        <v>44013</v>
      </c>
      <c r="B73" s="1" t="str">
        <f>IFERROR(__xludf.DUMMYFUNCTION("""COMPUTED_VALUE"""),"3.158 €/m2")</f>
        <v>3.158 €/m2</v>
      </c>
      <c r="C73" s="1" t="str">
        <f>IFERROR(__xludf.DUMMYFUNCTION("""COMPUTED_VALUE"""),"- 0,4 %")</f>
        <v>- 0,4 %</v>
      </c>
      <c r="D73" s="1" t="str">
        <f>IFERROR(__xludf.DUMMYFUNCTION("""COMPUTED_VALUE"""),"- 0,9 %")</f>
        <v>- 0,9 %</v>
      </c>
      <c r="E73" s="1" t="str">
        <f>IFERROR(__xludf.DUMMYFUNCTION("""COMPUTED_VALUE"""),"+ 1,3 %")</f>
        <v>+ 1,3 %</v>
      </c>
    </row>
    <row r="74">
      <c r="A74" s="2">
        <f>IFERROR(__xludf.DUMMYFUNCTION("""COMPUTED_VALUE"""),43983.0)</f>
        <v>43983</v>
      </c>
      <c r="B74" s="1" t="str">
        <f>IFERROR(__xludf.DUMMYFUNCTION("""COMPUTED_VALUE"""),"3.169 €/m2")</f>
        <v>3.169 €/m2</v>
      </c>
      <c r="C74" s="1" t="str">
        <f>IFERROR(__xludf.DUMMYFUNCTION("""COMPUTED_VALUE"""),"+ 0,7 %")</f>
        <v>+ 0,7 %</v>
      </c>
      <c r="D74" s="1" t="str">
        <f>IFERROR(__xludf.DUMMYFUNCTION("""COMPUTED_VALUE"""),"- 0,2 %")</f>
        <v>- 0,2 %</v>
      </c>
      <c r="E74" s="1" t="str">
        <f>IFERROR(__xludf.DUMMYFUNCTION("""COMPUTED_VALUE"""),"+ 1,6 %")</f>
        <v>+ 1,6 %</v>
      </c>
    </row>
    <row r="75">
      <c r="A75" s="2">
        <f>IFERROR(__xludf.DUMMYFUNCTION("""COMPUTED_VALUE"""),43952.0)</f>
        <v>43952</v>
      </c>
      <c r="B75" s="1" t="str">
        <f>IFERROR(__xludf.DUMMYFUNCTION("""COMPUTED_VALUE"""),"3.146 €/m2")</f>
        <v>3.146 €/m2</v>
      </c>
      <c r="C75" s="1" t="str">
        <f>IFERROR(__xludf.DUMMYFUNCTION("""COMPUTED_VALUE"""),"- 1,3 %")</f>
        <v>- 1,3 %</v>
      </c>
      <c r="D75" s="1" t="str">
        <f>IFERROR(__xludf.DUMMYFUNCTION("""COMPUTED_VALUE"""),"- 1,5 %")</f>
        <v>- 1,5 %</v>
      </c>
      <c r="E75" s="1" t="str">
        <f>IFERROR(__xludf.DUMMYFUNCTION("""COMPUTED_VALUE"""),"- 0,7 %")</f>
        <v>- 0,7 %</v>
      </c>
    </row>
    <row r="76">
      <c r="A76" s="2">
        <f>IFERROR(__xludf.DUMMYFUNCTION("""COMPUTED_VALUE"""),43922.0)</f>
        <v>43922</v>
      </c>
      <c r="B76" s="1" t="str">
        <f>IFERROR(__xludf.DUMMYFUNCTION("""COMPUTED_VALUE"""),"3.186 €/m2")</f>
        <v>3.186 €/m2</v>
      </c>
      <c r="C76" s="1" t="str">
        <f>IFERROR(__xludf.DUMMYFUNCTION("""COMPUTED_VALUE"""),"+ 0,3 %")</f>
        <v>+ 0,3 %</v>
      </c>
      <c r="D76" s="1" t="str">
        <f>IFERROR(__xludf.DUMMYFUNCTION("""COMPUTED_VALUE"""),"+ 0,1 %")</f>
        <v>+ 0,1 %</v>
      </c>
      <c r="E76" s="1" t="str">
        <f>IFERROR(__xludf.DUMMYFUNCTION("""COMPUTED_VALUE"""),"+ 0,4 %")</f>
        <v>+ 0,4 %</v>
      </c>
    </row>
    <row r="77">
      <c r="A77" s="2">
        <f>IFERROR(__xludf.DUMMYFUNCTION("""COMPUTED_VALUE"""),43891.0)</f>
        <v>43891</v>
      </c>
      <c r="B77" s="1" t="str">
        <f>IFERROR(__xludf.DUMMYFUNCTION("""COMPUTED_VALUE"""),"3.177 €/m2")</f>
        <v>3.177 €/m2</v>
      </c>
      <c r="C77" s="1" t="str">
        <f>IFERROR(__xludf.DUMMYFUNCTION("""COMPUTED_VALUE"""),"- 0,5 %")</f>
        <v>- 0,5 %</v>
      </c>
      <c r="D77" s="1" t="str">
        <f>IFERROR(__xludf.DUMMYFUNCTION("""COMPUTED_VALUE"""),"- 2,2 %")</f>
        <v>- 2,2 %</v>
      </c>
      <c r="E77" s="1" t="str">
        <f>IFERROR(__xludf.DUMMYFUNCTION("""COMPUTED_VALUE"""),"+ 0,5 %")</f>
        <v>+ 0,5 %</v>
      </c>
    </row>
    <row r="78">
      <c r="A78" s="2">
        <f>IFERROR(__xludf.DUMMYFUNCTION("""COMPUTED_VALUE"""),43862.0)</f>
        <v>43862</v>
      </c>
      <c r="B78" s="1" t="str">
        <f>IFERROR(__xludf.DUMMYFUNCTION("""COMPUTED_VALUE"""),"3.193 €/m2")</f>
        <v>3.193 €/m2</v>
      </c>
      <c r="C78" s="1" t="str">
        <f>IFERROR(__xludf.DUMMYFUNCTION("""COMPUTED_VALUE"""),"+ 0,3 %")</f>
        <v>+ 0,3 %</v>
      </c>
      <c r="D78" s="1" t="str">
        <f>IFERROR(__xludf.DUMMYFUNCTION("""COMPUTED_VALUE"""),"0,0 %")</f>
        <v>0,0 %</v>
      </c>
      <c r="E78" s="1" t="str">
        <f>IFERROR(__xludf.DUMMYFUNCTION("""COMPUTED_VALUE"""),"+ 1,8 %")</f>
        <v>+ 1,8 %</v>
      </c>
    </row>
    <row r="79">
      <c r="A79" s="2">
        <f>IFERROR(__xludf.DUMMYFUNCTION("""COMPUTED_VALUE"""),43831.0)</f>
        <v>43831</v>
      </c>
      <c r="B79" s="1" t="str">
        <f>IFERROR(__xludf.DUMMYFUNCTION("""COMPUTED_VALUE"""),"3.183 €/m2")</f>
        <v>3.183 €/m2</v>
      </c>
      <c r="C79" s="1" t="str">
        <f>IFERROR(__xludf.DUMMYFUNCTION("""COMPUTED_VALUE"""),"- 2,0 %")</f>
        <v>- 2,0 %</v>
      </c>
      <c r="D79" s="1" t="str">
        <f>IFERROR(__xludf.DUMMYFUNCTION("""COMPUTED_VALUE"""),"+ 1,9 %")</f>
        <v>+ 1,9 %</v>
      </c>
      <c r="E79" s="1" t="str">
        <f>IFERROR(__xludf.DUMMYFUNCTION("""COMPUTED_VALUE"""),"+ 2,1 %")</f>
        <v>+ 2,1 %</v>
      </c>
    </row>
    <row r="80">
      <c r="A80" s="2">
        <f>IFERROR(__xludf.DUMMYFUNCTION("""COMPUTED_VALUE"""),43800.0)</f>
        <v>43800</v>
      </c>
      <c r="B80" s="1" t="str">
        <f>IFERROR(__xludf.DUMMYFUNCTION("""COMPUTED_VALUE"""),"3.248 €/m2")</f>
        <v>3.248 €/m2</v>
      </c>
      <c r="C80" s="1" t="str">
        <f>IFERROR(__xludf.DUMMYFUNCTION("""COMPUTED_VALUE"""),"+ 1,7 %")</f>
        <v>+ 1,7 %</v>
      </c>
      <c r="D80" s="1" t="str">
        <f>IFERROR(__xludf.DUMMYFUNCTION("""COMPUTED_VALUE"""),"+ 5,3 %")</f>
        <v>+ 5,3 %</v>
      </c>
      <c r="E80" s="1" t="str">
        <f>IFERROR(__xludf.DUMMYFUNCTION("""COMPUTED_VALUE"""),"+ 3,1 %")</f>
        <v>+ 3,1 %</v>
      </c>
    </row>
    <row r="81">
      <c r="A81" s="2">
        <f>IFERROR(__xludf.DUMMYFUNCTION("""COMPUTED_VALUE"""),43770.0)</f>
        <v>43770</v>
      </c>
      <c r="B81" s="1" t="str">
        <f>IFERROR(__xludf.DUMMYFUNCTION("""COMPUTED_VALUE"""),"3.194 €/m2")</f>
        <v>3.194 €/m2</v>
      </c>
      <c r="C81" s="1" t="str">
        <f>IFERROR(__xludf.DUMMYFUNCTION("""COMPUTED_VALUE"""),"+ 2,3 %")</f>
        <v>+ 2,3 %</v>
      </c>
      <c r="D81" s="1" t="str">
        <f>IFERROR(__xludf.DUMMYFUNCTION("""COMPUTED_VALUE"""),"+ 2,5 %")</f>
        <v>+ 2,5 %</v>
      </c>
      <c r="E81" s="1" t="str">
        <f>IFERROR(__xludf.DUMMYFUNCTION("""COMPUTED_VALUE"""),"+ 1,8 %")</f>
        <v>+ 1,8 %</v>
      </c>
    </row>
    <row r="82">
      <c r="A82" s="2">
        <f>IFERROR(__xludf.DUMMYFUNCTION("""COMPUTED_VALUE"""),43739.0)</f>
        <v>43739</v>
      </c>
      <c r="B82" s="1" t="str">
        <f>IFERROR(__xludf.DUMMYFUNCTION("""COMPUTED_VALUE"""),"3.123 €/m2")</f>
        <v>3.123 €/m2</v>
      </c>
      <c r="C82" s="1" t="str">
        <f>IFERROR(__xludf.DUMMYFUNCTION("""COMPUTED_VALUE"""),"+ 1,2 %")</f>
        <v>+ 1,2 %</v>
      </c>
      <c r="D82" s="1" t="str">
        <f>IFERROR(__xludf.DUMMYFUNCTION("""COMPUTED_VALUE"""),"+ 0,1 %")</f>
        <v>+ 0,1 %</v>
      </c>
      <c r="E82" s="1" t="str">
        <f>IFERROR(__xludf.DUMMYFUNCTION("""COMPUTED_VALUE"""),"+ 1,2 %")</f>
        <v>+ 1,2 %</v>
      </c>
    </row>
    <row r="83">
      <c r="A83" s="2">
        <f>IFERROR(__xludf.DUMMYFUNCTION("""COMPUTED_VALUE"""),43709.0)</f>
        <v>43709</v>
      </c>
      <c r="B83" s="1" t="str">
        <f>IFERROR(__xludf.DUMMYFUNCTION("""COMPUTED_VALUE"""),"3.085 €/m2")</f>
        <v>3.085 €/m2</v>
      </c>
      <c r="C83" s="1" t="str">
        <f>IFERROR(__xludf.DUMMYFUNCTION("""COMPUTED_VALUE"""),"- 1,0 %")</f>
        <v>- 1,0 %</v>
      </c>
      <c r="D83" s="1" t="str">
        <f>IFERROR(__xludf.DUMMYFUNCTION("""COMPUTED_VALUE"""),"- 1,2 %")</f>
        <v>- 1,2 %</v>
      </c>
      <c r="E83" s="1" t="str">
        <f>IFERROR(__xludf.DUMMYFUNCTION("""COMPUTED_VALUE"""),"- 0,2 %")</f>
        <v>- 0,2 %</v>
      </c>
    </row>
    <row r="84">
      <c r="A84" s="2">
        <f>IFERROR(__xludf.DUMMYFUNCTION("""COMPUTED_VALUE"""),43678.0)</f>
        <v>43678</v>
      </c>
      <c r="B84" s="1" t="str">
        <f>IFERROR(__xludf.DUMMYFUNCTION("""COMPUTED_VALUE"""),"3.114 €/m2")</f>
        <v>3.114 €/m2</v>
      </c>
      <c r="C84" s="1" t="str">
        <f>IFERROR(__xludf.DUMMYFUNCTION("""COMPUTED_VALUE"""),"- 0,1 %")</f>
        <v>- 0,1 %</v>
      </c>
      <c r="D84" s="1" t="str">
        <f>IFERROR(__xludf.DUMMYFUNCTION("""COMPUTED_VALUE"""),"- 1,7 %")</f>
        <v>- 1,7 %</v>
      </c>
      <c r="E84" s="1" t="str">
        <f>IFERROR(__xludf.DUMMYFUNCTION("""COMPUTED_VALUE"""),"+ 4,5 %")</f>
        <v>+ 4,5 %</v>
      </c>
    </row>
    <row r="85">
      <c r="A85" s="2">
        <f>IFERROR(__xludf.DUMMYFUNCTION("""COMPUTED_VALUE"""),43647.0)</f>
        <v>43647</v>
      </c>
      <c r="B85" s="1" t="str">
        <f>IFERROR(__xludf.DUMMYFUNCTION("""COMPUTED_VALUE"""),"3.119 €/m2")</f>
        <v>3.119 €/m2</v>
      </c>
      <c r="C85" s="1" t="str">
        <f>IFERROR(__xludf.DUMMYFUNCTION("""COMPUTED_VALUE"""),"- 0,1 %")</f>
        <v>- 0,1 %</v>
      </c>
      <c r="D85" s="1" t="str">
        <f>IFERROR(__xludf.DUMMYFUNCTION("""COMPUTED_VALUE"""),"- 1,7 %")</f>
        <v>- 1,7 %</v>
      </c>
      <c r="E85" s="1" t="str">
        <f>IFERROR(__xludf.DUMMYFUNCTION("""COMPUTED_VALUE"""),"+ 6,3 %")</f>
        <v>+ 6,3 %</v>
      </c>
    </row>
    <row r="86">
      <c r="A86" s="2">
        <f>IFERROR(__xludf.DUMMYFUNCTION("""COMPUTED_VALUE"""),43617.0)</f>
        <v>43617</v>
      </c>
      <c r="B86" s="1" t="str">
        <f>IFERROR(__xludf.DUMMYFUNCTION("""COMPUTED_VALUE"""),"3.121 €/m2")</f>
        <v>3.121 €/m2</v>
      </c>
      <c r="C86" s="1" t="str">
        <f>IFERROR(__xludf.DUMMYFUNCTION("""COMPUTED_VALUE"""),"- 1,5 %")</f>
        <v>- 1,5 %</v>
      </c>
      <c r="D86" s="1" t="str">
        <f>IFERROR(__xludf.DUMMYFUNCTION("""COMPUTED_VALUE"""),"- 1,3 %")</f>
        <v>- 1,3 %</v>
      </c>
      <c r="E86" s="1" t="str">
        <f>IFERROR(__xludf.DUMMYFUNCTION("""COMPUTED_VALUE"""),"+ 7,5 %")</f>
        <v>+ 7,5 %</v>
      </c>
    </row>
    <row r="87">
      <c r="A87" s="2">
        <f>IFERROR(__xludf.DUMMYFUNCTION("""COMPUTED_VALUE"""),43586.0)</f>
        <v>43586</v>
      </c>
      <c r="B87" s="1" t="str">
        <f>IFERROR(__xludf.DUMMYFUNCTION("""COMPUTED_VALUE"""),"3.169 €/m2")</f>
        <v>3.169 €/m2</v>
      </c>
      <c r="C87" s="1" t="str">
        <f>IFERROR(__xludf.DUMMYFUNCTION("""COMPUTED_VALUE"""),"- 0,1 %")</f>
        <v>- 0,1 %</v>
      </c>
      <c r="D87" s="1" t="str">
        <f>IFERROR(__xludf.DUMMYFUNCTION("""COMPUTED_VALUE"""),"+ 1,0 %")</f>
        <v>+ 1,0 %</v>
      </c>
      <c r="E87" s="1" t="str">
        <f>IFERROR(__xludf.DUMMYFUNCTION("""COMPUTED_VALUE"""),"+ 9,7 %")</f>
        <v>+ 9,7 %</v>
      </c>
    </row>
    <row r="88">
      <c r="A88" s="2">
        <f>IFERROR(__xludf.DUMMYFUNCTION("""COMPUTED_VALUE"""),43556.0)</f>
        <v>43556</v>
      </c>
      <c r="B88" s="1" t="str">
        <f>IFERROR(__xludf.DUMMYFUNCTION("""COMPUTED_VALUE"""),"3.173 €/m2")</f>
        <v>3.173 €/m2</v>
      </c>
      <c r="C88" s="1" t="str">
        <f>IFERROR(__xludf.DUMMYFUNCTION("""COMPUTED_VALUE"""),"+ 0,3 %")</f>
        <v>+ 0,3 %</v>
      </c>
      <c r="D88" s="1" t="str">
        <f>IFERROR(__xludf.DUMMYFUNCTION("""COMPUTED_VALUE"""),"+ 1,8 %")</f>
        <v>+ 1,8 %</v>
      </c>
      <c r="E88" s="1" t="str">
        <f>IFERROR(__xludf.DUMMYFUNCTION("""COMPUTED_VALUE"""),"+ 11,7 %")</f>
        <v>+ 11,7 %</v>
      </c>
    </row>
    <row r="89">
      <c r="A89" s="2">
        <f>IFERROR(__xludf.DUMMYFUNCTION("""COMPUTED_VALUE"""),43525.0)</f>
        <v>43525</v>
      </c>
      <c r="B89" s="1" t="str">
        <f>IFERROR(__xludf.DUMMYFUNCTION("""COMPUTED_VALUE"""),"3.163 €/m2")</f>
        <v>3.163 €/m2</v>
      </c>
      <c r="C89" s="1" t="str">
        <f>IFERROR(__xludf.DUMMYFUNCTION("""COMPUTED_VALUE"""),"+ 0,8 %")</f>
        <v>+ 0,8 %</v>
      </c>
      <c r="D89" s="1" t="str">
        <f>IFERROR(__xludf.DUMMYFUNCTION("""COMPUTED_VALUE"""),"+ 0,4 %")</f>
        <v>+ 0,4 %</v>
      </c>
      <c r="E89" s="1" t="str">
        <f>IFERROR(__xludf.DUMMYFUNCTION("""COMPUTED_VALUE"""),"+ 11,8 %")</f>
        <v>+ 11,8 %</v>
      </c>
    </row>
    <row r="90">
      <c r="A90" s="2">
        <f>IFERROR(__xludf.DUMMYFUNCTION("""COMPUTED_VALUE"""),43497.0)</f>
        <v>43497</v>
      </c>
      <c r="B90" s="1" t="str">
        <f>IFERROR(__xludf.DUMMYFUNCTION("""COMPUTED_VALUE"""),"3.138 €/m2")</f>
        <v>3.138 €/m2</v>
      </c>
      <c r="C90" s="1" t="str">
        <f>IFERROR(__xludf.DUMMYFUNCTION("""COMPUTED_VALUE"""),"+ 0,6 %")</f>
        <v>+ 0,6 %</v>
      </c>
      <c r="D90" s="1" t="str">
        <f>IFERROR(__xludf.DUMMYFUNCTION("""COMPUTED_VALUE"""),"0,0 %")</f>
        <v>0,0 %</v>
      </c>
      <c r="E90" s="1" t="str">
        <f>IFERROR(__xludf.DUMMYFUNCTION("""COMPUTED_VALUE"""),"+ 10,2 %")</f>
        <v>+ 10,2 %</v>
      </c>
    </row>
    <row r="91">
      <c r="A91" s="2">
        <f>IFERROR(__xludf.DUMMYFUNCTION("""COMPUTED_VALUE"""),43466.0)</f>
        <v>43466</v>
      </c>
      <c r="B91" s="1" t="str">
        <f>IFERROR(__xludf.DUMMYFUNCTION("""COMPUTED_VALUE"""),"3.118 €/m2")</f>
        <v>3.118 €/m2</v>
      </c>
      <c r="C91" s="1" t="str">
        <f>IFERROR(__xludf.DUMMYFUNCTION("""COMPUTED_VALUE"""),"- 1,0 %")</f>
        <v>- 1,0 %</v>
      </c>
      <c r="D91" s="1" t="str">
        <f>IFERROR(__xludf.DUMMYFUNCTION("""COMPUTED_VALUE"""),"+ 1,0 %")</f>
        <v>+ 1,0 %</v>
      </c>
      <c r="E91" s="1" t="str">
        <f>IFERROR(__xludf.DUMMYFUNCTION("""COMPUTED_VALUE"""),"+ 11,8 %")</f>
        <v>+ 11,8 %</v>
      </c>
    </row>
    <row r="92">
      <c r="A92" s="2">
        <f>IFERROR(__xludf.DUMMYFUNCTION("""COMPUTED_VALUE"""),43435.0)</f>
        <v>43435</v>
      </c>
      <c r="B92" s="1" t="str">
        <f>IFERROR(__xludf.DUMMYFUNCTION("""COMPUTED_VALUE"""),"3.151 €/m2")</f>
        <v>3.151 €/m2</v>
      </c>
      <c r="C92" s="1" t="str">
        <f>IFERROR(__xludf.DUMMYFUNCTION("""COMPUTED_VALUE"""),"+ 0,5 %")</f>
        <v>+ 0,5 %</v>
      </c>
      <c r="D92" s="1" t="str">
        <f>IFERROR(__xludf.DUMMYFUNCTION("""COMPUTED_VALUE"""),"+ 1,9 %")</f>
        <v>+ 1,9 %</v>
      </c>
      <c r="E92" s="1" t="str">
        <f>IFERROR(__xludf.DUMMYFUNCTION("""COMPUTED_VALUE"""),"+ 13,2 %")</f>
        <v>+ 13,2 %</v>
      </c>
    </row>
    <row r="93">
      <c r="A93" s="2">
        <f>IFERROR(__xludf.DUMMYFUNCTION("""COMPUTED_VALUE"""),43405.0)</f>
        <v>43405</v>
      </c>
      <c r="B93" s="1" t="str">
        <f>IFERROR(__xludf.DUMMYFUNCTION("""COMPUTED_VALUE"""),"3.136 €/m2")</f>
        <v>3.136 €/m2</v>
      </c>
      <c r="C93" s="1" t="str">
        <f>IFERROR(__xludf.DUMMYFUNCTION("""COMPUTED_VALUE"""),"+ 1,6 %")</f>
        <v>+ 1,6 %</v>
      </c>
      <c r="D93" s="1" t="str">
        <f>IFERROR(__xludf.DUMMYFUNCTION("""COMPUTED_VALUE"""),"+ 5,2 %")</f>
        <v>+ 5,2 %</v>
      </c>
      <c r="E93" s="1" t="str">
        <f>IFERROR(__xludf.DUMMYFUNCTION("""COMPUTED_VALUE"""),"+ 11,8 %")</f>
        <v>+ 11,8 %</v>
      </c>
    </row>
    <row r="94">
      <c r="A94" s="2">
        <f>IFERROR(__xludf.DUMMYFUNCTION("""COMPUTED_VALUE"""),43374.0)</f>
        <v>43374</v>
      </c>
      <c r="B94" s="1" t="str">
        <f>IFERROR(__xludf.DUMMYFUNCTION("""COMPUTED_VALUE"""),"3.086 €/m2")</f>
        <v>3.086 €/m2</v>
      </c>
      <c r="C94" s="1" t="str">
        <f>IFERROR(__xludf.DUMMYFUNCTION("""COMPUTED_VALUE"""),"- 0,2 %")</f>
        <v>- 0,2 %</v>
      </c>
      <c r="D94" s="1" t="str">
        <f>IFERROR(__xludf.DUMMYFUNCTION("""COMPUTED_VALUE"""),"+ 5,2 %")</f>
        <v>+ 5,2 %</v>
      </c>
      <c r="E94" s="1" t="str">
        <f>IFERROR(__xludf.DUMMYFUNCTION("""COMPUTED_VALUE"""),"+ 9,3 %")</f>
        <v>+ 9,3 %</v>
      </c>
    </row>
    <row r="95">
      <c r="A95" s="2">
        <f>IFERROR(__xludf.DUMMYFUNCTION("""COMPUTED_VALUE"""),43344.0)</f>
        <v>43344</v>
      </c>
      <c r="B95" s="1" t="str">
        <f>IFERROR(__xludf.DUMMYFUNCTION("""COMPUTED_VALUE"""),"3.092 €/m2")</f>
        <v>3.092 €/m2</v>
      </c>
      <c r="C95" s="1" t="str">
        <f>IFERROR(__xludf.DUMMYFUNCTION("""COMPUTED_VALUE"""),"+ 3,7 %")</f>
        <v>+ 3,7 %</v>
      </c>
      <c r="D95" s="1" t="str">
        <f>IFERROR(__xludf.DUMMYFUNCTION("""COMPUTED_VALUE"""),"+ 6,5 %")</f>
        <v>+ 6,5 %</v>
      </c>
      <c r="E95" s="1" t="str">
        <f>IFERROR(__xludf.DUMMYFUNCTION("""COMPUTED_VALUE"""),"+ 15,8 %")</f>
        <v>+ 15,8 %</v>
      </c>
    </row>
    <row r="96">
      <c r="A96" s="2">
        <f>IFERROR(__xludf.DUMMYFUNCTION("""COMPUTED_VALUE"""),43313.0)</f>
        <v>43313</v>
      </c>
      <c r="B96" s="1" t="str">
        <f>IFERROR(__xludf.DUMMYFUNCTION("""COMPUTED_VALUE"""),"2.982 €/m2")</f>
        <v>2.982 €/m2</v>
      </c>
      <c r="C96" s="1" t="str">
        <f>IFERROR(__xludf.DUMMYFUNCTION("""COMPUTED_VALUE"""),"+ 1,6 %")</f>
        <v>+ 1,6 %</v>
      </c>
      <c r="D96" s="1" t="str">
        <f>IFERROR(__xludf.DUMMYFUNCTION("""COMPUTED_VALUE"""),"+ 3,3 %")</f>
        <v>+ 3,3 %</v>
      </c>
      <c r="E96" s="1" t="str">
        <f>IFERROR(__xludf.DUMMYFUNCTION("""COMPUTED_VALUE"""),"+ 13,7 %")</f>
        <v>+ 13,7 %</v>
      </c>
    </row>
    <row r="97">
      <c r="A97" s="2">
        <f>IFERROR(__xludf.DUMMYFUNCTION("""COMPUTED_VALUE"""),43282.0)</f>
        <v>43282</v>
      </c>
      <c r="B97" s="1" t="str">
        <f>IFERROR(__xludf.DUMMYFUNCTION("""COMPUTED_VALUE"""),"2.935 €/m2")</f>
        <v>2.935 €/m2</v>
      </c>
      <c r="C97" s="1" t="str">
        <f>IFERROR(__xludf.DUMMYFUNCTION("""COMPUTED_VALUE"""),"+ 1,1 %")</f>
        <v>+ 1,1 %</v>
      </c>
      <c r="D97" s="1" t="str">
        <f>IFERROR(__xludf.DUMMYFUNCTION("""COMPUTED_VALUE"""),"+ 3,3 %")</f>
        <v>+ 3,3 %</v>
      </c>
      <c r="E97" s="1" t="str">
        <f>IFERROR(__xludf.DUMMYFUNCTION("""COMPUTED_VALUE"""),"+ 11,4 %")</f>
        <v>+ 11,4 %</v>
      </c>
    </row>
    <row r="98">
      <c r="A98" s="2">
        <f>IFERROR(__xludf.DUMMYFUNCTION("""COMPUTED_VALUE"""),43252.0)</f>
        <v>43252</v>
      </c>
      <c r="B98" s="1" t="str">
        <f>IFERROR(__xludf.DUMMYFUNCTION("""COMPUTED_VALUE"""),"2.903 €/m2")</f>
        <v>2.903 €/m2</v>
      </c>
      <c r="C98" s="1" t="str">
        <f>IFERROR(__xludf.DUMMYFUNCTION("""COMPUTED_VALUE"""),"+ 0,5 %")</f>
        <v>+ 0,5 %</v>
      </c>
      <c r="D98" s="1" t="str">
        <f>IFERROR(__xludf.DUMMYFUNCTION("""COMPUTED_VALUE"""),"+ 2,6 %")</f>
        <v>+ 2,6 %</v>
      </c>
      <c r="E98" s="1" t="str">
        <f>IFERROR(__xludf.DUMMYFUNCTION("""COMPUTED_VALUE"""),"+ 9,9 %")</f>
        <v>+ 9,9 %</v>
      </c>
    </row>
    <row r="99">
      <c r="A99" s="2">
        <f>IFERROR(__xludf.DUMMYFUNCTION("""COMPUTED_VALUE"""),43221.0)</f>
        <v>43221</v>
      </c>
      <c r="B99" s="1" t="str">
        <f>IFERROR(__xludf.DUMMYFUNCTION("""COMPUTED_VALUE"""),"2.887 €/m2")</f>
        <v>2.887 €/m2</v>
      </c>
      <c r="C99" s="1" t="str">
        <f>IFERROR(__xludf.DUMMYFUNCTION("""COMPUTED_VALUE"""),"+ 1,7 %")</f>
        <v>+ 1,7 %</v>
      </c>
      <c r="D99" s="1" t="str">
        <f>IFERROR(__xludf.DUMMYFUNCTION("""COMPUTED_VALUE"""),"+ 1,4 %")</f>
        <v>+ 1,4 %</v>
      </c>
      <c r="E99" s="1" t="str">
        <f>IFERROR(__xludf.DUMMYFUNCTION("""COMPUTED_VALUE"""),"+ 9,2 %")</f>
        <v>+ 9,2 %</v>
      </c>
    </row>
    <row r="100">
      <c r="A100" s="2">
        <f>IFERROR(__xludf.DUMMYFUNCTION("""COMPUTED_VALUE"""),43191.0)</f>
        <v>43191</v>
      </c>
      <c r="B100" s="1" t="str">
        <f>IFERROR(__xludf.DUMMYFUNCTION("""COMPUTED_VALUE"""),"2.840 €/m2")</f>
        <v>2.840 €/m2</v>
      </c>
      <c r="C100" s="1" t="str">
        <f>IFERROR(__xludf.DUMMYFUNCTION("""COMPUTED_VALUE"""),"+ 0,4 %")</f>
        <v>+ 0,4 %</v>
      </c>
      <c r="D100" s="1" t="str">
        <f>IFERROR(__xludf.DUMMYFUNCTION("""COMPUTED_VALUE"""),"+ 1,8 %")</f>
        <v>+ 1,8 %</v>
      </c>
      <c r="E100" s="1" t="str">
        <f>IFERROR(__xludf.DUMMYFUNCTION("""COMPUTED_VALUE"""),"+ 7,3 %")</f>
        <v>+ 7,3 %</v>
      </c>
    </row>
    <row r="101">
      <c r="A101" s="2">
        <f>IFERROR(__xludf.DUMMYFUNCTION("""COMPUTED_VALUE"""),43160.0)</f>
        <v>43160</v>
      </c>
      <c r="B101" s="1" t="str">
        <f>IFERROR(__xludf.DUMMYFUNCTION("""COMPUTED_VALUE"""),"2.828 €/m2")</f>
        <v>2.828 €/m2</v>
      </c>
      <c r="C101" s="1" t="str">
        <f>IFERROR(__xludf.DUMMYFUNCTION("""COMPUTED_VALUE"""),"- 0,7 %")</f>
        <v>- 0,7 %</v>
      </c>
      <c r="D101" s="1" t="str">
        <f>IFERROR(__xludf.DUMMYFUNCTION("""COMPUTED_VALUE"""),"+ 1,6 %")</f>
        <v>+ 1,6 %</v>
      </c>
      <c r="E101" s="1" t="str">
        <f>IFERROR(__xludf.DUMMYFUNCTION("""COMPUTED_VALUE"""),"+ 6,6 %")</f>
        <v>+ 6,6 %</v>
      </c>
    </row>
    <row r="102">
      <c r="A102" s="2">
        <f>IFERROR(__xludf.DUMMYFUNCTION("""COMPUTED_VALUE"""),43132.0)</f>
        <v>43132</v>
      </c>
      <c r="B102" s="1" t="str">
        <f>IFERROR(__xludf.DUMMYFUNCTION("""COMPUTED_VALUE"""),"2.849 €/m2")</f>
        <v>2.849 €/m2</v>
      </c>
      <c r="C102" s="1" t="str">
        <f>IFERROR(__xludf.DUMMYFUNCTION("""COMPUTED_VALUE"""),"+ 2,1 %")</f>
        <v>+ 2,1 %</v>
      </c>
      <c r="D102" s="1" t="str">
        <f>IFERROR(__xludf.DUMMYFUNCTION("""COMPUTED_VALUE"""),"+ 1,5 %")</f>
        <v>+ 1,5 %</v>
      </c>
      <c r="E102" s="1" t="str">
        <f>IFERROR(__xludf.DUMMYFUNCTION("""COMPUTED_VALUE"""),"+ 6,7 %")</f>
        <v>+ 6,7 %</v>
      </c>
    </row>
    <row r="103">
      <c r="A103" s="2">
        <f>IFERROR(__xludf.DUMMYFUNCTION("""COMPUTED_VALUE"""),43101.0)</f>
        <v>43101</v>
      </c>
      <c r="B103" s="1" t="str">
        <f>IFERROR(__xludf.DUMMYFUNCTION("""COMPUTED_VALUE"""),"2.790 €/m2")</f>
        <v>2.790 €/m2</v>
      </c>
      <c r="C103" s="1" t="str">
        <f>IFERROR(__xludf.DUMMYFUNCTION("""COMPUTED_VALUE"""),"+ 0,3 %")</f>
        <v>+ 0,3 %</v>
      </c>
      <c r="D103" s="1" t="str">
        <f>IFERROR(__xludf.DUMMYFUNCTION("""COMPUTED_VALUE"""),"- 1,2 %")</f>
        <v>- 1,2 %</v>
      </c>
      <c r="E103" s="1" t="str">
        <f>IFERROR(__xludf.DUMMYFUNCTION("""COMPUTED_VALUE"""),"+ 4,6 %")</f>
        <v>+ 4,6 %</v>
      </c>
    </row>
    <row r="104">
      <c r="A104" s="2">
        <f>IFERROR(__xludf.DUMMYFUNCTION("""COMPUTED_VALUE"""),43070.0)</f>
        <v>43070</v>
      </c>
      <c r="B104" s="1" t="str">
        <f>IFERROR(__xludf.DUMMYFUNCTION("""COMPUTED_VALUE"""),"2.783 €/m2")</f>
        <v>2.783 €/m2</v>
      </c>
      <c r="C104" s="1" t="str">
        <f>IFERROR(__xludf.DUMMYFUNCTION("""COMPUTED_VALUE"""),"- 0,8 %")</f>
        <v>- 0,8 %</v>
      </c>
      <c r="D104" s="1" t="str">
        <f>IFERROR(__xludf.DUMMYFUNCTION("""COMPUTED_VALUE"""),"+ 4,2 %")</f>
        <v>+ 4,2 %</v>
      </c>
      <c r="E104" s="1" t="str">
        <f>IFERROR(__xludf.DUMMYFUNCTION("""COMPUTED_VALUE"""),"+ 6,1 %")</f>
        <v>+ 6,1 %</v>
      </c>
    </row>
    <row r="105">
      <c r="A105" s="2">
        <f>IFERROR(__xludf.DUMMYFUNCTION("""COMPUTED_VALUE"""),43040.0)</f>
        <v>43040</v>
      </c>
      <c r="B105" s="1" t="str">
        <f>IFERROR(__xludf.DUMMYFUNCTION("""COMPUTED_VALUE"""),"2.805 €/m2")</f>
        <v>2.805 €/m2</v>
      </c>
      <c r="C105" s="1" t="str">
        <f>IFERROR(__xludf.DUMMYFUNCTION("""COMPUTED_VALUE"""),"- 0,7 %")</f>
        <v>- 0,7 %</v>
      </c>
      <c r="D105" s="1" t="str">
        <f>IFERROR(__xludf.DUMMYFUNCTION("""COMPUTED_VALUE"""),"+ 7,0 %")</f>
        <v>+ 7,0 %</v>
      </c>
      <c r="E105" s="1" t="str">
        <f>IFERROR(__xludf.DUMMYFUNCTION("""COMPUTED_VALUE"""),"+ 8,1 %")</f>
        <v>+ 8,1 %</v>
      </c>
    </row>
    <row r="106">
      <c r="A106" s="2">
        <f>IFERROR(__xludf.DUMMYFUNCTION("""COMPUTED_VALUE"""),43009.0)</f>
        <v>43009</v>
      </c>
      <c r="B106" s="1" t="str">
        <f>IFERROR(__xludf.DUMMYFUNCTION("""COMPUTED_VALUE"""),"2.825 €/m2")</f>
        <v>2.825 €/m2</v>
      </c>
      <c r="C106" s="1" t="str">
        <f>IFERROR(__xludf.DUMMYFUNCTION("""COMPUTED_VALUE"""),"+ 5,8 %")</f>
        <v>+ 5,8 %</v>
      </c>
      <c r="D106" s="1" t="str">
        <f>IFERROR(__xludf.DUMMYFUNCTION("""COMPUTED_VALUE"""),"+ 7,2 %")</f>
        <v>+ 7,2 %</v>
      </c>
      <c r="E106" s="1" t="str">
        <f>IFERROR(__xludf.DUMMYFUNCTION("""COMPUTED_VALUE"""),"+ 8,8 %")</f>
        <v>+ 8,8 %</v>
      </c>
    </row>
    <row r="107">
      <c r="A107" s="2">
        <f>IFERROR(__xludf.DUMMYFUNCTION("""COMPUTED_VALUE"""),42979.0)</f>
        <v>42979</v>
      </c>
      <c r="B107" s="1" t="str">
        <f>IFERROR(__xludf.DUMMYFUNCTION("""COMPUTED_VALUE"""),"2.670 €/m2")</f>
        <v>2.670 €/m2</v>
      </c>
      <c r="C107" s="1" t="str">
        <f>IFERROR(__xludf.DUMMYFUNCTION("""COMPUTED_VALUE"""),"+ 1,8 %")</f>
        <v>+ 1,8 %</v>
      </c>
      <c r="D107" s="1" t="str">
        <f>IFERROR(__xludf.DUMMYFUNCTION("""COMPUTED_VALUE"""),"+ 1,1 %")</f>
        <v>+ 1,1 %</v>
      </c>
      <c r="E107" s="1" t="str">
        <f>IFERROR(__xludf.DUMMYFUNCTION("""COMPUTED_VALUE"""),"+ 2,9 %")</f>
        <v>+ 2,9 %</v>
      </c>
    </row>
    <row r="108">
      <c r="A108" s="2">
        <f>IFERROR(__xludf.DUMMYFUNCTION("""COMPUTED_VALUE"""),42948.0)</f>
        <v>42948</v>
      </c>
      <c r="B108" s="1" t="str">
        <f>IFERROR(__xludf.DUMMYFUNCTION("""COMPUTED_VALUE"""),"2.622 €/m2")</f>
        <v>2.622 €/m2</v>
      </c>
      <c r="C108" s="1" t="str">
        <f>IFERROR(__xludf.DUMMYFUNCTION("""COMPUTED_VALUE"""),"- 0,5 %")</f>
        <v>- 0,5 %</v>
      </c>
      <c r="D108" s="1" t="str">
        <f>IFERROR(__xludf.DUMMYFUNCTION("""COMPUTED_VALUE"""),"- 0,8 %")</f>
        <v>- 0,8 %</v>
      </c>
      <c r="E108" s="1" t="str">
        <f>IFERROR(__xludf.DUMMYFUNCTION("""COMPUTED_VALUE"""),"+ 1,8 %")</f>
        <v>+ 1,8 %</v>
      </c>
    </row>
    <row r="109">
      <c r="A109" s="2">
        <f>IFERROR(__xludf.DUMMYFUNCTION("""COMPUTED_VALUE"""),42917.0)</f>
        <v>42917</v>
      </c>
      <c r="B109" s="1" t="str">
        <f>IFERROR(__xludf.DUMMYFUNCTION("""COMPUTED_VALUE"""),"2.635 €/m2")</f>
        <v>2.635 €/m2</v>
      </c>
      <c r="C109" s="1" t="str">
        <f>IFERROR(__xludf.DUMMYFUNCTION("""COMPUTED_VALUE"""),"- 0,2 %")</f>
        <v>- 0,2 %</v>
      </c>
      <c r="D109" s="1" t="str">
        <f>IFERROR(__xludf.DUMMYFUNCTION("""COMPUTED_VALUE"""),"- 0,4 %")</f>
        <v>- 0,4 %</v>
      </c>
      <c r="E109" s="1" t="str">
        <f>IFERROR(__xludf.DUMMYFUNCTION("""COMPUTED_VALUE"""),"+ 1,9 %")</f>
        <v>+ 1,9 %</v>
      </c>
    </row>
    <row r="110">
      <c r="A110" s="2">
        <f>IFERROR(__xludf.DUMMYFUNCTION("""COMPUTED_VALUE"""),42887.0)</f>
        <v>42887</v>
      </c>
      <c r="B110" s="1" t="str">
        <f>IFERROR(__xludf.DUMMYFUNCTION("""COMPUTED_VALUE"""),"2.642 €/m2")</f>
        <v>2.642 €/m2</v>
      </c>
      <c r="C110" s="1" t="str">
        <f>IFERROR(__xludf.DUMMYFUNCTION("""COMPUTED_VALUE"""),"- 0,1 %")</f>
        <v>- 0,1 %</v>
      </c>
      <c r="D110" s="1" t="str">
        <f>IFERROR(__xludf.DUMMYFUNCTION("""COMPUTED_VALUE"""),"- 0,4 %")</f>
        <v>- 0,4 %</v>
      </c>
      <c r="E110" s="1" t="str">
        <f>IFERROR(__xludf.DUMMYFUNCTION("""COMPUTED_VALUE"""),"+ 2,0 %")</f>
        <v>+ 2,0 %</v>
      </c>
    </row>
    <row r="111">
      <c r="A111" s="2">
        <f>IFERROR(__xludf.DUMMYFUNCTION("""COMPUTED_VALUE"""),42856.0)</f>
        <v>42856</v>
      </c>
      <c r="B111" s="1" t="str">
        <f>IFERROR(__xludf.DUMMYFUNCTION("""COMPUTED_VALUE"""),"2.644 €/m2")</f>
        <v>2.644 €/m2</v>
      </c>
      <c r="C111" s="1" t="str">
        <f>IFERROR(__xludf.DUMMYFUNCTION("""COMPUTED_VALUE"""),"- 0,1 %")</f>
        <v>- 0,1 %</v>
      </c>
      <c r="D111" s="1" t="str">
        <f>IFERROR(__xludf.DUMMYFUNCTION("""COMPUTED_VALUE"""),"- 1,0 %")</f>
        <v>- 1,0 %</v>
      </c>
      <c r="E111" s="1" t="str">
        <f>IFERROR(__xludf.DUMMYFUNCTION("""COMPUTED_VALUE"""),"+ 2,0 %")</f>
        <v>+ 2,0 %</v>
      </c>
    </row>
    <row r="112">
      <c r="A112" s="2">
        <f>IFERROR(__xludf.DUMMYFUNCTION("""COMPUTED_VALUE"""),42826.0)</f>
        <v>42826</v>
      </c>
      <c r="B112" s="1" t="str">
        <f>IFERROR(__xludf.DUMMYFUNCTION("""COMPUTED_VALUE"""),"2.647 €/m2")</f>
        <v>2.647 €/m2</v>
      </c>
      <c r="C112" s="1" t="str">
        <f>IFERROR(__xludf.DUMMYFUNCTION("""COMPUTED_VALUE"""),"- 0,2 %")</f>
        <v>- 0,2 %</v>
      </c>
      <c r="D112" s="1" t="str">
        <f>IFERROR(__xludf.DUMMYFUNCTION("""COMPUTED_VALUE"""),"- 0,7 %")</f>
        <v>- 0,7 %</v>
      </c>
      <c r="E112" s="1" t="str">
        <f>IFERROR(__xludf.DUMMYFUNCTION("""COMPUTED_VALUE"""),"+ 3,5 %")</f>
        <v>+ 3,5 %</v>
      </c>
    </row>
    <row r="113">
      <c r="A113" s="2">
        <f>IFERROR(__xludf.DUMMYFUNCTION("""COMPUTED_VALUE"""),42795.0)</f>
        <v>42795</v>
      </c>
      <c r="B113" s="1" t="str">
        <f>IFERROR(__xludf.DUMMYFUNCTION("""COMPUTED_VALUE"""),"2.653 €/m2")</f>
        <v>2.653 €/m2</v>
      </c>
      <c r="C113" s="1" t="str">
        <f>IFERROR(__xludf.DUMMYFUNCTION("""COMPUTED_VALUE"""),"- 0,7 %")</f>
        <v>- 0,7 %</v>
      </c>
      <c r="D113" s="1" t="str">
        <f>IFERROR(__xludf.DUMMYFUNCTION("""COMPUTED_VALUE"""),"+ 1,1 %")</f>
        <v>+ 1,1 %</v>
      </c>
      <c r="E113" s="1" t="str">
        <f>IFERROR(__xludf.DUMMYFUNCTION("""COMPUTED_VALUE"""),"+ 4,0 %")</f>
        <v>+ 4,0 %</v>
      </c>
    </row>
    <row r="114">
      <c r="A114" s="2">
        <f>IFERROR(__xludf.DUMMYFUNCTION("""COMPUTED_VALUE"""),42767.0)</f>
        <v>42767</v>
      </c>
      <c r="B114" s="1" t="str">
        <f>IFERROR(__xludf.DUMMYFUNCTION("""COMPUTED_VALUE"""),"2.671 €/m2")</f>
        <v>2.671 €/m2</v>
      </c>
      <c r="C114" s="1" t="str">
        <f>IFERROR(__xludf.DUMMYFUNCTION("""COMPUTED_VALUE"""),"+ 0,1 %")</f>
        <v>+ 0,1 %</v>
      </c>
      <c r="D114" s="1" t="str">
        <f>IFERROR(__xludf.DUMMYFUNCTION("""COMPUTED_VALUE"""),"+ 2,9 %")</f>
        <v>+ 2,9 %</v>
      </c>
      <c r="E114" s="1" t="str">
        <f>IFERROR(__xludf.DUMMYFUNCTION("""COMPUTED_VALUE"""),"+ 4,5 %")</f>
        <v>+ 4,5 %</v>
      </c>
    </row>
    <row r="115">
      <c r="A115" s="2">
        <f>IFERROR(__xludf.DUMMYFUNCTION("""COMPUTED_VALUE"""),42736.0)</f>
        <v>42736</v>
      </c>
      <c r="B115" s="1" t="str">
        <f>IFERROR(__xludf.DUMMYFUNCTION("""COMPUTED_VALUE"""),"2.667 €/m2")</f>
        <v>2.667 €/m2</v>
      </c>
      <c r="C115" s="1" t="str">
        <f>IFERROR(__xludf.DUMMYFUNCTION("""COMPUTED_VALUE"""),"+ 1,6 %")</f>
        <v>+ 1,6 %</v>
      </c>
      <c r="D115" s="1" t="str">
        <f>IFERROR(__xludf.DUMMYFUNCTION("""COMPUTED_VALUE"""),"+ 2,7 %")</f>
        <v>+ 2,7 %</v>
      </c>
      <c r="E115" s="1" t="str">
        <f>IFERROR(__xludf.DUMMYFUNCTION("""COMPUTED_VALUE"""),"+ 3,8 %")</f>
        <v>+ 3,8 %</v>
      </c>
    </row>
    <row r="116">
      <c r="A116" s="2">
        <f>IFERROR(__xludf.DUMMYFUNCTION("""COMPUTED_VALUE"""),42705.0)</f>
        <v>42705</v>
      </c>
      <c r="B116" s="1" t="str">
        <f>IFERROR(__xludf.DUMMYFUNCTION("""COMPUTED_VALUE"""),"2.623 €/m2")</f>
        <v>2.623 €/m2</v>
      </c>
      <c r="C116" s="1" t="str">
        <f>IFERROR(__xludf.DUMMYFUNCTION("""COMPUTED_VALUE"""),"+ 1,1 %")</f>
        <v>+ 1,1 %</v>
      </c>
      <c r="D116" s="1" t="str">
        <f>IFERROR(__xludf.DUMMYFUNCTION("""COMPUTED_VALUE"""),"+ 1,1 %")</f>
        <v>+ 1,1 %</v>
      </c>
      <c r="E116" s="1" t="str">
        <f>IFERROR(__xludf.DUMMYFUNCTION("""COMPUTED_VALUE"""),"+ 2,6 %")</f>
        <v>+ 2,6 %</v>
      </c>
    </row>
    <row r="117">
      <c r="A117" s="2">
        <f>IFERROR(__xludf.DUMMYFUNCTION("""COMPUTED_VALUE"""),42675.0)</f>
        <v>42675</v>
      </c>
      <c r="B117" s="1" t="str">
        <f>IFERROR(__xludf.DUMMYFUNCTION("""COMPUTED_VALUE"""),"2.595 €/m2")</f>
        <v>2.595 €/m2</v>
      </c>
      <c r="C117" s="1" t="str">
        <f>IFERROR(__xludf.DUMMYFUNCTION("""COMPUTED_VALUE"""),"0,0 %")</f>
        <v>0,0 %</v>
      </c>
      <c r="D117" s="1" t="str">
        <f>IFERROR(__xludf.DUMMYFUNCTION("""COMPUTED_VALUE"""),"+ 0,7 %")</f>
        <v>+ 0,7 %</v>
      </c>
      <c r="E117" s="1" t="str">
        <f>IFERROR(__xludf.DUMMYFUNCTION("""COMPUTED_VALUE"""),"+ 0,9 %")</f>
        <v>+ 0,9 %</v>
      </c>
    </row>
    <row r="118">
      <c r="A118" s="2">
        <f>IFERROR(__xludf.DUMMYFUNCTION("""COMPUTED_VALUE"""),42644.0)</f>
        <v>42644</v>
      </c>
      <c r="B118" s="1" t="str">
        <f>IFERROR(__xludf.DUMMYFUNCTION("""COMPUTED_VALUE"""),"2.596 €/m2")</f>
        <v>2.596 €/m2</v>
      </c>
      <c r="C118" s="1" t="str">
        <f>IFERROR(__xludf.DUMMYFUNCTION("""COMPUTED_VALUE"""),"0,0 %")</f>
        <v>0,0 %</v>
      </c>
      <c r="D118" s="1" t="str">
        <f>IFERROR(__xludf.DUMMYFUNCTION("""COMPUTED_VALUE"""),"+ 0,4 %")</f>
        <v>+ 0,4 %</v>
      </c>
      <c r="E118" s="1" t="str">
        <f>IFERROR(__xludf.DUMMYFUNCTION("""COMPUTED_VALUE"""),"+ 2,0 %")</f>
        <v>+ 2,0 %</v>
      </c>
    </row>
    <row r="119">
      <c r="A119" s="2">
        <f>IFERROR(__xludf.DUMMYFUNCTION("""COMPUTED_VALUE"""),42614.0)</f>
        <v>42614</v>
      </c>
      <c r="B119" s="1" t="str">
        <f>IFERROR(__xludf.DUMMYFUNCTION("""COMPUTED_VALUE"""),"2.596 €/m2")</f>
        <v>2.596 €/m2</v>
      </c>
      <c r="C119" s="1" t="str">
        <f>IFERROR(__xludf.DUMMYFUNCTION("""COMPUTED_VALUE"""),"+ 0,8 %")</f>
        <v>+ 0,8 %</v>
      </c>
      <c r="D119" s="1" t="str">
        <f>IFERROR(__xludf.DUMMYFUNCTION("""COMPUTED_VALUE"""),"+ 0,2 %")</f>
        <v>+ 0,2 %</v>
      </c>
      <c r="E119" s="1" t="str">
        <f>IFERROR(__xludf.DUMMYFUNCTION("""COMPUTED_VALUE"""),"+ 1,2 %")</f>
        <v>+ 1,2 %</v>
      </c>
    </row>
    <row r="120">
      <c r="A120" s="2">
        <f>IFERROR(__xludf.DUMMYFUNCTION("""COMPUTED_VALUE"""),42583.0)</f>
        <v>42583</v>
      </c>
      <c r="B120" s="1" t="str">
        <f>IFERROR(__xludf.DUMMYFUNCTION("""COMPUTED_VALUE"""),"2.576 €/m2")</f>
        <v>2.576 €/m2</v>
      </c>
      <c r="C120" s="1" t="str">
        <f>IFERROR(__xludf.DUMMYFUNCTION("""COMPUTED_VALUE"""),"- 0,4 %")</f>
        <v>- 0,4 %</v>
      </c>
      <c r="D120" s="1" t="str">
        <f>IFERROR(__xludf.DUMMYFUNCTION("""COMPUTED_VALUE"""),"- 0,6 %")</f>
        <v>- 0,6 %</v>
      </c>
      <c r="E120" s="1" t="str">
        <f>IFERROR(__xludf.DUMMYFUNCTION("""COMPUTED_VALUE"""),"- 0,3 %")</f>
        <v>- 0,3 %</v>
      </c>
    </row>
    <row r="121">
      <c r="A121" s="2">
        <f>IFERROR(__xludf.DUMMYFUNCTION("""COMPUTED_VALUE"""),42552.0)</f>
        <v>42552</v>
      </c>
      <c r="B121" s="1" t="str">
        <f>IFERROR(__xludf.DUMMYFUNCTION("""COMPUTED_VALUE"""),"2.586 €/m2")</f>
        <v>2.586 €/m2</v>
      </c>
      <c r="C121" s="1" t="str">
        <f>IFERROR(__xludf.DUMMYFUNCTION("""COMPUTED_VALUE"""),"- 0,2 %")</f>
        <v>- 0,2 %</v>
      </c>
      <c r="D121" s="1" t="str">
        <f>IFERROR(__xludf.DUMMYFUNCTION("""COMPUTED_VALUE"""),"+ 1,1 %")</f>
        <v>+ 1,1 %</v>
      </c>
      <c r="E121" s="1" t="str">
        <f>IFERROR(__xludf.DUMMYFUNCTION("""COMPUTED_VALUE"""),"- 0,3 %")</f>
        <v>- 0,3 %</v>
      </c>
    </row>
    <row r="122">
      <c r="A122" s="2">
        <f>IFERROR(__xludf.DUMMYFUNCTION("""COMPUTED_VALUE"""),42522.0)</f>
        <v>42522</v>
      </c>
      <c r="B122" s="1" t="str">
        <f>IFERROR(__xludf.DUMMYFUNCTION("""COMPUTED_VALUE"""),"2.591 €/m2")</f>
        <v>2.591 €/m2</v>
      </c>
      <c r="C122" s="1" t="str">
        <f>IFERROR(__xludf.DUMMYFUNCTION("""COMPUTED_VALUE"""),"- 0,1 %")</f>
        <v>- 0,1 %</v>
      </c>
      <c r="D122" s="1" t="str">
        <f>IFERROR(__xludf.DUMMYFUNCTION("""COMPUTED_VALUE"""),"+ 1,6 %")</f>
        <v>+ 1,6 %</v>
      </c>
      <c r="E122" s="1" t="str">
        <f>IFERROR(__xludf.DUMMYFUNCTION("""COMPUTED_VALUE"""),"- 0,5 %")</f>
        <v>- 0,5 %</v>
      </c>
    </row>
    <row r="123">
      <c r="A123" s="2">
        <f>IFERROR(__xludf.DUMMYFUNCTION("""COMPUTED_VALUE"""),42491.0)</f>
        <v>42491</v>
      </c>
      <c r="B123" s="1" t="str">
        <f>IFERROR(__xludf.DUMMYFUNCTION("""COMPUTED_VALUE"""),"2.593 €/m2")</f>
        <v>2.593 €/m2</v>
      </c>
      <c r="C123" s="1" t="str">
        <f>IFERROR(__xludf.DUMMYFUNCTION("""COMPUTED_VALUE"""),"+ 1,4 %")</f>
        <v>+ 1,4 %</v>
      </c>
      <c r="D123" s="1" t="str">
        <f>IFERROR(__xludf.DUMMYFUNCTION("""COMPUTED_VALUE"""),"+ 1,4 %")</f>
        <v>+ 1,4 %</v>
      </c>
      <c r="E123" s="1" t="str">
        <f>IFERROR(__xludf.DUMMYFUNCTION("""COMPUTED_VALUE"""),"+ 0,4 %")</f>
        <v>+ 0,4 %</v>
      </c>
    </row>
    <row r="124">
      <c r="A124" s="2">
        <f>IFERROR(__xludf.DUMMYFUNCTION("""COMPUTED_VALUE"""),42461.0)</f>
        <v>42461</v>
      </c>
      <c r="B124" s="1" t="str">
        <f>IFERROR(__xludf.DUMMYFUNCTION("""COMPUTED_VALUE"""),"2.557 €/m2")</f>
        <v>2.557 €/m2</v>
      </c>
      <c r="C124" s="1" t="str">
        <f>IFERROR(__xludf.DUMMYFUNCTION("""COMPUTED_VALUE"""),"+ 0,3 %")</f>
        <v>+ 0,3 %</v>
      </c>
      <c r="D124" s="1" t="str">
        <f>IFERROR(__xludf.DUMMYFUNCTION("""COMPUTED_VALUE"""),"- 0,5 %")</f>
        <v>- 0,5 %</v>
      </c>
      <c r="E124" s="1" t="str">
        <f>IFERROR(__xludf.DUMMYFUNCTION("""COMPUTED_VALUE"""),"- 1,1 %")</f>
        <v>- 1,1 %</v>
      </c>
    </row>
    <row r="125">
      <c r="A125" s="2">
        <f>IFERROR(__xludf.DUMMYFUNCTION("""COMPUTED_VALUE"""),42430.0)</f>
        <v>42430</v>
      </c>
      <c r="B125" s="1" t="str">
        <f>IFERROR(__xludf.DUMMYFUNCTION("""COMPUTED_VALUE"""),"2.550 €/m2")</f>
        <v>2.550 €/m2</v>
      </c>
      <c r="C125" s="1" t="str">
        <f>IFERROR(__xludf.DUMMYFUNCTION("""COMPUTED_VALUE"""),"- 0,2 %")</f>
        <v>- 0,2 %</v>
      </c>
      <c r="D125" s="1" t="str">
        <f>IFERROR(__xludf.DUMMYFUNCTION("""COMPUTED_VALUE"""),"- 0,3 %")</f>
        <v>- 0,3 %</v>
      </c>
      <c r="E125" s="1" t="str">
        <f>IFERROR(__xludf.DUMMYFUNCTION("""COMPUTED_VALUE"""),"- 0,8 %")</f>
        <v>- 0,8 %</v>
      </c>
    </row>
    <row r="126">
      <c r="A126" s="2">
        <f>IFERROR(__xludf.DUMMYFUNCTION("""COMPUTED_VALUE"""),42401.0)</f>
        <v>42401</v>
      </c>
      <c r="B126" s="1" t="str">
        <f>IFERROR(__xludf.DUMMYFUNCTION("""COMPUTED_VALUE"""),"2.556 €/m2")</f>
        <v>2.556 €/m2</v>
      </c>
      <c r="C126" s="1" t="str">
        <f>IFERROR(__xludf.DUMMYFUNCTION("""COMPUTED_VALUE"""),"- 0,5 %")</f>
        <v>- 0,5 %</v>
      </c>
      <c r="D126" s="1" t="str">
        <f>IFERROR(__xludf.DUMMYFUNCTION("""COMPUTED_VALUE"""),"- 0,6 %")</f>
        <v>- 0,6 %</v>
      </c>
      <c r="E126" s="1" t="str">
        <f>IFERROR(__xludf.DUMMYFUNCTION("""COMPUTED_VALUE"""),"- 2,7 %")</f>
        <v>- 2,7 %</v>
      </c>
    </row>
    <row r="127">
      <c r="A127" s="2">
        <f>IFERROR(__xludf.DUMMYFUNCTION("""COMPUTED_VALUE"""),42370.0)</f>
        <v>42370</v>
      </c>
      <c r="B127" s="1" t="str">
        <f>IFERROR(__xludf.DUMMYFUNCTION("""COMPUTED_VALUE"""),"2.570 €/m2")</f>
        <v>2.570 €/m2</v>
      </c>
      <c r="C127" s="1" t="str">
        <f>IFERROR(__xludf.DUMMYFUNCTION("""COMPUTED_VALUE"""),"+ 0,5 %")</f>
        <v>+ 0,5 %</v>
      </c>
      <c r="D127" s="1" t="str">
        <f>IFERROR(__xludf.DUMMYFUNCTION("""COMPUTED_VALUE"""),"+ 0,9 %")</f>
        <v>+ 0,9 %</v>
      </c>
      <c r="E127" s="1" t="str">
        <f>IFERROR(__xludf.DUMMYFUNCTION("""COMPUTED_VALUE"""),"- 2,5 %")</f>
        <v>- 2,5 %</v>
      </c>
    </row>
    <row r="128">
      <c r="A128" s="2">
        <f>IFERROR(__xludf.DUMMYFUNCTION("""COMPUTED_VALUE"""),42339.0)</f>
        <v>42339</v>
      </c>
      <c r="B128" s="1" t="str">
        <f>IFERROR(__xludf.DUMMYFUNCTION("""COMPUTED_VALUE"""),"2.558 €/m2")</f>
        <v>2.558 €/m2</v>
      </c>
      <c r="C128" s="1" t="str">
        <f>IFERROR(__xludf.DUMMYFUNCTION("""COMPUTED_VALUE"""),"- 0,6 %")</f>
        <v>- 0,6 %</v>
      </c>
      <c r="D128" s="1" t="str">
        <f>IFERROR(__xludf.DUMMYFUNCTION("""COMPUTED_VALUE"""),"- 0,3 %")</f>
        <v>- 0,3 %</v>
      </c>
      <c r="E128" s="1" t="str">
        <f>IFERROR(__xludf.DUMMYFUNCTION("""COMPUTED_VALUE"""),"- 0,1 %")</f>
        <v>- 0,1 %</v>
      </c>
    </row>
    <row r="129">
      <c r="A129" s="2">
        <f>IFERROR(__xludf.DUMMYFUNCTION("""COMPUTED_VALUE"""),42309.0)</f>
        <v>42309</v>
      </c>
      <c r="B129" s="1" t="str">
        <f>IFERROR(__xludf.DUMMYFUNCTION("""COMPUTED_VALUE"""),"2.572 €/m2")</f>
        <v>2.572 €/m2</v>
      </c>
      <c r="C129" s="1" t="str">
        <f>IFERROR(__xludf.DUMMYFUNCTION("""COMPUTED_VALUE"""),"+ 1,0 %")</f>
        <v>+ 1,0 %</v>
      </c>
      <c r="D129" s="1" t="str">
        <f>IFERROR(__xludf.DUMMYFUNCTION("""COMPUTED_VALUE"""),"- 0,4 %")</f>
        <v>- 0,4 %</v>
      </c>
      <c r="E129" s="1" t="str">
        <f>IFERROR(__xludf.DUMMYFUNCTION("""COMPUTED_VALUE"""),"- 1,3 %")</f>
        <v>- 1,3 %</v>
      </c>
    </row>
    <row r="130">
      <c r="A130" s="2">
        <f>IFERROR(__xludf.DUMMYFUNCTION("""COMPUTED_VALUE"""),42278.0)</f>
        <v>42278</v>
      </c>
      <c r="B130" s="1" t="str">
        <f>IFERROR(__xludf.DUMMYFUNCTION("""COMPUTED_VALUE"""),"2.546 €/m2")</f>
        <v>2.546 €/m2</v>
      </c>
      <c r="C130" s="1" t="str">
        <f>IFERROR(__xludf.DUMMYFUNCTION("""COMPUTED_VALUE"""),"- 0,8 %")</f>
        <v>- 0,8 %</v>
      </c>
      <c r="D130" s="1" t="str">
        <f>IFERROR(__xludf.DUMMYFUNCTION("""COMPUTED_VALUE"""),"- 1,8 %")</f>
        <v>- 1,8 %</v>
      </c>
      <c r="E130" s="1" t="str">
        <f>IFERROR(__xludf.DUMMYFUNCTION("""COMPUTED_VALUE"""),"- 3,2 %")</f>
        <v>- 3,2 %</v>
      </c>
    </row>
    <row r="131">
      <c r="A131" s="2">
        <f>IFERROR(__xludf.DUMMYFUNCTION("""COMPUTED_VALUE"""),42248.0)</f>
        <v>42248</v>
      </c>
      <c r="B131" s="1" t="str">
        <f>IFERROR(__xludf.DUMMYFUNCTION("""COMPUTED_VALUE"""),"2.565 €/m2")</f>
        <v>2.565 €/m2</v>
      </c>
      <c r="C131" s="1" t="str">
        <f>IFERROR(__xludf.DUMMYFUNCTION("""COMPUTED_VALUE"""),"- 0,7 %")</f>
        <v>- 0,7 %</v>
      </c>
      <c r="D131" s="1" t="str">
        <f>IFERROR(__xludf.DUMMYFUNCTION("""COMPUTED_VALUE"""),"- 1,5 %")</f>
        <v>- 1,5 %</v>
      </c>
      <c r="E131" s="1" t="str">
        <f>IFERROR(__xludf.DUMMYFUNCTION("""COMPUTED_VALUE"""),"- 1,7 %")</f>
        <v>- 1,7 %</v>
      </c>
    </row>
    <row r="132">
      <c r="A132" s="2">
        <f>IFERROR(__xludf.DUMMYFUNCTION("""COMPUTED_VALUE"""),42217.0)</f>
        <v>42217</v>
      </c>
      <c r="B132" s="1" t="str">
        <f>IFERROR(__xludf.DUMMYFUNCTION("""COMPUTED_VALUE"""),"2.583 €/m2")</f>
        <v>2.583 €/m2</v>
      </c>
      <c r="C132" s="1" t="str">
        <f>IFERROR(__xludf.DUMMYFUNCTION("""COMPUTED_VALUE"""),"- 0,4 %")</f>
        <v>- 0,4 %</v>
      </c>
      <c r="D132" s="1" t="str">
        <f>IFERROR(__xludf.DUMMYFUNCTION("""COMPUTED_VALUE"""),"0,0 %")</f>
        <v>0,0 %</v>
      </c>
      <c r="E132" s="1" t="str">
        <f>IFERROR(__xludf.DUMMYFUNCTION("""COMPUTED_VALUE"""),"+ 0,4 %")</f>
        <v>+ 0,4 %</v>
      </c>
    </row>
    <row r="133">
      <c r="A133" s="2">
        <f>IFERROR(__xludf.DUMMYFUNCTION("""COMPUTED_VALUE"""),42186.0)</f>
        <v>42186</v>
      </c>
      <c r="B133" s="1" t="str">
        <f>IFERROR(__xludf.DUMMYFUNCTION("""COMPUTED_VALUE"""),"2.594 €/m2")</f>
        <v>2.594 €/m2</v>
      </c>
      <c r="C133" s="1" t="str">
        <f>IFERROR(__xludf.DUMMYFUNCTION("""COMPUTED_VALUE"""),"- 0,4 %")</f>
        <v>- 0,4 %</v>
      </c>
      <c r="D133" s="1" t="str">
        <f>IFERROR(__xludf.DUMMYFUNCTION("""COMPUTED_VALUE"""),"+ 0,3 %")</f>
        <v>+ 0,3 %</v>
      </c>
      <c r="E133" s="1" t="str">
        <f>IFERROR(__xludf.DUMMYFUNCTION("""COMPUTED_VALUE"""),"+ 0,2 %")</f>
        <v>+ 0,2 %</v>
      </c>
    </row>
    <row r="134">
      <c r="A134" s="2">
        <f>IFERROR(__xludf.DUMMYFUNCTION("""COMPUTED_VALUE"""),42156.0)</f>
        <v>42156</v>
      </c>
      <c r="B134" s="1" t="str">
        <f>IFERROR(__xludf.DUMMYFUNCTION("""COMPUTED_VALUE"""),"2.605 €/m2")</f>
        <v>2.605 €/m2</v>
      </c>
      <c r="C134" s="1" t="str">
        <f>IFERROR(__xludf.DUMMYFUNCTION("""COMPUTED_VALUE"""),"+ 0,9 %")</f>
        <v>+ 0,9 %</v>
      </c>
      <c r="D134" s="1" t="str">
        <f>IFERROR(__xludf.DUMMYFUNCTION("""COMPUTED_VALUE"""),"+ 1,3 %")</f>
        <v>+ 1,3 %</v>
      </c>
      <c r="E134" s="1" t="str">
        <f>IFERROR(__xludf.DUMMYFUNCTION("""COMPUTED_VALUE"""),"+ 1,1 %")</f>
        <v>+ 1,1 %</v>
      </c>
    </row>
    <row r="135">
      <c r="A135" s="2">
        <f>IFERROR(__xludf.DUMMYFUNCTION("""COMPUTED_VALUE"""),42125.0)</f>
        <v>42125</v>
      </c>
      <c r="B135" s="1" t="str">
        <f>IFERROR(__xludf.DUMMYFUNCTION("""COMPUTED_VALUE"""),"2.582 €/m2")</f>
        <v>2.582 €/m2</v>
      </c>
      <c r="C135" s="1" t="str">
        <f>IFERROR(__xludf.DUMMYFUNCTION("""COMPUTED_VALUE"""),"- 0,1 %")</f>
        <v>- 0,1 %</v>
      </c>
      <c r="D135" s="1" t="str">
        <f>IFERROR(__xludf.DUMMYFUNCTION("""COMPUTED_VALUE"""),"- 1,7 %")</f>
        <v>- 1,7 %</v>
      </c>
      <c r="E135" s="1" t="str">
        <f>IFERROR(__xludf.DUMMYFUNCTION("""COMPUTED_VALUE"""),"+ 1,0 %")</f>
        <v>+ 1,0 %</v>
      </c>
    </row>
    <row r="136">
      <c r="A136" s="2">
        <f>IFERROR(__xludf.DUMMYFUNCTION("""COMPUTED_VALUE"""),42095.0)</f>
        <v>42095</v>
      </c>
      <c r="B136" s="1" t="str">
        <f>IFERROR(__xludf.DUMMYFUNCTION("""COMPUTED_VALUE"""),"2.586 €/m2")</f>
        <v>2.586 €/m2</v>
      </c>
      <c r="C136" s="1" t="str">
        <f>IFERROR(__xludf.DUMMYFUNCTION("""COMPUTED_VALUE"""),"+ 0,5 %")</f>
        <v>+ 0,5 %</v>
      </c>
      <c r="D136" s="1" t="str">
        <f>IFERROR(__xludf.DUMMYFUNCTION("""COMPUTED_VALUE"""),"- 1,9 %")</f>
        <v>- 1,9 %</v>
      </c>
      <c r="E136" s="1" t="str">
        <f>IFERROR(__xludf.DUMMYFUNCTION("""COMPUTED_VALUE"""),"+ 0,7 %")</f>
        <v>+ 0,7 %</v>
      </c>
    </row>
    <row r="137">
      <c r="A137" s="2">
        <f>IFERROR(__xludf.DUMMYFUNCTION("""COMPUTED_VALUE"""),42064.0)</f>
        <v>42064</v>
      </c>
      <c r="B137" s="1" t="str">
        <f>IFERROR(__xludf.DUMMYFUNCTION("""COMPUTED_VALUE"""),"2.572 €/m2")</f>
        <v>2.572 €/m2</v>
      </c>
      <c r="C137" s="1" t="str">
        <f>IFERROR(__xludf.DUMMYFUNCTION("""COMPUTED_VALUE"""),"- 2,1 %")</f>
        <v>- 2,1 %</v>
      </c>
      <c r="D137" s="1" t="str">
        <f>IFERROR(__xludf.DUMMYFUNCTION("""COMPUTED_VALUE"""),"+ 0,4 %")</f>
        <v>+ 0,4 %</v>
      </c>
      <c r="E137" s="1" t="str">
        <f>IFERROR(__xludf.DUMMYFUNCTION("""COMPUTED_VALUE"""),"- 2,4 %")</f>
        <v>- 2,4 %</v>
      </c>
    </row>
    <row r="138">
      <c r="A138" s="2">
        <f>IFERROR(__xludf.DUMMYFUNCTION("""COMPUTED_VALUE"""),42036.0)</f>
        <v>42036</v>
      </c>
      <c r="B138" s="1" t="str">
        <f>IFERROR(__xludf.DUMMYFUNCTION("""COMPUTED_VALUE"""),"2.628 €/m2")</f>
        <v>2.628 €/m2</v>
      </c>
      <c r="C138" s="1" t="str">
        <f>IFERROR(__xludf.DUMMYFUNCTION("""COMPUTED_VALUE"""),"- 0,4 %")</f>
        <v>- 0,4 %</v>
      </c>
      <c r="D138" s="1" t="str">
        <f>IFERROR(__xludf.DUMMYFUNCTION("""COMPUTED_VALUE"""),"+ 0,8 %")</f>
        <v>+ 0,8 %</v>
      </c>
      <c r="E138" s="1" t="str">
        <f>IFERROR(__xludf.DUMMYFUNCTION("""COMPUTED_VALUE"""),"- 0,6 %")</f>
        <v>- 0,6 %</v>
      </c>
    </row>
    <row r="139">
      <c r="A139" s="2">
        <f>IFERROR(__xludf.DUMMYFUNCTION("""COMPUTED_VALUE"""),42005.0)</f>
        <v>42005</v>
      </c>
      <c r="B139" s="1" t="str">
        <f>IFERROR(__xludf.DUMMYFUNCTION("""COMPUTED_VALUE"""),"2.637 €/m2")</f>
        <v>2.637 €/m2</v>
      </c>
      <c r="C139" s="1" t="str">
        <f>IFERROR(__xludf.DUMMYFUNCTION("""COMPUTED_VALUE"""),"+ 3,0 %")</f>
        <v>+ 3,0 %</v>
      </c>
      <c r="D139" s="1" t="str">
        <f>IFERROR(__xludf.DUMMYFUNCTION("""COMPUTED_VALUE"""),"+ 0,3 %")</f>
        <v>+ 0,3 %</v>
      </c>
      <c r="E139" s="1" t="str">
        <f>IFERROR(__xludf.DUMMYFUNCTION("""COMPUTED_VALUE"""),"- 0,2 %")</f>
        <v>- 0,2 %</v>
      </c>
    </row>
    <row r="140">
      <c r="A140" s="2">
        <f>IFERROR(__xludf.DUMMYFUNCTION("""COMPUTED_VALUE"""),41974.0)</f>
        <v>41974</v>
      </c>
      <c r="B140" s="1" t="str">
        <f>IFERROR(__xludf.DUMMYFUNCTION("""COMPUTED_VALUE"""),"2.560 €/m2")</f>
        <v>2.560 €/m2</v>
      </c>
      <c r="C140" s="1" t="str">
        <f>IFERROR(__xludf.DUMMYFUNCTION("""COMPUTED_VALUE"""),"- 1,8 %")</f>
        <v>- 1,8 %</v>
      </c>
      <c r="D140" s="1" t="str">
        <f>IFERROR(__xludf.DUMMYFUNCTION("""COMPUTED_VALUE"""),"- 1,9 %")</f>
        <v>- 1,9 %</v>
      </c>
      <c r="E140" s="1" t="str">
        <f>IFERROR(__xludf.DUMMYFUNCTION("""COMPUTED_VALUE"""),"- 2,9 %")</f>
        <v>- 2,9 %</v>
      </c>
    </row>
    <row r="141">
      <c r="A141" s="2">
        <f>IFERROR(__xludf.DUMMYFUNCTION("""COMPUTED_VALUE"""),41944.0)</f>
        <v>41944</v>
      </c>
      <c r="B141" s="1" t="str">
        <f>IFERROR(__xludf.DUMMYFUNCTION("""COMPUTED_VALUE"""),"2.607 €/m2")</f>
        <v>2.607 €/m2</v>
      </c>
      <c r="C141" s="1" t="str">
        <f>IFERROR(__xludf.DUMMYFUNCTION("""COMPUTED_VALUE"""),"- 0,8 %")</f>
        <v>- 0,8 %</v>
      </c>
      <c r="D141" s="1" t="str">
        <f>IFERROR(__xludf.DUMMYFUNCTION("""COMPUTED_VALUE"""),"+ 1,3 %")</f>
        <v>+ 1,3 %</v>
      </c>
      <c r="E141" s="1" t="str">
        <f>IFERROR(__xludf.DUMMYFUNCTION("""COMPUTED_VALUE"""),"- 0,4 %")</f>
        <v>- 0,4 %</v>
      </c>
    </row>
    <row r="142">
      <c r="A142" s="2">
        <f>IFERROR(__xludf.DUMMYFUNCTION("""COMPUTED_VALUE"""),41913.0)</f>
        <v>41913</v>
      </c>
      <c r="B142" s="1" t="str">
        <f>IFERROR(__xludf.DUMMYFUNCTION("""COMPUTED_VALUE"""),"2.629 €/m2")</f>
        <v>2.629 €/m2</v>
      </c>
      <c r="C142" s="1" t="str">
        <f>IFERROR(__xludf.DUMMYFUNCTION("""COMPUTED_VALUE"""),"+ 0,7 %")</f>
        <v>+ 0,7 %</v>
      </c>
      <c r="D142" s="1" t="str">
        <f>IFERROR(__xludf.DUMMYFUNCTION("""COMPUTED_VALUE"""),"+ 1,5 %")</f>
        <v>+ 1,5 %</v>
      </c>
      <c r="E142" s="1" t="str">
        <f>IFERROR(__xludf.DUMMYFUNCTION("""COMPUTED_VALUE"""),"- 0,5 %")</f>
        <v>- 0,5 %</v>
      </c>
    </row>
    <row r="143">
      <c r="A143" s="2">
        <f>IFERROR(__xludf.DUMMYFUNCTION("""COMPUTED_VALUE"""),41883.0)</f>
        <v>41883</v>
      </c>
      <c r="B143" s="1" t="str">
        <f>IFERROR(__xludf.DUMMYFUNCTION("""COMPUTED_VALUE"""),"2.611 €/m2")</f>
        <v>2.611 €/m2</v>
      </c>
      <c r="C143" s="1" t="str">
        <f>IFERROR(__xludf.DUMMYFUNCTION("""COMPUTED_VALUE"""),"+ 1,5 %")</f>
        <v>+ 1,5 %</v>
      </c>
      <c r="D143" s="1" t="str">
        <f>IFERROR(__xludf.DUMMYFUNCTION("""COMPUTED_VALUE"""),"+ 1,3 %")</f>
        <v>+ 1,3 %</v>
      </c>
      <c r="E143" s="1" t="str">
        <f>IFERROR(__xludf.DUMMYFUNCTION("""COMPUTED_VALUE"""),"- 1,4 %")</f>
        <v>- 1,4 %</v>
      </c>
    </row>
    <row r="144">
      <c r="A144" s="2">
        <f>IFERROR(__xludf.DUMMYFUNCTION("""COMPUTED_VALUE"""),41852.0)</f>
        <v>41852</v>
      </c>
      <c r="B144" s="1" t="str">
        <f>IFERROR(__xludf.DUMMYFUNCTION("""COMPUTED_VALUE"""),"2.573 €/m2")</f>
        <v>2.573 €/m2</v>
      </c>
      <c r="C144" s="1" t="str">
        <f>IFERROR(__xludf.DUMMYFUNCTION("""COMPUTED_VALUE"""),"- 0,6 %")</f>
        <v>- 0,6 %</v>
      </c>
      <c r="D144" s="1" t="str">
        <f>IFERROR(__xludf.DUMMYFUNCTION("""COMPUTED_VALUE"""),"+ 0,6 %")</f>
        <v>+ 0,6 %</v>
      </c>
      <c r="E144" s="1" t="str">
        <f>IFERROR(__xludf.DUMMYFUNCTION("""COMPUTED_VALUE"""),"- 2,0 %")</f>
        <v>- 2,0 %</v>
      </c>
    </row>
    <row r="145">
      <c r="A145" s="2">
        <f>IFERROR(__xludf.DUMMYFUNCTION("""COMPUTED_VALUE"""),41821.0)</f>
        <v>41821</v>
      </c>
      <c r="B145" s="1" t="str">
        <f>IFERROR(__xludf.DUMMYFUNCTION("""COMPUTED_VALUE"""),"2.589 €/m2")</f>
        <v>2.589 €/m2</v>
      </c>
      <c r="C145" s="1" t="str">
        <f>IFERROR(__xludf.DUMMYFUNCTION("""COMPUTED_VALUE"""),"+ 0,5 %")</f>
        <v>+ 0,5 %</v>
      </c>
      <c r="D145" s="1" t="str">
        <f>IFERROR(__xludf.DUMMYFUNCTION("""COMPUTED_VALUE"""),"+ 0,9 %")</f>
        <v>+ 0,9 %</v>
      </c>
      <c r="E145" s="1" t="str">
        <f>IFERROR(__xludf.DUMMYFUNCTION("""COMPUTED_VALUE"""),"- 3,2 %")</f>
        <v>- 3,2 %</v>
      </c>
    </row>
    <row r="146">
      <c r="A146" s="2">
        <f>IFERROR(__xludf.DUMMYFUNCTION("""COMPUTED_VALUE"""),41791.0)</f>
        <v>41791</v>
      </c>
      <c r="B146" s="1" t="str">
        <f>IFERROR(__xludf.DUMMYFUNCTION("""COMPUTED_VALUE"""),"2.577 €/m2")</f>
        <v>2.577 €/m2</v>
      </c>
      <c r="C146" s="1" t="str">
        <f>IFERROR(__xludf.DUMMYFUNCTION("""COMPUTED_VALUE"""),"+ 0,8 %")</f>
        <v>+ 0,8 %</v>
      </c>
      <c r="D146" s="1" t="str">
        <f>IFERROR(__xludf.DUMMYFUNCTION("""COMPUTED_VALUE"""),"- 2,2 %")</f>
        <v>- 2,2 %</v>
      </c>
      <c r="E146" s="1" t="str">
        <f>IFERROR(__xludf.DUMMYFUNCTION("""COMPUTED_VALUE"""),"- 4,1 %")</f>
        <v>- 4,1 %</v>
      </c>
    </row>
    <row r="147">
      <c r="A147" s="2">
        <f>IFERROR(__xludf.DUMMYFUNCTION("""COMPUTED_VALUE"""),41760.0)</f>
        <v>41760</v>
      </c>
      <c r="B147" s="1" t="str">
        <f>IFERROR(__xludf.DUMMYFUNCTION("""COMPUTED_VALUE"""),"2.558 €/m2")</f>
        <v>2.558 €/m2</v>
      </c>
      <c r="C147" s="1" t="str">
        <f>IFERROR(__xludf.DUMMYFUNCTION("""COMPUTED_VALUE"""),"- 0,4 %")</f>
        <v>- 0,4 %</v>
      </c>
      <c r="D147" s="1" t="str">
        <f>IFERROR(__xludf.DUMMYFUNCTION("""COMPUTED_VALUE"""),"- 3,3 %")</f>
        <v>- 3,3 %</v>
      </c>
      <c r="E147" s="1" t="str">
        <f>IFERROR(__xludf.DUMMYFUNCTION("""COMPUTED_VALUE"""),"- 7,3 %")</f>
        <v>- 7,3 %</v>
      </c>
    </row>
    <row r="148">
      <c r="A148" s="2">
        <f>IFERROR(__xludf.DUMMYFUNCTION("""COMPUTED_VALUE"""),41730.0)</f>
        <v>41730</v>
      </c>
      <c r="B148" s="1" t="str">
        <f>IFERROR(__xludf.DUMMYFUNCTION("""COMPUTED_VALUE"""),"2.567 €/m2")</f>
        <v>2.567 €/m2</v>
      </c>
      <c r="C148" s="1" t="str">
        <f>IFERROR(__xludf.DUMMYFUNCTION("""COMPUTED_VALUE"""),"- 2,6 %")</f>
        <v>- 2,6 %</v>
      </c>
      <c r="D148" s="1" t="str">
        <f>IFERROR(__xludf.DUMMYFUNCTION("""COMPUTED_VALUE"""),"- 2,8 %")</f>
        <v>- 2,8 %</v>
      </c>
      <c r="E148" s="1" t="str">
        <f>IFERROR(__xludf.DUMMYFUNCTION("""COMPUTED_VALUE"""),"- 7,9 %")</f>
        <v>- 7,9 %</v>
      </c>
    </row>
    <row r="149">
      <c r="A149" s="2">
        <f>IFERROR(__xludf.DUMMYFUNCTION("""COMPUTED_VALUE"""),41699.0)</f>
        <v>41699</v>
      </c>
      <c r="B149" s="1" t="str">
        <f>IFERROR(__xludf.DUMMYFUNCTION("""COMPUTED_VALUE"""),"2.636 €/m2")</f>
        <v>2.636 €/m2</v>
      </c>
      <c r="C149" s="1" t="str">
        <f>IFERROR(__xludf.DUMMYFUNCTION("""COMPUTED_VALUE"""),"- 0,3 %")</f>
        <v>- 0,3 %</v>
      </c>
      <c r="D149" s="1" t="str">
        <f>IFERROR(__xludf.DUMMYFUNCTION("""COMPUTED_VALUE"""),"- 0,1 %")</f>
        <v>- 0,1 %</v>
      </c>
      <c r="E149" s="1" t="str">
        <f>IFERROR(__xludf.DUMMYFUNCTION("""COMPUTED_VALUE"""),"- 4,8 %")</f>
        <v>- 4,8 %</v>
      </c>
    </row>
    <row r="150">
      <c r="A150" s="2">
        <f>IFERROR(__xludf.DUMMYFUNCTION("""COMPUTED_VALUE"""),41671.0)</f>
        <v>41671</v>
      </c>
      <c r="B150" s="1" t="str">
        <f>IFERROR(__xludf.DUMMYFUNCTION("""COMPUTED_VALUE"""),"2.644 €/m2")</f>
        <v>2.644 €/m2</v>
      </c>
      <c r="C150" s="1" t="str">
        <f>IFERROR(__xludf.DUMMYFUNCTION("""COMPUTED_VALUE"""),"+ 0,1 %")</f>
        <v>+ 0,1 %</v>
      </c>
      <c r="D150" s="1" t="str">
        <f>IFERROR(__xludf.DUMMYFUNCTION("""COMPUTED_VALUE"""),"+ 1,0 %")</f>
        <v>+ 1,0 %</v>
      </c>
      <c r="E150" s="1" t="str">
        <f>IFERROR(__xludf.DUMMYFUNCTION("""COMPUTED_VALUE"""),"- 6,0 %")</f>
        <v>- 6,0 %</v>
      </c>
    </row>
    <row r="151">
      <c r="A151" s="2">
        <f>IFERROR(__xludf.DUMMYFUNCTION("""COMPUTED_VALUE"""),41640.0)</f>
        <v>41640</v>
      </c>
      <c r="B151" s="1" t="str">
        <f>IFERROR(__xludf.DUMMYFUNCTION("""COMPUTED_VALUE"""),"2.641 €/m2")</f>
        <v>2.641 €/m2</v>
      </c>
      <c r="C151" s="1" t="str">
        <f>IFERROR(__xludf.DUMMYFUNCTION("""COMPUTED_VALUE"""),"+ 0,1 %")</f>
        <v>+ 0,1 %</v>
      </c>
      <c r="D151" s="1" t="str">
        <f>IFERROR(__xludf.DUMMYFUNCTION("""COMPUTED_VALUE"""),"0,0 %")</f>
        <v>0,0 %</v>
      </c>
      <c r="E151" s="1" t="str">
        <f>IFERROR(__xludf.DUMMYFUNCTION("""COMPUTED_VALUE"""),"- 6,7 %")</f>
        <v>- 6,7 %</v>
      </c>
    </row>
    <row r="152">
      <c r="A152" s="2">
        <f>IFERROR(__xludf.DUMMYFUNCTION("""COMPUTED_VALUE"""),41609.0)</f>
        <v>41609</v>
      </c>
      <c r="B152" s="1" t="str">
        <f>IFERROR(__xludf.DUMMYFUNCTION("""COMPUTED_VALUE"""),"2.638 €/m2")</f>
        <v>2.638 €/m2</v>
      </c>
      <c r="C152" s="1" t="str">
        <f>IFERROR(__xludf.DUMMYFUNCTION("""COMPUTED_VALUE"""),"+ 0,7 %")</f>
        <v>+ 0,7 %</v>
      </c>
      <c r="D152" s="1" t="str">
        <f>IFERROR(__xludf.DUMMYFUNCTION("""COMPUTED_VALUE"""),"- 0,4 %")</f>
        <v>- 0,4 %</v>
      </c>
      <c r="E152" s="1" t="str">
        <f>IFERROR(__xludf.DUMMYFUNCTION("""COMPUTED_VALUE"""),"- 7,0 %")</f>
        <v>- 7,0 %</v>
      </c>
    </row>
    <row r="153">
      <c r="A153" s="2">
        <f>IFERROR(__xludf.DUMMYFUNCTION("""COMPUTED_VALUE"""),41579.0)</f>
        <v>41579</v>
      </c>
      <c r="B153" s="1" t="str">
        <f>IFERROR(__xludf.DUMMYFUNCTION("""COMPUTED_VALUE"""),"2.618 €/m2")</f>
        <v>2.618 €/m2</v>
      </c>
      <c r="C153" s="1" t="str">
        <f>IFERROR(__xludf.DUMMYFUNCTION("""COMPUTED_VALUE"""),"- 0,9 %")</f>
        <v>- 0,9 %</v>
      </c>
      <c r="D153" s="1" t="str">
        <f>IFERROR(__xludf.DUMMYFUNCTION("""COMPUTED_VALUE"""),"- 0,3 %")</f>
        <v>- 0,3 %</v>
      </c>
      <c r="E153" s="1" t="str">
        <f>IFERROR(__xludf.DUMMYFUNCTION("""COMPUTED_VALUE"""),"- 8,5 %")</f>
        <v>- 8,5 %</v>
      </c>
    </row>
    <row r="154">
      <c r="A154" s="2">
        <f>IFERROR(__xludf.DUMMYFUNCTION("""COMPUTED_VALUE"""),41548.0)</f>
        <v>41548</v>
      </c>
      <c r="B154" s="1" t="str">
        <f>IFERROR(__xludf.DUMMYFUNCTION("""COMPUTED_VALUE"""),"2.642 €/m2")</f>
        <v>2.642 €/m2</v>
      </c>
      <c r="C154" s="1" t="str">
        <f>IFERROR(__xludf.DUMMYFUNCTION("""COMPUTED_VALUE"""),"- 0,3 %")</f>
        <v>- 0,3 %</v>
      </c>
      <c r="D154" s="1" t="str">
        <f>IFERROR(__xludf.DUMMYFUNCTION("""COMPUTED_VALUE"""),"- 1,2 %")</f>
        <v>- 1,2 %</v>
      </c>
      <c r="E154" s="1" t="str">
        <f>IFERROR(__xludf.DUMMYFUNCTION("""COMPUTED_VALUE"""),"- 10,2 %")</f>
        <v>- 10,2 %</v>
      </c>
    </row>
    <row r="155">
      <c r="A155" s="2">
        <f>IFERROR(__xludf.DUMMYFUNCTION("""COMPUTED_VALUE"""),41518.0)</f>
        <v>41518</v>
      </c>
      <c r="B155" s="1" t="str">
        <f>IFERROR(__xludf.DUMMYFUNCTION("""COMPUTED_VALUE"""),"2.649 €/m2")</f>
        <v>2.649 €/m2</v>
      </c>
      <c r="C155" s="1" t="str">
        <f>IFERROR(__xludf.DUMMYFUNCTION("""COMPUTED_VALUE"""),"+ 0,9 %")</f>
        <v>+ 0,9 %</v>
      </c>
      <c r="D155" s="1" t="str">
        <f>IFERROR(__xludf.DUMMYFUNCTION("""COMPUTED_VALUE"""),"- 1,4 %")</f>
        <v>- 1,4 %</v>
      </c>
      <c r="E155" s="1" t="str">
        <f>IFERROR(__xludf.DUMMYFUNCTION("""COMPUTED_VALUE"""),"- 10,4 %")</f>
        <v>- 10,4 %</v>
      </c>
    </row>
    <row r="156">
      <c r="A156" s="2">
        <f>IFERROR(__xludf.DUMMYFUNCTION("""COMPUTED_VALUE"""),41487.0)</f>
        <v>41487</v>
      </c>
      <c r="B156" s="1" t="str">
        <f>IFERROR(__xludf.DUMMYFUNCTION("""COMPUTED_VALUE"""),"2.626 €/m2")</f>
        <v>2.626 €/m2</v>
      </c>
      <c r="C156" s="1" t="str">
        <f>IFERROR(__xludf.DUMMYFUNCTION("""COMPUTED_VALUE"""),"- 1,8 %")</f>
        <v>- 1,8 %</v>
      </c>
      <c r="D156" s="1" t="str">
        <f>IFERROR(__xludf.DUMMYFUNCTION("""COMPUTED_VALUE"""),"- 4,8 %")</f>
        <v>- 4,8 %</v>
      </c>
      <c r="E156" s="1" t="str">
        <f>IFERROR(__xludf.DUMMYFUNCTION("""COMPUTED_VALUE"""),"- 10,1 %")</f>
        <v>- 10,1 %</v>
      </c>
    </row>
    <row r="157">
      <c r="A157" s="2">
        <f>IFERROR(__xludf.DUMMYFUNCTION("""COMPUTED_VALUE"""),41456.0)</f>
        <v>41456</v>
      </c>
      <c r="B157" s="1" t="str">
        <f>IFERROR(__xludf.DUMMYFUNCTION("""COMPUTED_VALUE"""),"2.674 €/m2")</f>
        <v>2.674 €/m2</v>
      </c>
      <c r="C157" s="1" t="str">
        <f>IFERROR(__xludf.DUMMYFUNCTION("""COMPUTED_VALUE"""),"- 0,5 %")</f>
        <v>- 0,5 %</v>
      </c>
      <c r="D157" s="1" t="str">
        <f>IFERROR(__xludf.DUMMYFUNCTION("""COMPUTED_VALUE"""),"- 4,0 %")</f>
        <v>- 4,0 %</v>
      </c>
      <c r="E157" s="1" t="str">
        <f>IFERROR(__xludf.DUMMYFUNCTION("""COMPUTED_VALUE"""),"- 9,1 %")</f>
        <v>- 9,1 %</v>
      </c>
    </row>
    <row r="158">
      <c r="A158" s="2">
        <f>IFERROR(__xludf.DUMMYFUNCTION("""COMPUTED_VALUE"""),41426.0)</f>
        <v>41426</v>
      </c>
      <c r="B158" s="1" t="str">
        <f>IFERROR(__xludf.DUMMYFUNCTION("""COMPUTED_VALUE"""),"2.687 €/m2")</f>
        <v>2.687 €/m2</v>
      </c>
      <c r="C158" s="1" t="str">
        <f>IFERROR(__xludf.DUMMYFUNCTION("""COMPUTED_VALUE"""),"- 2,6 %")</f>
        <v>- 2,6 %</v>
      </c>
      <c r="D158" s="1" t="str">
        <f>IFERROR(__xludf.DUMMYFUNCTION("""COMPUTED_VALUE"""),"- 2,9 %")</f>
        <v>- 2,9 %</v>
      </c>
      <c r="E158" s="1" t="str">
        <f>IFERROR(__xludf.DUMMYFUNCTION("""COMPUTED_VALUE"""),"- 9,2 %")</f>
        <v>- 9,2 %</v>
      </c>
    </row>
    <row r="159">
      <c r="A159" s="2">
        <f>IFERROR(__xludf.DUMMYFUNCTION("""COMPUTED_VALUE"""),41395.0)</f>
        <v>41395</v>
      </c>
      <c r="B159" s="1" t="str">
        <f>IFERROR(__xludf.DUMMYFUNCTION("""COMPUTED_VALUE"""),"2.758 €/m2")</f>
        <v>2.758 €/m2</v>
      </c>
      <c r="C159" s="1" t="str">
        <f>IFERROR(__xludf.DUMMYFUNCTION("""COMPUTED_VALUE"""),"- 1,0 %")</f>
        <v>- 1,0 %</v>
      </c>
      <c r="D159" s="1" t="str">
        <f>IFERROR(__xludf.DUMMYFUNCTION("""COMPUTED_VALUE"""),"- 1,9 %")</f>
        <v>- 1,9 %</v>
      </c>
      <c r="E159" s="1" t="str">
        <f>IFERROR(__xludf.DUMMYFUNCTION("""COMPUTED_VALUE"""),"- 8,2 %")</f>
        <v>- 8,2 %</v>
      </c>
    </row>
    <row r="160">
      <c r="A160" s="2">
        <f>IFERROR(__xludf.DUMMYFUNCTION("""COMPUTED_VALUE"""),41365.0)</f>
        <v>41365</v>
      </c>
      <c r="B160" s="1" t="str">
        <f>IFERROR(__xludf.DUMMYFUNCTION("""COMPUTED_VALUE"""),"2.786 €/m2")</f>
        <v>2.786 €/m2</v>
      </c>
      <c r="C160" s="1" t="str">
        <f>IFERROR(__xludf.DUMMYFUNCTION("""COMPUTED_VALUE"""),"+ 0,6 %")</f>
        <v>+ 0,6 %</v>
      </c>
      <c r="D160" s="1" t="str">
        <f>IFERROR(__xludf.DUMMYFUNCTION("""COMPUTED_VALUE"""),"- 1,6 %")</f>
        <v>- 1,6 %</v>
      </c>
      <c r="E160" s="1" t="str">
        <f>IFERROR(__xludf.DUMMYFUNCTION("""COMPUTED_VALUE"""),"- 8,7 %")</f>
        <v>- 8,7 %</v>
      </c>
    </row>
    <row r="161">
      <c r="A161" s="2">
        <f>IFERROR(__xludf.DUMMYFUNCTION("""COMPUTED_VALUE"""),41334.0)</f>
        <v>41334</v>
      </c>
      <c r="B161" s="1" t="str">
        <f>IFERROR(__xludf.DUMMYFUNCTION("""COMPUTED_VALUE"""),"2.769 €/m2")</f>
        <v>2.769 €/m2</v>
      </c>
      <c r="C161" s="1" t="str">
        <f>IFERROR(__xludf.DUMMYFUNCTION("""COMPUTED_VALUE"""),"- 1,5 %")</f>
        <v>- 1,5 %</v>
      </c>
      <c r="D161" s="1" t="str">
        <f>IFERROR(__xludf.DUMMYFUNCTION("""COMPUTED_VALUE"""),"- 2,4 %")</f>
        <v>- 2,4 %</v>
      </c>
      <c r="E161" s="1" t="str">
        <f>IFERROR(__xludf.DUMMYFUNCTION("""COMPUTED_VALUE"""),"- 9,5 %")</f>
        <v>- 9,5 %</v>
      </c>
    </row>
    <row r="162">
      <c r="A162" s="2">
        <f>IFERROR(__xludf.DUMMYFUNCTION("""COMPUTED_VALUE"""),41306.0)</f>
        <v>41306</v>
      </c>
      <c r="B162" s="1" t="str">
        <f>IFERROR(__xludf.DUMMYFUNCTION("""COMPUTED_VALUE"""),"2.811 €/m2")</f>
        <v>2.811 €/m2</v>
      </c>
      <c r="C162" s="1" t="str">
        <f>IFERROR(__xludf.DUMMYFUNCTION("""COMPUTED_VALUE"""),"- 0,7 %")</f>
        <v>- 0,7 %</v>
      </c>
      <c r="D162" s="1" t="str">
        <f>IFERROR(__xludf.DUMMYFUNCTION("""COMPUTED_VALUE"""),"- 1,7 %")</f>
        <v>- 1,7 %</v>
      </c>
      <c r="E162" s="1" t="str">
        <f>IFERROR(__xludf.DUMMYFUNCTION("""COMPUTED_VALUE"""),"- 7,1 %")</f>
        <v>- 7,1 %</v>
      </c>
    </row>
    <row r="163">
      <c r="A163" s="2">
        <f>IFERROR(__xludf.DUMMYFUNCTION("""COMPUTED_VALUE"""),41275.0)</f>
        <v>41275</v>
      </c>
      <c r="B163" s="1" t="str">
        <f>IFERROR(__xludf.DUMMYFUNCTION("""COMPUTED_VALUE"""),"2.830 €/m2")</f>
        <v>2.830 €/m2</v>
      </c>
      <c r="C163" s="1" t="str">
        <f>IFERROR(__xludf.DUMMYFUNCTION("""COMPUTED_VALUE"""),"- 0,2 %")</f>
        <v>- 0,2 %</v>
      </c>
      <c r="D163" s="1" t="str">
        <f>IFERROR(__xludf.DUMMYFUNCTION("""COMPUTED_VALUE"""),"- 3,7 %")</f>
        <v>- 3,7 %</v>
      </c>
      <c r="E163" s="1" t="str">
        <f>IFERROR(__xludf.DUMMYFUNCTION("""COMPUTED_VALUE"""),"- 6,7 %")</f>
        <v>- 6,7 %</v>
      </c>
    </row>
    <row r="164">
      <c r="A164" s="2">
        <f>IFERROR(__xludf.DUMMYFUNCTION("""COMPUTED_VALUE"""),41244.0)</f>
        <v>41244</v>
      </c>
      <c r="B164" s="1" t="str">
        <f>IFERROR(__xludf.DUMMYFUNCTION("""COMPUTED_VALUE"""),"2.836 €/m2")</f>
        <v>2.836 €/m2</v>
      </c>
      <c r="C164" s="1" t="str">
        <f>IFERROR(__xludf.DUMMYFUNCTION("""COMPUTED_VALUE"""),"- 0,9 %")</f>
        <v>- 0,9 %</v>
      </c>
      <c r="D164" s="1" t="str">
        <f>IFERROR(__xludf.DUMMYFUNCTION("""COMPUTED_VALUE"""),"- 4,1 %")</f>
        <v>- 4,1 %</v>
      </c>
      <c r="E164" s="1" t="str">
        <f>IFERROR(__xludf.DUMMYFUNCTION("""COMPUTED_VALUE"""),"- 6,6 %")</f>
        <v>- 6,6 %</v>
      </c>
    </row>
    <row r="165">
      <c r="A165" s="2">
        <f>IFERROR(__xludf.DUMMYFUNCTION("""COMPUTED_VALUE"""),41214.0)</f>
        <v>41214</v>
      </c>
      <c r="B165" s="1" t="str">
        <f>IFERROR(__xludf.DUMMYFUNCTION("""COMPUTED_VALUE"""),"2.860 €/m2")</f>
        <v>2.860 €/m2</v>
      </c>
      <c r="C165" s="1" t="str">
        <f>IFERROR(__xludf.DUMMYFUNCTION("""COMPUTED_VALUE"""),"- 2,7 %")</f>
        <v>- 2,7 %</v>
      </c>
      <c r="D165" s="1" t="str">
        <f>IFERROR(__xludf.DUMMYFUNCTION("""COMPUTED_VALUE"""),"- 2,1 %")</f>
        <v>- 2,1 %</v>
      </c>
      <c r="E165" s="1" t="str">
        <f>IFERROR(__xludf.DUMMYFUNCTION("""COMPUTED_VALUE"""),"- 7,8 %")</f>
        <v>- 7,8 %</v>
      </c>
    </row>
    <row r="166">
      <c r="A166" s="2">
        <f>IFERROR(__xludf.DUMMYFUNCTION("""COMPUTED_VALUE"""),41183.0)</f>
        <v>41183</v>
      </c>
      <c r="B166" s="1" t="str">
        <f>IFERROR(__xludf.DUMMYFUNCTION("""COMPUTED_VALUE"""),"2.940 €/m2")</f>
        <v>2.940 €/m2</v>
      </c>
      <c r="C166" s="1" t="str">
        <f>IFERROR(__xludf.DUMMYFUNCTION("""COMPUTED_VALUE"""),"- 0,6 %")</f>
        <v>- 0,6 %</v>
      </c>
      <c r="D166" s="1" t="str">
        <f>IFERROR(__xludf.DUMMYFUNCTION("""COMPUTED_VALUE"""),"- 0,1 %")</f>
        <v>- 0,1 %</v>
      </c>
      <c r="E166" s="1" t="str">
        <f>IFERROR(__xludf.DUMMYFUNCTION("""COMPUTED_VALUE"""),"- 5,8 %")</f>
        <v>- 5,8 %</v>
      </c>
    </row>
    <row r="167">
      <c r="A167" s="2">
        <f>IFERROR(__xludf.DUMMYFUNCTION("""COMPUTED_VALUE"""),41153.0)</f>
        <v>41153</v>
      </c>
      <c r="B167" s="1" t="str">
        <f>IFERROR(__xludf.DUMMYFUNCTION("""COMPUTED_VALUE"""),"2.957 €/m2")</f>
        <v>2.957 €/m2</v>
      </c>
      <c r="C167" s="1" t="str">
        <f>IFERROR(__xludf.DUMMYFUNCTION("""COMPUTED_VALUE"""),"+ 1,2 %")</f>
        <v>+ 1,2 %</v>
      </c>
      <c r="D167" s="1" t="str">
        <f>IFERROR(__xludf.DUMMYFUNCTION("""COMPUTED_VALUE"""),"- 0,1 %")</f>
        <v>- 0,1 %</v>
      </c>
      <c r="E167" s="1" t="str">
        <f>IFERROR(__xludf.DUMMYFUNCTION("""COMPUTED_VALUE"""),"- 5,0 %")</f>
        <v>- 5,0 %</v>
      </c>
    </row>
    <row r="168">
      <c r="A168" s="2">
        <f>IFERROR(__xludf.DUMMYFUNCTION("""COMPUTED_VALUE"""),41122.0)</f>
        <v>41122</v>
      </c>
      <c r="B168" s="1" t="str">
        <f>IFERROR(__xludf.DUMMYFUNCTION("""COMPUTED_VALUE"""),"2.922 €/m2")</f>
        <v>2.922 €/m2</v>
      </c>
      <c r="C168" s="1" t="str">
        <f>IFERROR(__xludf.DUMMYFUNCTION("""COMPUTED_VALUE"""),"- 0,7 %")</f>
        <v>- 0,7 %</v>
      </c>
      <c r="D168" s="1" t="str">
        <f>IFERROR(__xludf.DUMMYFUNCTION("""COMPUTED_VALUE"""),"- 2,7 %")</f>
        <v>- 2,7 %</v>
      </c>
      <c r="E168" s="1" t="str">
        <f>IFERROR(__xludf.DUMMYFUNCTION("""COMPUTED_VALUE"""),"- 6,6 %")</f>
        <v>- 6,6 %</v>
      </c>
    </row>
    <row r="169">
      <c r="A169" s="2">
        <f>IFERROR(__xludf.DUMMYFUNCTION("""COMPUTED_VALUE"""),41091.0)</f>
        <v>41091</v>
      </c>
      <c r="B169" s="1" t="str">
        <f>IFERROR(__xludf.DUMMYFUNCTION("""COMPUTED_VALUE"""),"2.942 €/m2")</f>
        <v>2.942 €/m2</v>
      </c>
      <c r="C169" s="1" t="str">
        <f>IFERROR(__xludf.DUMMYFUNCTION("""COMPUTED_VALUE"""),"- 0,6 %")</f>
        <v>- 0,6 %</v>
      </c>
      <c r="D169" s="1" t="str">
        <f>IFERROR(__xludf.DUMMYFUNCTION("""COMPUTED_VALUE"""),"- 3,6 %")</f>
        <v>- 3,6 %</v>
      </c>
      <c r="E169" s="1" t="str">
        <f>IFERROR(__xludf.DUMMYFUNCTION("""COMPUTED_VALUE"""),"- 7,5 %")</f>
        <v>- 7,5 %</v>
      </c>
    </row>
    <row r="170">
      <c r="A170" s="2">
        <f>IFERROR(__xludf.DUMMYFUNCTION("""COMPUTED_VALUE"""),41061.0)</f>
        <v>41061</v>
      </c>
      <c r="B170" s="1" t="str">
        <f>IFERROR(__xludf.DUMMYFUNCTION("""COMPUTED_VALUE"""),"2.959 €/m2")</f>
        <v>2.959 €/m2</v>
      </c>
      <c r="C170" s="1" t="str">
        <f>IFERROR(__xludf.DUMMYFUNCTION("""COMPUTED_VALUE"""),"- 1,5 %")</f>
        <v>- 1,5 %</v>
      </c>
      <c r="D170" s="1" t="str">
        <f>IFERROR(__xludf.DUMMYFUNCTION("""COMPUTED_VALUE"""),"- 3,2 %")</f>
        <v>- 3,2 %</v>
      </c>
      <c r="E170" s="1" t="str">
        <f>IFERROR(__xludf.DUMMYFUNCTION("""COMPUTED_VALUE"""),"- 8,9 %")</f>
        <v>- 8,9 %</v>
      </c>
    </row>
    <row r="171">
      <c r="A171" s="2">
        <f>IFERROR(__xludf.DUMMYFUNCTION("""COMPUTED_VALUE"""),41030.0)</f>
        <v>41030</v>
      </c>
      <c r="B171" s="1" t="str">
        <f>IFERROR(__xludf.DUMMYFUNCTION("""COMPUTED_VALUE"""),"3.004 €/m2")</f>
        <v>3.004 €/m2</v>
      </c>
      <c r="C171" s="1" t="str">
        <f>IFERROR(__xludf.DUMMYFUNCTION("""COMPUTED_VALUE"""),"- 1,5 %")</f>
        <v>- 1,5 %</v>
      </c>
      <c r="D171" s="1" t="str">
        <f>IFERROR(__xludf.DUMMYFUNCTION("""COMPUTED_VALUE"""),"- 0,8 %")</f>
        <v>- 0,8 %</v>
      </c>
      <c r="E171" s="1" t="str">
        <f>IFERROR(__xludf.DUMMYFUNCTION("""COMPUTED_VALUE"""),"- 7,5 %")</f>
        <v>- 7,5 %</v>
      </c>
    </row>
    <row r="172">
      <c r="A172" s="2">
        <f>IFERROR(__xludf.DUMMYFUNCTION("""COMPUTED_VALUE"""),41000.0)</f>
        <v>41000</v>
      </c>
      <c r="B172" s="1" t="str">
        <f>IFERROR(__xludf.DUMMYFUNCTION("""COMPUTED_VALUE"""),"3.051 €/m2")</f>
        <v>3.051 €/m2</v>
      </c>
      <c r="C172" s="1" t="str">
        <f>IFERROR(__xludf.DUMMYFUNCTION("""COMPUTED_VALUE"""),"- 0,2 %")</f>
        <v>- 0,2 %</v>
      </c>
      <c r="D172" s="1" t="str">
        <f>IFERROR(__xludf.DUMMYFUNCTION("""COMPUTED_VALUE"""),"+ 0,6 %")</f>
        <v>+ 0,6 %</v>
      </c>
      <c r="E172" s="1" t="str">
        <f>IFERROR(__xludf.DUMMYFUNCTION("""COMPUTED_VALUE"""),"- 6,5 %")</f>
        <v>- 6,5 %</v>
      </c>
    </row>
    <row r="173">
      <c r="A173" s="2">
        <f>IFERROR(__xludf.DUMMYFUNCTION("""COMPUTED_VALUE"""),40969.0)</f>
        <v>40969</v>
      </c>
      <c r="B173" s="1" t="str">
        <f>IFERROR(__xludf.DUMMYFUNCTION("""COMPUTED_VALUE"""),"3.058 €/m2")</f>
        <v>3.058 €/m2</v>
      </c>
      <c r="C173" s="1" t="str">
        <f>IFERROR(__xludf.DUMMYFUNCTION("""COMPUTED_VALUE"""),"+ 1,0 %")</f>
        <v>+ 1,0 %</v>
      </c>
      <c r="D173" s="1" t="str">
        <f>IFERROR(__xludf.DUMMYFUNCTION("""COMPUTED_VALUE"""),"+ 0,7 %")</f>
        <v>+ 0,7 %</v>
      </c>
      <c r="E173" s="1" t="str">
        <f>IFERROR(__xludf.DUMMYFUNCTION("""COMPUTED_VALUE"""),"- 3,6 %")</f>
        <v>- 3,6 %</v>
      </c>
    </row>
    <row r="174">
      <c r="A174" s="2">
        <f>IFERROR(__xludf.DUMMYFUNCTION("""COMPUTED_VALUE"""),40940.0)</f>
        <v>40940</v>
      </c>
      <c r="B174" s="1" t="str">
        <f>IFERROR(__xludf.DUMMYFUNCTION("""COMPUTED_VALUE"""),"3.028 €/m2")</f>
        <v>3.028 €/m2</v>
      </c>
      <c r="C174" s="1" t="str">
        <f>IFERROR(__xludf.DUMMYFUNCTION("""COMPUTED_VALUE"""),"- 0,2 %")</f>
        <v>- 0,2 %</v>
      </c>
      <c r="D174" s="1" t="str">
        <f>IFERROR(__xludf.DUMMYFUNCTION("""COMPUTED_VALUE"""),"- 2,5 %")</f>
        <v>- 2,5 %</v>
      </c>
      <c r="E174" s="1" t="str">
        <f>IFERROR(__xludf.DUMMYFUNCTION("""COMPUTED_VALUE"""),"- 5,2 %")</f>
        <v>- 5,2 %</v>
      </c>
    </row>
    <row r="175">
      <c r="A175" s="2">
        <f>IFERROR(__xludf.DUMMYFUNCTION("""COMPUTED_VALUE"""),40909.0)</f>
        <v>40909</v>
      </c>
      <c r="B175" s="1" t="str">
        <f>IFERROR(__xludf.DUMMYFUNCTION("""COMPUTED_VALUE"""),"3.033 €/m2")</f>
        <v>3.033 €/m2</v>
      </c>
      <c r="C175" s="1" t="str">
        <f>IFERROR(__xludf.DUMMYFUNCTION("""COMPUTED_VALUE"""),"- 0,1 %")</f>
        <v>- 0,1 %</v>
      </c>
      <c r="D175" s="1" t="str">
        <f>IFERROR(__xludf.DUMMYFUNCTION("""COMPUTED_VALUE"""),"- 2,8 %")</f>
        <v>- 2,8 %</v>
      </c>
      <c r="E175" s="1" t="str">
        <f>IFERROR(__xludf.DUMMYFUNCTION("""COMPUTED_VALUE"""),"- 4,1 %")</f>
        <v>- 4,1 %</v>
      </c>
    </row>
    <row r="176">
      <c r="A176" s="2">
        <f>IFERROR(__xludf.DUMMYFUNCTION("""COMPUTED_VALUE"""),40878.0)</f>
        <v>40878</v>
      </c>
      <c r="B176" s="1" t="str">
        <f>IFERROR(__xludf.DUMMYFUNCTION("""COMPUTED_VALUE"""),"3.036 €/m2")</f>
        <v>3.036 €/m2</v>
      </c>
      <c r="C176" s="1" t="str">
        <f>IFERROR(__xludf.DUMMYFUNCTION("""COMPUTED_VALUE"""),"- 2,2 %")</f>
        <v>- 2,2 %</v>
      </c>
      <c r="D176" s="1" t="str">
        <f>IFERROR(__xludf.DUMMYFUNCTION("""COMPUTED_VALUE"""),"- 2,5 %")</f>
        <v>- 2,5 %</v>
      </c>
      <c r="E176" s="1" t="str">
        <f>IFERROR(__xludf.DUMMYFUNCTION("""COMPUTED_VALUE"""),"- 5,7 %")</f>
        <v>- 5,7 %</v>
      </c>
    </row>
    <row r="177">
      <c r="A177" s="2">
        <f>IFERROR(__xludf.DUMMYFUNCTION("""COMPUTED_VALUE"""),40848.0)</f>
        <v>40848</v>
      </c>
      <c r="B177" s="1" t="str">
        <f>IFERROR(__xludf.DUMMYFUNCTION("""COMPUTED_VALUE"""),"3.104 €/m2")</f>
        <v>3.104 €/m2</v>
      </c>
      <c r="C177" s="1" t="str">
        <f>IFERROR(__xludf.DUMMYFUNCTION("""COMPUTED_VALUE"""),"- 0,6 %")</f>
        <v>- 0,6 %</v>
      </c>
      <c r="D177" s="1" t="str">
        <f>IFERROR(__xludf.DUMMYFUNCTION("""COMPUTED_VALUE"""),"- 0,8 %")</f>
        <v>- 0,8 %</v>
      </c>
      <c r="E177" s="1" t="str">
        <f>IFERROR(__xludf.DUMMYFUNCTION("""COMPUTED_VALUE"""),"- 4,6 %")</f>
        <v>- 4,6 %</v>
      </c>
    </row>
    <row r="178">
      <c r="A178" s="2">
        <f>IFERROR(__xludf.DUMMYFUNCTION("""COMPUTED_VALUE"""),40817.0)</f>
        <v>40817</v>
      </c>
      <c r="B178" s="1" t="str">
        <f>IFERROR(__xludf.DUMMYFUNCTION("""COMPUTED_VALUE"""),"3.121 €/m2")</f>
        <v>3.121 €/m2</v>
      </c>
      <c r="C178" s="1" t="str">
        <f>IFERROR(__xludf.DUMMYFUNCTION("""COMPUTED_VALUE"""),"+ 0,2 %")</f>
        <v>+ 0,2 %</v>
      </c>
      <c r="D178" s="1" t="str">
        <f>IFERROR(__xludf.DUMMYFUNCTION("""COMPUTED_VALUE"""),"- 1,9 %")</f>
        <v>- 1,9 %</v>
      </c>
      <c r="E178" s="1" t="str">
        <f>IFERROR(__xludf.DUMMYFUNCTION("""COMPUTED_VALUE"""),"- 3,3 %")</f>
        <v>- 3,3 %</v>
      </c>
    </row>
    <row r="179">
      <c r="A179" s="2">
        <f>IFERROR(__xludf.DUMMYFUNCTION("""COMPUTED_VALUE"""),40787.0)</f>
        <v>40787</v>
      </c>
      <c r="B179" s="1" t="str">
        <f>IFERROR(__xludf.DUMMYFUNCTION("""COMPUTED_VALUE"""),"3.114 €/m2")</f>
        <v>3.114 €/m2</v>
      </c>
      <c r="C179" s="1" t="str">
        <f>IFERROR(__xludf.DUMMYFUNCTION("""COMPUTED_VALUE"""),"- 0,5 %")</f>
        <v>- 0,5 %</v>
      </c>
      <c r="D179" s="1" t="str">
        <f>IFERROR(__xludf.DUMMYFUNCTION("""COMPUTED_VALUE"""),"- 4,1 %")</f>
        <v>- 4,1 %</v>
      </c>
      <c r="E179" s="1" t="str">
        <f>IFERROR(__xludf.DUMMYFUNCTION("""COMPUTED_VALUE"""),"- 0,9 %")</f>
        <v>- 0,9 %</v>
      </c>
    </row>
    <row r="180">
      <c r="A180" s="2">
        <f>IFERROR(__xludf.DUMMYFUNCTION("""COMPUTED_VALUE"""),40756.0)</f>
        <v>40756</v>
      </c>
      <c r="B180" s="1" t="str">
        <f>IFERROR(__xludf.DUMMYFUNCTION("""COMPUTED_VALUE"""),"3.128 €/m2")</f>
        <v>3.128 €/m2</v>
      </c>
      <c r="C180" s="1" t="str">
        <f>IFERROR(__xludf.DUMMYFUNCTION("""COMPUTED_VALUE"""),"- 1,6 %")</f>
        <v>- 1,6 %</v>
      </c>
      <c r="D180" s="1" t="str">
        <f>IFERROR(__xludf.DUMMYFUNCTION("""COMPUTED_VALUE"""),"- 3,6 %")</f>
        <v>- 3,6 %</v>
      </c>
      <c r="E180" s="1" t="str">
        <f>IFERROR(__xludf.DUMMYFUNCTION("""COMPUTED_VALUE"""),"- 1,7 %")</f>
        <v>- 1,7 %</v>
      </c>
    </row>
    <row r="181">
      <c r="A181" s="2">
        <f>IFERROR(__xludf.DUMMYFUNCTION("""COMPUTED_VALUE"""),40725.0)</f>
        <v>40725</v>
      </c>
      <c r="B181" s="1" t="str">
        <f>IFERROR(__xludf.DUMMYFUNCTION("""COMPUTED_VALUE"""),"3.181 €/m2")</f>
        <v>3.181 €/m2</v>
      </c>
      <c r="C181" s="1" t="str">
        <f>IFERROR(__xludf.DUMMYFUNCTION("""COMPUTED_VALUE"""),"- 2,1 %")</f>
        <v>- 2,1 %</v>
      </c>
      <c r="D181" s="1" t="str">
        <f>IFERROR(__xludf.DUMMYFUNCTION("""COMPUTED_VALUE"""),"- 2,5 %")</f>
        <v>- 2,5 %</v>
      </c>
      <c r="E181" s="1" t="str">
        <f>IFERROR(__xludf.DUMMYFUNCTION("""COMPUTED_VALUE"""),"- 2,6 %")</f>
        <v>- 2,6 %</v>
      </c>
    </row>
    <row r="182">
      <c r="A182" s="2">
        <f>IFERROR(__xludf.DUMMYFUNCTION("""COMPUTED_VALUE"""),40695.0)</f>
        <v>40695</v>
      </c>
      <c r="B182" s="1" t="str">
        <f>IFERROR(__xludf.DUMMYFUNCTION("""COMPUTED_VALUE"""),"3.248 €/m2")</f>
        <v>3.248 €/m2</v>
      </c>
      <c r="C182" s="1" t="str">
        <f>IFERROR(__xludf.DUMMYFUNCTION("""COMPUTED_VALUE"""),"+ 0,1 %")</f>
        <v>+ 0,1 %</v>
      </c>
      <c r="D182" s="1" t="str">
        <f>IFERROR(__xludf.DUMMYFUNCTION("""COMPUTED_VALUE"""),"+ 2,4 %")</f>
        <v>+ 2,4 %</v>
      </c>
      <c r="E182" s="1" t="str">
        <f>IFERROR(__xludf.DUMMYFUNCTION("""COMPUTED_VALUE"""),"- 0,4 %")</f>
        <v>- 0,4 %</v>
      </c>
    </row>
    <row r="183">
      <c r="A183" s="2">
        <f>IFERROR(__xludf.DUMMYFUNCTION("""COMPUTED_VALUE"""),40664.0)</f>
        <v>40664</v>
      </c>
      <c r="B183" s="1" t="str">
        <f>IFERROR(__xludf.DUMMYFUNCTION("""COMPUTED_VALUE"""),"3.246 €/m2")</f>
        <v>3.246 €/m2</v>
      </c>
      <c r="C183" s="1" t="str">
        <f>IFERROR(__xludf.DUMMYFUNCTION("""COMPUTED_VALUE"""),"- 0,5 %")</f>
        <v>- 0,5 %</v>
      </c>
      <c r="D183" s="1" t="str">
        <f>IFERROR(__xludf.DUMMYFUNCTION("""COMPUTED_VALUE"""),"+ 1,7 %")</f>
        <v>+ 1,7 %</v>
      </c>
      <c r="E183" s="1" t="str">
        <f>IFERROR(__xludf.DUMMYFUNCTION("""COMPUTED_VALUE"""),"- 2,3 %")</f>
        <v>- 2,3 %</v>
      </c>
    </row>
    <row r="184">
      <c r="A184" s="2">
        <f>IFERROR(__xludf.DUMMYFUNCTION("""COMPUTED_VALUE"""),40634.0)</f>
        <v>40634</v>
      </c>
      <c r="B184" s="1" t="str">
        <f>IFERROR(__xludf.DUMMYFUNCTION("""COMPUTED_VALUE"""),"3.264 €/m2")</f>
        <v>3.264 €/m2</v>
      </c>
      <c r="C184" s="1" t="str">
        <f>IFERROR(__xludf.DUMMYFUNCTION("""COMPUTED_VALUE"""),"+ 2,9 %")</f>
        <v>+ 2,9 %</v>
      </c>
      <c r="D184" s="1" t="str">
        <f>IFERROR(__xludf.DUMMYFUNCTION("""COMPUTED_VALUE"""),"+ 3,2 %")</f>
        <v>+ 3,2 %</v>
      </c>
      <c r="E184" s="1" t="str">
        <f>IFERROR(__xludf.DUMMYFUNCTION("""COMPUTED_VALUE"""),"- 3,0 %")</f>
        <v>- 3,0 %</v>
      </c>
    </row>
    <row r="185">
      <c r="A185" s="2">
        <f>IFERROR(__xludf.DUMMYFUNCTION("""COMPUTED_VALUE"""),40603.0)</f>
        <v>40603</v>
      </c>
      <c r="B185" s="1" t="str">
        <f>IFERROR(__xludf.DUMMYFUNCTION("""COMPUTED_VALUE"""),"3.171 €/m2")</f>
        <v>3.171 €/m2</v>
      </c>
      <c r="C185" s="1" t="str">
        <f>IFERROR(__xludf.DUMMYFUNCTION("""COMPUTED_VALUE"""),"- 0,7 %")</f>
        <v>- 0,7 %</v>
      </c>
      <c r="D185" s="1" t="str">
        <f>IFERROR(__xludf.DUMMYFUNCTION("""COMPUTED_VALUE"""),"- 1,5 %")</f>
        <v>- 1,5 %</v>
      </c>
      <c r="E185" s="1" t="str">
        <f>IFERROR(__xludf.DUMMYFUNCTION("""COMPUTED_VALUE"""),"- 3,0 %")</f>
        <v>- 3,0 %</v>
      </c>
    </row>
    <row r="186">
      <c r="A186" s="2">
        <f>IFERROR(__xludf.DUMMYFUNCTION("""COMPUTED_VALUE"""),40575.0)</f>
        <v>40575</v>
      </c>
      <c r="B186" s="1" t="str">
        <f>IFERROR(__xludf.DUMMYFUNCTION("""COMPUTED_VALUE"""),"3.192 €/m2")</f>
        <v>3.192 €/m2</v>
      </c>
      <c r="C186" s="1" t="str">
        <f>IFERROR(__xludf.DUMMYFUNCTION("""COMPUTED_VALUE"""),"+ 0,9 %")</f>
        <v>+ 0,9 %</v>
      </c>
      <c r="D186" s="1" t="str">
        <f>IFERROR(__xludf.DUMMYFUNCTION("""COMPUTED_VALUE"""),"- 1,9 %")</f>
        <v>- 1,9 %</v>
      </c>
      <c r="E186" s="1" t="str">
        <f>IFERROR(__xludf.DUMMYFUNCTION("""COMPUTED_VALUE"""),"- 0,3 %")</f>
        <v>- 0,3 %</v>
      </c>
    </row>
    <row r="187">
      <c r="A187" s="2">
        <f>IFERROR(__xludf.DUMMYFUNCTION("""COMPUTED_VALUE"""),40544.0)</f>
        <v>40544</v>
      </c>
      <c r="B187" s="1" t="str">
        <f>IFERROR(__xludf.DUMMYFUNCTION("""COMPUTED_VALUE"""),"3.163 €/m2")</f>
        <v>3.163 €/m2</v>
      </c>
      <c r="C187" s="1" t="str">
        <f>IFERROR(__xludf.DUMMYFUNCTION("""COMPUTED_VALUE"""),"- 1,8 %")</f>
        <v>- 1,8 %</v>
      </c>
      <c r="D187" s="1" t="str">
        <f>IFERROR(__xludf.DUMMYFUNCTION("""COMPUTED_VALUE"""),"- 2,0 %")</f>
        <v>- 2,0 %</v>
      </c>
      <c r="E187" s="1" t="str">
        <f>IFERROR(__xludf.DUMMYFUNCTION("""COMPUTED_VALUE"""),"- 1,2 %")</f>
        <v>- 1,2 %</v>
      </c>
    </row>
    <row r="188">
      <c r="A188" s="2">
        <f>IFERROR(__xludf.DUMMYFUNCTION("""COMPUTED_VALUE"""),40513.0)</f>
        <v>40513</v>
      </c>
      <c r="B188" s="1" t="str">
        <f>IFERROR(__xludf.DUMMYFUNCTION("""COMPUTED_VALUE"""),"3.220 €/m2")</f>
        <v>3.220 €/m2</v>
      </c>
      <c r="C188" s="1" t="str">
        <f>IFERROR(__xludf.DUMMYFUNCTION("""COMPUTED_VALUE"""),"- 1,1 %")</f>
        <v>- 1,1 %</v>
      </c>
      <c r="D188" s="1" t="str">
        <f>IFERROR(__xludf.DUMMYFUNCTION("""COMPUTED_VALUE"""),"+ 2,5 %")</f>
        <v>+ 2,5 %</v>
      </c>
      <c r="E188" s="1" t="str">
        <f>IFERROR(__xludf.DUMMYFUNCTION("""COMPUTED_VALUE"""),"- 2,3 %")</f>
        <v>- 2,3 %</v>
      </c>
    </row>
    <row r="189">
      <c r="A189" s="2">
        <f>IFERROR(__xludf.DUMMYFUNCTION("""COMPUTED_VALUE"""),40483.0)</f>
        <v>40483</v>
      </c>
      <c r="B189" s="1" t="str">
        <f>IFERROR(__xludf.DUMMYFUNCTION("""COMPUTED_VALUE"""),"3.255 €/m2")</f>
        <v>3.255 €/m2</v>
      </c>
      <c r="C189" s="1" t="str">
        <f>IFERROR(__xludf.DUMMYFUNCTION("""COMPUTED_VALUE"""),"+ 0,8 %")</f>
        <v>+ 0,8 %</v>
      </c>
      <c r="D189" s="1" t="str">
        <f>IFERROR(__xludf.DUMMYFUNCTION("""COMPUTED_VALUE"""),"+ 2,3 %")</f>
        <v>+ 2,3 %</v>
      </c>
      <c r="E189" s="1" t="str">
        <f>IFERROR(__xludf.DUMMYFUNCTION("""COMPUTED_VALUE"""),"- 0,8 %")</f>
        <v>- 0,8 %</v>
      </c>
    </row>
    <row r="190">
      <c r="A190" s="2">
        <f>IFERROR(__xludf.DUMMYFUNCTION("""COMPUTED_VALUE"""),40452.0)</f>
        <v>40452</v>
      </c>
      <c r="B190" s="1" t="str">
        <f>IFERROR(__xludf.DUMMYFUNCTION("""COMPUTED_VALUE"""),"3.228 €/m2")</f>
        <v>3.228 €/m2</v>
      </c>
      <c r="C190" s="1" t="str">
        <f>IFERROR(__xludf.DUMMYFUNCTION("""COMPUTED_VALUE"""),"+ 2,7 %")</f>
        <v>+ 2,7 %</v>
      </c>
      <c r="D190" s="1" t="str">
        <f>IFERROR(__xludf.DUMMYFUNCTION("""COMPUTED_VALUE"""),"- 1,1 %")</f>
        <v>- 1,1 %</v>
      </c>
      <c r="E190" s="1" t="str">
        <f>IFERROR(__xludf.DUMMYFUNCTION("""COMPUTED_VALUE"""),"- 1,3 %")</f>
        <v>- 1,3 %</v>
      </c>
    </row>
    <row r="191">
      <c r="A191" s="2">
        <f>IFERROR(__xludf.DUMMYFUNCTION("""COMPUTED_VALUE"""),40422.0)</f>
        <v>40422</v>
      </c>
      <c r="B191" s="1" t="str">
        <f>IFERROR(__xludf.DUMMYFUNCTION("""COMPUTED_VALUE"""),"3.142 €/m2")</f>
        <v>3.142 €/m2</v>
      </c>
      <c r="C191" s="1" t="str">
        <f>IFERROR(__xludf.DUMMYFUNCTION("""COMPUTED_VALUE"""),"- 1,3 %")</f>
        <v>- 1,3 %</v>
      </c>
      <c r="D191" s="1" t="str">
        <f>IFERROR(__xludf.DUMMYFUNCTION("""COMPUTED_VALUE"""),"- 3,7 %")</f>
        <v>- 3,7 %</v>
      </c>
      <c r="E191" s="1" t="str">
        <f>IFERROR(__xludf.DUMMYFUNCTION("""COMPUTED_VALUE"""),"- 2,2 %")</f>
        <v>- 2,2 %</v>
      </c>
    </row>
    <row r="192">
      <c r="A192" s="2">
        <f>IFERROR(__xludf.DUMMYFUNCTION("""COMPUTED_VALUE"""),40391.0)</f>
        <v>40391</v>
      </c>
      <c r="B192" s="1" t="str">
        <f>IFERROR(__xludf.DUMMYFUNCTION("""COMPUTED_VALUE"""),"3.183 €/m2")</f>
        <v>3.183 €/m2</v>
      </c>
      <c r="C192" s="1" t="str">
        <f>IFERROR(__xludf.DUMMYFUNCTION("""COMPUTED_VALUE"""),"- 2,5 %")</f>
        <v>- 2,5 %</v>
      </c>
      <c r="D192" s="1" t="str">
        <f>IFERROR(__xludf.DUMMYFUNCTION("""COMPUTED_VALUE"""),"- 4,2 %")</f>
        <v>- 4,2 %</v>
      </c>
      <c r="E192" s="1" t="str">
        <f>IFERROR(__xludf.DUMMYFUNCTION("""COMPUTED_VALUE"""),"- 2,0 %")</f>
        <v>- 2,0 %</v>
      </c>
    </row>
    <row r="193">
      <c r="A193" s="2">
        <f>IFERROR(__xludf.DUMMYFUNCTION("""COMPUTED_VALUE"""),40360.0)</f>
        <v>40360</v>
      </c>
      <c r="B193" s="1" t="str">
        <f>IFERROR(__xludf.DUMMYFUNCTION("""COMPUTED_VALUE"""),"3.264 €/m2")</f>
        <v>3.264 €/m2</v>
      </c>
      <c r="C193" s="1" t="str">
        <f>IFERROR(__xludf.DUMMYFUNCTION("""COMPUTED_VALUE"""),"0,0 %")</f>
        <v>0,0 %</v>
      </c>
      <c r="D193" s="1" t="str">
        <f>IFERROR(__xludf.DUMMYFUNCTION("""COMPUTED_VALUE"""),"- 2,9 %")</f>
        <v>- 2,9 %</v>
      </c>
      <c r="E193" s="1" t="str">
        <f>IFERROR(__xludf.DUMMYFUNCTION("""COMPUTED_VALUE"""),"- 0,3 %")</f>
        <v>- 0,3 %</v>
      </c>
    </row>
    <row r="194">
      <c r="A194" s="2">
        <f>IFERROR(__xludf.DUMMYFUNCTION("""COMPUTED_VALUE"""),40330.0)</f>
        <v>40330</v>
      </c>
      <c r="B194" s="1" t="str">
        <f>IFERROR(__xludf.DUMMYFUNCTION("""COMPUTED_VALUE"""),"3.263 €/m2")</f>
        <v>3.263 €/m2</v>
      </c>
      <c r="C194" s="1" t="str">
        <f>IFERROR(__xludf.DUMMYFUNCTION("""COMPUTED_VALUE"""),"- 1,8 %")</f>
        <v>- 1,8 %</v>
      </c>
      <c r="D194" s="1" t="str">
        <f>IFERROR(__xludf.DUMMYFUNCTION("""COMPUTED_VALUE"""),"- 0,2 %")</f>
        <v>- 0,2 %</v>
      </c>
      <c r="E194" s="1" t="str">
        <f>IFERROR(__xludf.DUMMYFUNCTION("""COMPUTED_VALUE"""),"- 0,5 %")</f>
        <v>- 0,5 %</v>
      </c>
    </row>
    <row r="195">
      <c r="A195" s="2">
        <f>IFERROR(__xludf.DUMMYFUNCTION("""COMPUTED_VALUE"""),40299.0)</f>
        <v>40299</v>
      </c>
      <c r="B195" s="1" t="str">
        <f>IFERROR(__xludf.DUMMYFUNCTION("""COMPUTED_VALUE"""),"3.323 €/m2")</f>
        <v>3.323 €/m2</v>
      </c>
      <c r="C195" s="1" t="str">
        <f>IFERROR(__xludf.DUMMYFUNCTION("""COMPUTED_VALUE"""),"- 1,2 %")</f>
        <v>- 1,2 %</v>
      </c>
      <c r="D195" s="1" t="str">
        <f>IFERROR(__xludf.DUMMYFUNCTION("""COMPUTED_VALUE"""),"+ 3,8 %")</f>
        <v>+ 3,8 %</v>
      </c>
      <c r="E195" s="1" t="str">
        <f>IFERROR(__xludf.DUMMYFUNCTION("""COMPUTED_VALUE"""),"- 2,0 %")</f>
        <v>- 2,0 %</v>
      </c>
    </row>
    <row r="196">
      <c r="A196" s="2">
        <f>IFERROR(__xludf.DUMMYFUNCTION("""COMPUTED_VALUE"""),40269.0)</f>
        <v>40269</v>
      </c>
      <c r="B196" s="1" t="str">
        <f>IFERROR(__xludf.DUMMYFUNCTION("""COMPUTED_VALUE"""),"3.363 €/m2")</f>
        <v>3.363 €/m2</v>
      </c>
      <c r="C196" s="1" t="str">
        <f>IFERROR(__xludf.DUMMYFUNCTION("""COMPUTED_VALUE"""),"+ 2,8 %")</f>
        <v>+ 2,8 %</v>
      </c>
      <c r="D196" s="1" t="str">
        <f>IFERROR(__xludf.DUMMYFUNCTION("""COMPUTED_VALUE"""),"+ 5,0 %")</f>
        <v>+ 5,0 %</v>
      </c>
      <c r="E196" s="1" t="str">
        <f>IFERROR(__xludf.DUMMYFUNCTION("""COMPUTED_VALUE"""),"- 2,7 %")</f>
        <v>- 2,7 %</v>
      </c>
    </row>
    <row r="197">
      <c r="A197" s="2">
        <f>IFERROR(__xludf.DUMMYFUNCTION("""COMPUTED_VALUE"""),40238.0)</f>
        <v>40238</v>
      </c>
      <c r="B197" s="1" t="str">
        <f>IFERROR(__xludf.DUMMYFUNCTION("""COMPUTED_VALUE"""),"3.270 €/m2")</f>
        <v>3.270 €/m2</v>
      </c>
      <c r="C197" s="1" t="str">
        <f>IFERROR(__xludf.DUMMYFUNCTION("""COMPUTED_VALUE"""),"+ 2,1 %")</f>
        <v>+ 2,1 %</v>
      </c>
      <c r="D197" s="1" t="str">
        <f>IFERROR(__xludf.DUMMYFUNCTION("""COMPUTED_VALUE"""),"- 0,8 %")</f>
        <v>- 0,8 %</v>
      </c>
      <c r="E197" s="1" t="str">
        <f>IFERROR(__xludf.DUMMYFUNCTION("""COMPUTED_VALUE"""),"- 11,3 %")</f>
        <v>- 11,3 %</v>
      </c>
    </row>
    <row r="198">
      <c r="A198" s="2">
        <f>IFERROR(__xludf.DUMMYFUNCTION("""COMPUTED_VALUE"""),40210.0)</f>
        <v>40210</v>
      </c>
      <c r="B198" s="1" t="str">
        <f>IFERROR(__xludf.DUMMYFUNCTION("""COMPUTED_VALUE"""),"3.202 €/m2")</f>
        <v>3.202 €/m2</v>
      </c>
      <c r="C198" s="1" t="str">
        <f>IFERROR(__xludf.DUMMYFUNCTION("""COMPUTED_VALUE"""),"0,0 %")</f>
        <v>0,0 %</v>
      </c>
      <c r="D198" s="1" t="str">
        <f>IFERROR(__xludf.DUMMYFUNCTION("""COMPUTED_VALUE"""),"- 2,4 %")</f>
        <v>- 2,4 %</v>
      </c>
      <c r="E198" s="1" t="str">
        <f>IFERROR(__xludf.DUMMYFUNCTION("""COMPUTED_VALUE"""),"- 5,4 %")</f>
        <v>- 5,4 %</v>
      </c>
    </row>
    <row r="199">
      <c r="A199" s="2">
        <f>IFERROR(__xludf.DUMMYFUNCTION("""COMPUTED_VALUE"""),40179.0)</f>
        <v>40179</v>
      </c>
      <c r="B199" s="1" t="str">
        <f>IFERROR(__xludf.DUMMYFUNCTION("""COMPUTED_VALUE"""),"3.201 €/m2")</f>
        <v>3.201 €/m2</v>
      </c>
      <c r="C199" s="1" t="str">
        <f>IFERROR(__xludf.DUMMYFUNCTION("""COMPUTED_VALUE"""),"- 2,9 %")</f>
        <v>- 2,9 %</v>
      </c>
      <c r="D199" s="1" t="str">
        <f>IFERROR(__xludf.DUMMYFUNCTION("""COMPUTED_VALUE"""),"- 2,1 %")</f>
        <v>- 2,1 %</v>
      </c>
      <c r="E199" s="1" t="str">
        <f>IFERROR(__xludf.DUMMYFUNCTION("""COMPUTED_VALUE"""),"- 5,4 %")</f>
        <v>- 5,4 %</v>
      </c>
    </row>
    <row r="200">
      <c r="A200" s="2">
        <f>IFERROR(__xludf.DUMMYFUNCTION("""COMPUTED_VALUE"""),40148.0)</f>
        <v>40148</v>
      </c>
      <c r="B200" s="1" t="str">
        <f>IFERROR(__xludf.DUMMYFUNCTION("""COMPUTED_VALUE"""),"3.296 €/m2")</f>
        <v>3.296 €/m2</v>
      </c>
      <c r="C200" s="1" t="str">
        <f>IFERROR(__xludf.DUMMYFUNCTION("""COMPUTED_VALUE"""),"+ 0,5 %")</f>
        <v>+ 0,5 %</v>
      </c>
      <c r="D200" s="1" t="str">
        <f>IFERROR(__xludf.DUMMYFUNCTION("""COMPUTED_VALUE"""),"+ 2,6 %")</f>
        <v>+ 2,6 %</v>
      </c>
      <c r="E200" s="1" t="str">
        <f>IFERROR(__xludf.DUMMYFUNCTION("""COMPUTED_VALUE"""),"- 6,6 %")</f>
        <v>- 6,6 %</v>
      </c>
    </row>
    <row r="201">
      <c r="A201" s="2">
        <f>IFERROR(__xludf.DUMMYFUNCTION("""COMPUTED_VALUE"""),40118.0)</f>
        <v>40118</v>
      </c>
      <c r="B201" s="1" t="str">
        <f>IFERROR(__xludf.DUMMYFUNCTION("""COMPUTED_VALUE"""),"3.281 €/m2")</f>
        <v>3.281 €/m2</v>
      </c>
      <c r="C201" s="1" t="str">
        <f>IFERROR(__xludf.DUMMYFUNCTION("""COMPUTED_VALUE"""),"+ 0,4 %")</f>
        <v>+ 0,4 %</v>
      </c>
      <c r="D201" s="1" t="str">
        <f>IFERROR(__xludf.DUMMYFUNCTION("""COMPUTED_VALUE"""),"+ 1,0 %")</f>
        <v>+ 1,0 %</v>
      </c>
      <c r="E201" s="1" t="str">
        <f>IFERROR(__xludf.DUMMYFUNCTION("""COMPUTED_VALUE"""),"- 6,4 %")</f>
        <v>- 6,4 %</v>
      </c>
    </row>
    <row r="202">
      <c r="A202" s="2">
        <f>IFERROR(__xludf.DUMMYFUNCTION("""COMPUTED_VALUE"""),40087.0)</f>
        <v>40087</v>
      </c>
      <c r="B202" s="1" t="str">
        <f>IFERROR(__xludf.DUMMYFUNCTION("""COMPUTED_VALUE"""),"3.269 €/m2")</f>
        <v>3.269 €/m2</v>
      </c>
      <c r="C202" s="1" t="str">
        <f>IFERROR(__xludf.DUMMYFUNCTION("""COMPUTED_VALUE"""),"+ 1,8 %")</f>
        <v>+ 1,8 %</v>
      </c>
      <c r="D202" s="1" t="str">
        <f>IFERROR(__xludf.DUMMYFUNCTION("""COMPUTED_VALUE"""),"- 0,2 %")</f>
        <v>- 0,2 %</v>
      </c>
      <c r="E202" s="1" t="str">
        <f>IFERROR(__xludf.DUMMYFUNCTION("""COMPUTED_VALUE"""),"- 7,1 %")</f>
        <v>- 7,1 %</v>
      </c>
    </row>
    <row r="203">
      <c r="A203" s="2">
        <f>IFERROR(__xludf.DUMMYFUNCTION("""COMPUTED_VALUE"""),40057.0)</f>
        <v>40057</v>
      </c>
      <c r="B203" s="1" t="str">
        <f>IFERROR(__xludf.DUMMYFUNCTION("""COMPUTED_VALUE"""),"3.213 €/m2")</f>
        <v>3.213 €/m2</v>
      </c>
      <c r="C203" s="1" t="str">
        <f>IFERROR(__xludf.DUMMYFUNCTION("""COMPUTED_VALUE"""),"- 1,1 %")</f>
        <v>- 1,1 %</v>
      </c>
      <c r="D203" s="1" t="str">
        <f>IFERROR(__xludf.DUMMYFUNCTION("""COMPUTED_VALUE"""),"- 2,1 %")</f>
        <v>- 2,1 %</v>
      </c>
      <c r="E203" s="1" t="str">
        <f>IFERROR(__xludf.DUMMYFUNCTION("""COMPUTED_VALUE"""),"- 7,7 %")</f>
        <v>- 7,7 %</v>
      </c>
    </row>
    <row r="204">
      <c r="A204" s="2">
        <f>IFERROR(__xludf.DUMMYFUNCTION("""COMPUTED_VALUE"""),40026.0)</f>
        <v>40026</v>
      </c>
      <c r="B204" s="1" t="str">
        <f>IFERROR(__xludf.DUMMYFUNCTION("""COMPUTED_VALUE"""),"3.248 €/m2")</f>
        <v>3.248 €/m2</v>
      </c>
      <c r="C204" s="1" t="str">
        <f>IFERROR(__xludf.DUMMYFUNCTION("""COMPUTED_VALUE"""),"- 0,8 %")</f>
        <v>- 0,8 %</v>
      </c>
      <c r="D204" s="1" t="str">
        <f>IFERROR(__xludf.DUMMYFUNCTION("""COMPUTED_VALUE"""),"- 4,2 %")</f>
        <v>- 4,2 %</v>
      </c>
      <c r="E204" s="1" t="str">
        <f>IFERROR(__xludf.DUMMYFUNCTION("""COMPUTED_VALUE"""),"- 9,3 %")</f>
        <v>- 9,3 %</v>
      </c>
    </row>
    <row r="205">
      <c r="A205" s="2">
        <f>IFERROR(__xludf.DUMMYFUNCTION("""COMPUTED_VALUE"""),39995.0)</f>
        <v>39995</v>
      </c>
      <c r="B205" s="1" t="str">
        <f>IFERROR(__xludf.DUMMYFUNCTION("""COMPUTED_VALUE"""),"3.275 €/m2")</f>
        <v>3.275 €/m2</v>
      </c>
      <c r="C205" s="1" t="str">
        <f>IFERROR(__xludf.DUMMYFUNCTION("""COMPUTED_VALUE"""),"- 0,2 %")</f>
        <v>- 0,2 %</v>
      </c>
      <c r="D205" s="1" t="str">
        <f>IFERROR(__xludf.DUMMYFUNCTION("""COMPUTED_VALUE"""),"- 5,3 %")</f>
        <v>- 5,3 %</v>
      </c>
      <c r="E205" s="1" t="str">
        <f>IFERROR(__xludf.DUMMYFUNCTION("""COMPUTED_VALUE"""),"- 5,9 %")</f>
        <v>- 5,9 %</v>
      </c>
    </row>
    <row r="206">
      <c r="A206" s="2">
        <f>IFERROR(__xludf.DUMMYFUNCTION("""COMPUTED_VALUE"""),39965.0)</f>
        <v>39965</v>
      </c>
      <c r="B206" s="1" t="str">
        <f>IFERROR(__xludf.DUMMYFUNCTION("""COMPUTED_VALUE"""),"3.281 €/m2")</f>
        <v>3.281 €/m2</v>
      </c>
      <c r="C206" s="1" t="str">
        <f>IFERROR(__xludf.DUMMYFUNCTION("""COMPUTED_VALUE"""),"- 3,3 %")</f>
        <v>- 3,3 %</v>
      </c>
      <c r="D206" s="1" t="str">
        <f>IFERROR(__xludf.DUMMYFUNCTION("""COMPUTED_VALUE"""),"- 11,0 %")</f>
        <v>- 11,0 %</v>
      </c>
      <c r="E206" s="1" t="str">
        <f>IFERROR(__xludf.DUMMYFUNCTION("""COMPUTED_VALUE"""),"+ 2,2 %")</f>
        <v>+ 2,2 %</v>
      </c>
    </row>
    <row r="207">
      <c r="A207" s="2">
        <f>IFERROR(__xludf.DUMMYFUNCTION("""COMPUTED_VALUE"""),39934.0)</f>
        <v>39934</v>
      </c>
      <c r="B207" s="1" t="str">
        <f>IFERROR(__xludf.DUMMYFUNCTION("""COMPUTED_VALUE"""),"3.392 €/m2")</f>
        <v>3.392 €/m2</v>
      </c>
      <c r="C207" s="1" t="str">
        <f>IFERROR(__xludf.DUMMYFUNCTION("""COMPUTED_VALUE"""),"- 1,9 %")</f>
        <v>- 1,9 %</v>
      </c>
      <c r="D207" s="1" t="str">
        <f>IFERROR(__xludf.DUMMYFUNCTION("""COMPUTED_VALUE"""),"+ 0,2 %")</f>
        <v>+ 0,2 %</v>
      </c>
      <c r="E207" s="1" t="str">
        <f>IFERROR(__xludf.DUMMYFUNCTION("""COMPUTED_VALUE"""),"+ 4,7 %")</f>
        <v>+ 4,7 %</v>
      </c>
    </row>
    <row r="208">
      <c r="A208" s="2">
        <f>IFERROR(__xludf.DUMMYFUNCTION("""COMPUTED_VALUE"""),39904.0)</f>
        <v>39904</v>
      </c>
      <c r="B208" s="1" t="str">
        <f>IFERROR(__xludf.DUMMYFUNCTION("""COMPUTED_VALUE"""),"3.458 €/m2")</f>
        <v>3.458 €/m2</v>
      </c>
      <c r="C208" s="1" t="str">
        <f>IFERROR(__xludf.DUMMYFUNCTION("""COMPUTED_VALUE"""),"- 6,2 %")</f>
        <v>- 6,2 %</v>
      </c>
      <c r="D208" s="1" t="str">
        <f>IFERROR(__xludf.DUMMYFUNCTION("""COMPUTED_VALUE"""),"+ 2,2 %")</f>
        <v>+ 2,2 %</v>
      </c>
      <c r="E208" s="1" t="str">
        <f>IFERROR(__xludf.DUMMYFUNCTION("""COMPUTED_VALUE"""),"n.d.")</f>
        <v>n.d.</v>
      </c>
    </row>
    <row r="209">
      <c r="A209" s="2">
        <f>IFERROR(__xludf.DUMMYFUNCTION("""COMPUTED_VALUE"""),39873.0)</f>
        <v>39873</v>
      </c>
      <c r="B209" s="1" t="str">
        <f>IFERROR(__xludf.DUMMYFUNCTION("""COMPUTED_VALUE"""),"3.686 €/m2")</f>
        <v>3.686 €/m2</v>
      </c>
      <c r="C209" s="1" t="str">
        <f>IFERROR(__xludf.DUMMYFUNCTION("""COMPUTED_VALUE"""),"+ 8,9 %")</f>
        <v>+ 8,9 %</v>
      </c>
      <c r="D209" s="1" t="str">
        <f>IFERROR(__xludf.DUMMYFUNCTION("""COMPUTED_VALUE"""),"+ 4,5 %")</f>
        <v>+ 4,5 %</v>
      </c>
      <c r="E209" s="1" t="str">
        <f>IFERROR(__xludf.DUMMYFUNCTION("""COMPUTED_VALUE"""),"n.d.")</f>
        <v>n.d.</v>
      </c>
    </row>
    <row r="210">
      <c r="A210" s="2">
        <f>IFERROR(__xludf.DUMMYFUNCTION("""COMPUTED_VALUE"""),39845.0)</f>
        <v>39845</v>
      </c>
      <c r="B210" s="1" t="str">
        <f>IFERROR(__xludf.DUMMYFUNCTION("""COMPUTED_VALUE"""),"3.384 €/m2")</f>
        <v>3.384 €/m2</v>
      </c>
      <c r="C210" s="1" t="str">
        <f>IFERROR(__xludf.DUMMYFUNCTION("""COMPUTED_VALUE"""),"0,0 %")</f>
        <v>0,0 %</v>
      </c>
      <c r="D210" s="1" t="str">
        <f>IFERROR(__xludf.DUMMYFUNCTION("""COMPUTED_VALUE"""),"- 3,5 %")</f>
        <v>- 3,5 %</v>
      </c>
      <c r="E210" s="1" t="str">
        <f>IFERROR(__xludf.DUMMYFUNCTION("""COMPUTED_VALUE"""),"n.d.")</f>
        <v>n.d.</v>
      </c>
    </row>
    <row r="211">
      <c r="A211" s="2">
        <f>IFERROR(__xludf.DUMMYFUNCTION("""COMPUTED_VALUE"""),39814.0)</f>
        <v>39814</v>
      </c>
      <c r="B211" s="1" t="str">
        <f>IFERROR(__xludf.DUMMYFUNCTION("""COMPUTED_VALUE"""),"3.384 €/m2")</f>
        <v>3.384 €/m2</v>
      </c>
      <c r="C211" s="1" t="str">
        <f>IFERROR(__xludf.DUMMYFUNCTION("""COMPUTED_VALUE"""),"- 4,1 %")</f>
        <v>- 4,1 %</v>
      </c>
      <c r="D211" s="1" t="str">
        <f>IFERROR(__xludf.DUMMYFUNCTION("""COMPUTED_VALUE"""),"- 3,8 %")</f>
        <v>- 3,8 %</v>
      </c>
      <c r="E211" s="1" t="str">
        <f>IFERROR(__xludf.DUMMYFUNCTION("""COMPUTED_VALUE"""),"n.d.")</f>
        <v>n.d.</v>
      </c>
    </row>
    <row r="212">
      <c r="A212" s="2">
        <f>IFERROR(__xludf.DUMMYFUNCTION("""COMPUTED_VALUE"""),39783.0)</f>
        <v>39783</v>
      </c>
      <c r="B212" s="1" t="str">
        <f>IFERROR(__xludf.DUMMYFUNCTION("""COMPUTED_VALUE"""),"3.528 €/m2")</f>
        <v>3.528 €/m2</v>
      </c>
      <c r="C212" s="1" t="str">
        <f>IFERROR(__xludf.DUMMYFUNCTION("""COMPUTED_VALUE"""),"+ 0,6 %")</f>
        <v>+ 0,6 %</v>
      </c>
      <c r="D212" s="1" t="str">
        <f>IFERROR(__xludf.DUMMYFUNCTION("""COMPUTED_VALUE"""),"+ 1,3 %")</f>
        <v>+ 1,3 %</v>
      </c>
      <c r="E212" s="1" t="str">
        <f>IFERROR(__xludf.DUMMYFUNCTION("""COMPUTED_VALUE"""),"n.d.")</f>
        <v>n.d.</v>
      </c>
    </row>
    <row r="213">
      <c r="A213" s="2">
        <f>IFERROR(__xludf.DUMMYFUNCTION("""COMPUTED_VALUE"""),39753.0)</f>
        <v>39753</v>
      </c>
      <c r="B213" s="1" t="str">
        <f>IFERROR(__xludf.DUMMYFUNCTION("""COMPUTED_VALUE"""),"3.506 €/m2")</f>
        <v>3.506 €/m2</v>
      </c>
      <c r="C213" s="1" t="str">
        <f>IFERROR(__xludf.DUMMYFUNCTION("""COMPUTED_VALUE"""),"- 0,3 %")</f>
        <v>- 0,3 %</v>
      </c>
      <c r="D213" s="1" t="str">
        <f>IFERROR(__xludf.DUMMYFUNCTION("""COMPUTED_VALUE"""),"- 2,1 %")</f>
        <v>- 2,1 %</v>
      </c>
      <c r="E213" s="1" t="str">
        <f>IFERROR(__xludf.DUMMYFUNCTION("""COMPUTED_VALUE"""),"n.d.")</f>
        <v>n.d.</v>
      </c>
    </row>
    <row r="214">
      <c r="A214" s="2">
        <f>IFERROR(__xludf.DUMMYFUNCTION("""COMPUTED_VALUE"""),39722.0)</f>
        <v>39722</v>
      </c>
      <c r="B214" s="1" t="str">
        <f>IFERROR(__xludf.DUMMYFUNCTION("""COMPUTED_VALUE"""),"3.518 €/m2")</f>
        <v>3.518 €/m2</v>
      </c>
      <c r="C214" s="1" t="str">
        <f>IFERROR(__xludf.DUMMYFUNCTION("""COMPUTED_VALUE"""),"+ 1,0 %")</f>
        <v>+ 1,0 %</v>
      </c>
      <c r="D214" s="1" t="str">
        <f>IFERROR(__xludf.DUMMYFUNCTION("""COMPUTED_VALUE"""),"+ 1,1 %")</f>
        <v>+ 1,1 %</v>
      </c>
      <c r="E214" s="1" t="str">
        <f>IFERROR(__xludf.DUMMYFUNCTION("""COMPUTED_VALUE"""),"n.d.")</f>
        <v>n.d.</v>
      </c>
    </row>
    <row r="215">
      <c r="A215" s="2">
        <f>IFERROR(__xludf.DUMMYFUNCTION("""COMPUTED_VALUE"""),39692.0)</f>
        <v>39692</v>
      </c>
      <c r="B215" s="1" t="str">
        <f>IFERROR(__xludf.DUMMYFUNCTION("""COMPUTED_VALUE"""),"3.482 €/m2")</f>
        <v>3.482 €/m2</v>
      </c>
      <c r="C215" s="1" t="str">
        <f>IFERROR(__xludf.DUMMYFUNCTION("""COMPUTED_VALUE"""),"- 2,7 %")</f>
        <v>- 2,7 %</v>
      </c>
      <c r="D215" s="1" t="str">
        <f>IFERROR(__xludf.DUMMYFUNCTION("""COMPUTED_VALUE"""),"+ 8,5 %")</f>
        <v>+ 8,5 %</v>
      </c>
      <c r="E215" s="1" t="str">
        <f>IFERROR(__xludf.DUMMYFUNCTION("""COMPUTED_VALUE"""),"n.d.")</f>
        <v>n.d.</v>
      </c>
    </row>
    <row r="216">
      <c r="A216" s="2">
        <f>IFERROR(__xludf.DUMMYFUNCTION("""COMPUTED_VALUE"""),39661.0)</f>
        <v>39661</v>
      </c>
      <c r="B216" s="1" t="str">
        <f>IFERROR(__xludf.DUMMYFUNCTION("""COMPUTED_VALUE"""),"3.579 €/m2")</f>
        <v>3.579 €/m2</v>
      </c>
      <c r="C216" s="1" t="str">
        <f>IFERROR(__xludf.DUMMYFUNCTION("""COMPUTED_VALUE"""),"+ 2,8 %")</f>
        <v>+ 2,8 %</v>
      </c>
      <c r="D216" s="1" t="str">
        <f>IFERROR(__xludf.DUMMYFUNCTION("""COMPUTED_VALUE"""),"+ 10,5 %")</f>
        <v>+ 10,5 %</v>
      </c>
      <c r="E216" s="1" t="str">
        <f>IFERROR(__xludf.DUMMYFUNCTION("""COMPUTED_VALUE"""),"n.d.")</f>
        <v>n.d.</v>
      </c>
    </row>
    <row r="217">
      <c r="A217" s="2">
        <f>IFERROR(__xludf.DUMMYFUNCTION("""COMPUTED_VALUE"""),39630.0)</f>
        <v>39630</v>
      </c>
      <c r="B217" s="1" t="str">
        <f>IFERROR(__xludf.DUMMYFUNCTION("""COMPUTED_VALUE"""),"3.481 €/m2")</f>
        <v>3.481 €/m2</v>
      </c>
      <c r="C217" s="1" t="str">
        <f>IFERROR(__xludf.DUMMYFUNCTION("""COMPUTED_VALUE"""),"+ 8,5 %")</f>
        <v>+ 8,5 %</v>
      </c>
      <c r="D217" s="1" t="str">
        <f>IFERROR(__xludf.DUMMYFUNCTION("""COMPUTED_VALUE"""),"n.d.")</f>
        <v>n.d.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IFERROR(__xludf.DUMMYFUNCTION("""COMPUTED_VALUE"""),"3.210 €/m2")</f>
        <v>3.210 €/m2</v>
      </c>
      <c r="C218" s="1" t="str">
        <f>IFERROR(__xludf.DUMMYFUNCTION("""COMPUTED_VALUE"""),"- 1,0 %")</f>
        <v>- 1,0 %</v>
      </c>
      <c r="D218" s="1" t="str">
        <f>IFERROR(__xludf.DUMMYFUNCTION("""COMPUTED_VALUE"""),"n.d.")</f>
        <v>n.d.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IFERROR(__xludf.DUMMYFUNCTION("""COMPUTED_VALUE"""),"3.240 €/m2")</f>
        <v>3.240 €/m2</v>
      </c>
      <c r="C219" s="1" t="str">
        <f>IFERROR(__xludf.DUMMYFUNCTION("""COMPUTED_VALUE"""),"n.d.")</f>
        <v>n.d.</v>
      </c>
      <c r="D219" s="1" t="str">
        <f>IFERROR(__xludf.DUMMYFUNCTION("""COMPUTED_VALUE"""),"n.d.")</f>
        <v>n.d.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IFERROR(__xludf.DUMMYFUNCTION("""COMPUTED_VALUE"""),"n.d.")</f>
        <v>n.d.</v>
      </c>
      <c r="C220" s="1" t="str">
        <f>IFERROR(__xludf.DUMMYFUNCTION("""COMPUTED_VALUE"""),"n.d.")</f>
        <v>n.d.</v>
      </c>
      <c r="D220" s="1" t="str">
        <f>IFERROR(__xludf.DUMMYFUNCTION("""COMPUTED_VALUE"""),"n.d.")</f>
        <v>n.d.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IFERROR(__xludf.DUMMYFUNCTION("""COMPUTED_VALUE"""),"n.d.")</f>
        <v>n.d.</v>
      </c>
      <c r="C221" s="1" t="str">
        <f>IFERROR(__xludf.DUMMYFUNCTION("""COMPUTED_VALUE"""),"n.d.")</f>
        <v>n.d.</v>
      </c>
      <c r="D221" s="1" t="str">
        <f>IFERROR(__xludf.DUMMYFUNCTION("""COMPUTED_VALUE"""),"n.d.")</f>
        <v>n.d.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IFERROR(__xludf.DUMMYFUNCTION("""COMPUTED_VALUE"""),"n.d.")</f>
        <v>n.d.</v>
      </c>
      <c r="C222" s="1" t="str">
        <f>IFERROR(__xludf.DUMMYFUNCTION("""COMPUTED_VALUE"""),"n.d.")</f>
        <v>n.d.</v>
      </c>
      <c r="D222" s="1" t="str">
        <f>IFERROR(__xludf.DUMMYFUNCTION("""COMPUTED_VALUE"""),"n.d.")</f>
        <v>n.d.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IFERROR(__xludf.DUMMYFUNCTION("""COMPUTED_VALUE"""),"n.d.")</f>
        <v>n.d.</v>
      </c>
      <c r="C223" s="1" t="str">
        <f>IFERROR(__xludf.DUMMYFUNCTION("""COMPUTED_VALUE"""),"n.d.")</f>
        <v>n.d.</v>
      </c>
      <c r="D223" s="1" t="str">
        <f>IFERROR(__xludf.DUMMYFUNCTION("""COMPUTED_VALUE"""),"n.d.")</f>
        <v>n.d.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IFERROR(__xludf.DUMMYFUNCTION("""COMPUTED_VALUE"""),"n.d.")</f>
        <v>n.d.</v>
      </c>
      <c r="C224" s="1" t="str">
        <f>IFERROR(__xludf.DUMMYFUNCTION("""COMPUTED_VALUE"""),"n.d.")</f>
        <v>n.d.</v>
      </c>
      <c r="D224" s="1" t="str">
        <f>IFERROR(__xludf.DUMMYFUNCTION("""COMPUTED_VALUE"""),"n.d.")</f>
        <v>n.d.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IFERROR(__xludf.DUMMYFUNCTION("""COMPUTED_VALUE"""),"n.d.")</f>
        <v>n.d.</v>
      </c>
      <c r="C225" s="1" t="str">
        <f>IFERROR(__xludf.DUMMYFUNCTION("""COMPUTED_VALUE"""),"n.d.")</f>
        <v>n.d.</v>
      </c>
      <c r="D225" s="1" t="str">
        <f>IFERROR(__xludf.DUMMYFUNCTION("""COMPUTED_VALUE"""),"n.d.")</f>
        <v>n.d.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IFERROR(__xludf.DUMMYFUNCTION("""COMPUTED_VALUE"""),"n.d.")</f>
        <v>n.d.</v>
      </c>
      <c r="C226" s="1" t="str">
        <f>IFERROR(__xludf.DUMMYFUNCTION("""COMPUTED_VALUE"""),"n.d.")</f>
        <v>n.d.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IFERROR(__xludf.DUMMYFUNCTION("""COMPUTED_VALUE"""),"n.d.")</f>
        <v>n.d.</v>
      </c>
      <c r="C227" s="1" t="str">
        <f>IFERROR(__xludf.DUMMYFUNCTION("""COMPUTED_VALUE"""),"n.d.")</f>
        <v>n.d.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IFERROR(__xludf.DUMMYFUNCTION("""COMPUTED_VALUE"""),"n.d.")</f>
        <v>n.d.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IFERROR(__xludf.DUMMYFUNCTION("IMPORTHTML(""https://www.idealista.com/sala-de-prensa/informes-precio-vivienda/venta/madrid-comunidad/madrid-provincia/madrid/carabanchel/historico/"",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IFERROR(__xludf.DUMMYFUNCTION("""COMPUTED_VALUE"""),"3.790 €/m2")</f>
        <v>3.790 €/m2</v>
      </c>
      <c r="C2" s="1" t="str">
        <f>IFERROR(__xludf.DUMMYFUNCTION("""COMPUTED_VALUE"""),"+ 0,6 %")</f>
        <v>+ 0,6 %</v>
      </c>
      <c r="D2" s="1" t="str">
        <f>IFERROR(__xludf.DUMMYFUNCTION("""COMPUTED_VALUE"""),"+ 3,6 %")</f>
        <v>+ 3,6 %</v>
      </c>
      <c r="E2" s="1" t="str">
        <f>IFERROR(__xludf.DUMMYFUNCTION("""COMPUTED_VALUE"""),"+ 14,5 %")</f>
        <v>+ 14,5 %</v>
      </c>
    </row>
    <row r="3">
      <c r="A3" s="2">
        <f>IFERROR(__xludf.DUMMYFUNCTION("""COMPUTED_VALUE"""),46143.0)</f>
        <v>46143</v>
      </c>
      <c r="B3" s="1" t="str">
        <f>IFERROR(__xludf.DUMMYFUNCTION("""COMPUTED_VALUE"""),"3.767 €/m2")</f>
        <v>3.767 €/m2</v>
      </c>
      <c r="C3" s="1" t="str">
        <f>IFERROR(__xludf.DUMMYFUNCTION("""COMPUTED_VALUE"""),"+ 1,3 %")</f>
        <v>+ 1,3 %</v>
      </c>
      <c r="D3" s="1" t="str">
        <f>IFERROR(__xludf.DUMMYFUNCTION("""COMPUTED_VALUE"""),"+ 4,8 %")</f>
        <v>+ 4,8 %</v>
      </c>
      <c r="E3" s="1" t="str">
        <f>IFERROR(__xludf.DUMMYFUNCTION("""COMPUTED_VALUE"""),"+ 16,6 %")</f>
        <v>+ 16,6 %</v>
      </c>
    </row>
    <row r="4">
      <c r="A4" s="2">
        <f>IFERROR(__xludf.DUMMYFUNCTION("""COMPUTED_VALUE"""),46113.0)</f>
        <v>46113</v>
      </c>
      <c r="B4" s="1" t="str">
        <f>IFERROR(__xludf.DUMMYFUNCTION("""COMPUTED_VALUE"""),"3.718 €/m2")</f>
        <v>3.718 €/m2</v>
      </c>
      <c r="C4" s="1" t="str">
        <f>IFERROR(__xludf.DUMMYFUNCTION("""COMPUTED_VALUE"""),"+ 1,7 %")</f>
        <v>+ 1,7 %</v>
      </c>
      <c r="D4" s="1" t="str">
        <f>IFERROR(__xludf.DUMMYFUNCTION("""COMPUTED_VALUE"""),"+ 4,1 %")</f>
        <v>+ 4,1 %</v>
      </c>
      <c r="E4" s="1" t="str">
        <f>IFERROR(__xludf.DUMMYFUNCTION("""COMPUTED_VALUE"""),"+ 18,4 %")</f>
        <v>+ 18,4 %</v>
      </c>
    </row>
    <row r="5">
      <c r="A5" s="2">
        <f>IFERROR(__xludf.DUMMYFUNCTION("""COMPUTED_VALUE"""),46082.0)</f>
        <v>46082</v>
      </c>
      <c r="B5" s="1" t="str">
        <f>IFERROR(__xludf.DUMMYFUNCTION("""COMPUTED_VALUE"""),"3.656 €/m2")</f>
        <v>3.656 €/m2</v>
      </c>
      <c r="C5" s="1" t="str">
        <f>IFERROR(__xludf.DUMMYFUNCTION("""COMPUTED_VALUE"""),"+ 1,7 %")</f>
        <v>+ 1,7 %</v>
      </c>
      <c r="D5" s="1" t="str">
        <f>IFERROR(__xludf.DUMMYFUNCTION("""COMPUTED_VALUE"""),"+ 2,8 %")</f>
        <v>+ 2,8 %</v>
      </c>
      <c r="E5" s="1" t="str">
        <f>IFERROR(__xludf.DUMMYFUNCTION("""COMPUTED_VALUE"""),"+ 20,3 %")</f>
        <v>+ 20,3 %</v>
      </c>
    </row>
    <row r="6">
      <c r="A6" s="2">
        <f>IFERROR(__xludf.DUMMYFUNCTION("""COMPUTED_VALUE"""),46054.0)</f>
        <v>46054</v>
      </c>
      <c r="B6" s="1" t="str">
        <f>IFERROR(__xludf.DUMMYFUNCTION("""COMPUTED_VALUE"""),"3.595 €/m2")</f>
        <v>3.595 €/m2</v>
      </c>
      <c r="C6" s="1" t="str">
        <f>IFERROR(__xludf.DUMMYFUNCTION("""COMPUTED_VALUE"""),"+ 0,6 %")</f>
        <v>+ 0,6 %</v>
      </c>
      <c r="D6" s="1" t="str">
        <f>IFERROR(__xludf.DUMMYFUNCTION("""COMPUTED_VALUE"""),"+ 2,0 %")</f>
        <v>+ 2,0 %</v>
      </c>
      <c r="E6" s="1" t="str">
        <f>IFERROR(__xludf.DUMMYFUNCTION("""COMPUTED_VALUE"""),"+ 20,5 %")</f>
        <v>+ 20,5 %</v>
      </c>
    </row>
    <row r="7">
      <c r="A7" s="2">
        <f>IFERROR(__xludf.DUMMYFUNCTION("""COMPUTED_VALUE"""),46023.0)</f>
        <v>46023</v>
      </c>
      <c r="B7" s="1" t="str">
        <f>IFERROR(__xludf.DUMMYFUNCTION("""COMPUTED_VALUE"""),"3.573 €/m2")</f>
        <v>3.573 €/m2</v>
      </c>
      <c r="C7" s="1" t="str">
        <f>IFERROR(__xludf.DUMMYFUNCTION("""COMPUTED_VALUE"""),"+ 0,5 %")</f>
        <v>+ 0,5 %</v>
      </c>
      <c r="D7" s="1" t="str">
        <f>IFERROR(__xludf.DUMMYFUNCTION("""COMPUTED_VALUE"""),"+ 3,1 %")</f>
        <v>+ 3,1 %</v>
      </c>
      <c r="E7" s="1" t="str">
        <f>IFERROR(__xludf.DUMMYFUNCTION("""COMPUTED_VALUE"""),"+ 23,0 %")</f>
        <v>+ 23,0 %</v>
      </c>
    </row>
    <row r="8">
      <c r="A8" s="2">
        <f>IFERROR(__xludf.DUMMYFUNCTION("""COMPUTED_VALUE"""),45992.0)</f>
        <v>45992</v>
      </c>
      <c r="B8" s="1" t="str">
        <f>IFERROR(__xludf.DUMMYFUNCTION("""COMPUTED_VALUE"""),"3.557 €/m2")</f>
        <v>3.557 €/m2</v>
      </c>
      <c r="C8" s="1" t="str">
        <f>IFERROR(__xludf.DUMMYFUNCTION("""COMPUTED_VALUE"""),"+ 0,9 %")</f>
        <v>+ 0,9 %</v>
      </c>
      <c r="D8" s="1" t="str">
        <f>IFERROR(__xludf.DUMMYFUNCTION("""COMPUTED_VALUE"""),"+ 5,0 %")</f>
        <v>+ 5,0 %</v>
      </c>
      <c r="E8" s="1" t="str">
        <f>IFERROR(__xludf.DUMMYFUNCTION("""COMPUTED_VALUE"""),"+ 21,3 %")</f>
        <v>+ 21,3 %</v>
      </c>
    </row>
    <row r="9">
      <c r="A9" s="2">
        <f>IFERROR(__xludf.DUMMYFUNCTION("""COMPUTED_VALUE"""),45962.0)</f>
        <v>45962</v>
      </c>
      <c r="B9" s="1" t="str">
        <f>IFERROR(__xludf.DUMMYFUNCTION("""COMPUTED_VALUE"""),"3.525 €/m2")</f>
        <v>3.525 €/m2</v>
      </c>
      <c r="C9" s="1" t="str">
        <f>IFERROR(__xludf.DUMMYFUNCTION("""COMPUTED_VALUE"""),"+ 1,7 %")</f>
        <v>+ 1,7 %</v>
      </c>
      <c r="D9" s="1" t="str">
        <f>IFERROR(__xludf.DUMMYFUNCTION("""COMPUTED_VALUE"""),"+ 4,8 %")</f>
        <v>+ 4,8 %</v>
      </c>
      <c r="E9" s="1" t="str">
        <f>IFERROR(__xludf.DUMMYFUNCTION("""COMPUTED_VALUE"""),"+ 22,0 %")</f>
        <v>+ 22,0 %</v>
      </c>
    </row>
    <row r="10">
      <c r="A10" s="2">
        <f>IFERROR(__xludf.DUMMYFUNCTION("""COMPUTED_VALUE"""),45931.0)</f>
        <v>45931</v>
      </c>
      <c r="B10" s="1" t="str">
        <f>IFERROR(__xludf.DUMMYFUNCTION("""COMPUTED_VALUE"""),"3.467 €/m2")</f>
        <v>3.467 €/m2</v>
      </c>
      <c r="C10" s="1" t="str">
        <f>IFERROR(__xludf.DUMMYFUNCTION("""COMPUTED_VALUE"""),"+ 2,3 %")</f>
        <v>+ 2,3 %</v>
      </c>
      <c r="D10" s="1" t="str">
        <f>IFERROR(__xludf.DUMMYFUNCTION("""COMPUTED_VALUE"""),"+ 3,4 %")</f>
        <v>+ 3,4 %</v>
      </c>
      <c r="E10" s="1" t="str">
        <f>IFERROR(__xludf.DUMMYFUNCTION("""COMPUTED_VALUE"""),"+ 23,0 %")</f>
        <v>+ 23,0 %</v>
      </c>
    </row>
    <row r="11">
      <c r="A11" s="2">
        <f>IFERROR(__xludf.DUMMYFUNCTION("""COMPUTED_VALUE"""),45901.0)</f>
        <v>45901</v>
      </c>
      <c r="B11" s="1" t="str">
        <f>IFERROR(__xludf.DUMMYFUNCTION("""COMPUTED_VALUE"""),"3.388 €/m2")</f>
        <v>3.388 €/m2</v>
      </c>
      <c r="C11" s="1" t="str">
        <f>IFERROR(__xludf.DUMMYFUNCTION("""COMPUTED_VALUE"""),"+ 0,7 %")</f>
        <v>+ 0,7 %</v>
      </c>
      <c r="D11" s="1" t="str">
        <f>IFERROR(__xludf.DUMMYFUNCTION("""COMPUTED_VALUE"""),"+ 2,4 %")</f>
        <v>+ 2,4 %</v>
      </c>
      <c r="E11" s="1" t="str">
        <f>IFERROR(__xludf.DUMMYFUNCTION("""COMPUTED_VALUE"""),"+ 21,7 %")</f>
        <v>+ 21,7 %</v>
      </c>
    </row>
    <row r="12">
      <c r="A12" s="2">
        <f>IFERROR(__xludf.DUMMYFUNCTION("""COMPUTED_VALUE"""),45870.0)</f>
        <v>45870</v>
      </c>
      <c r="B12" s="1" t="str">
        <f>IFERROR(__xludf.DUMMYFUNCTION("""COMPUTED_VALUE"""),"3.365 €/m2")</f>
        <v>3.365 €/m2</v>
      </c>
      <c r="C12" s="1" t="str">
        <f>IFERROR(__xludf.DUMMYFUNCTION("""COMPUTED_VALUE"""),"+ 0,4 %")</f>
        <v>+ 0,4 %</v>
      </c>
      <c r="D12" s="1" t="str">
        <f>IFERROR(__xludf.DUMMYFUNCTION("""COMPUTED_VALUE"""),"+ 4,1 %")</f>
        <v>+ 4,1 %</v>
      </c>
      <c r="E12" s="1" t="str">
        <f>IFERROR(__xludf.DUMMYFUNCTION("""COMPUTED_VALUE"""),"+ 21,4 %")</f>
        <v>+ 21,4 %</v>
      </c>
    </row>
    <row r="13">
      <c r="A13" s="2">
        <f>IFERROR(__xludf.DUMMYFUNCTION("""COMPUTED_VALUE"""),45839.0)</f>
        <v>45839</v>
      </c>
      <c r="B13" s="1" t="str">
        <f>IFERROR(__xludf.DUMMYFUNCTION("""COMPUTED_VALUE"""),"3.353 €/m2")</f>
        <v>3.353 €/m2</v>
      </c>
      <c r="C13" s="1" t="str">
        <f>IFERROR(__xludf.DUMMYFUNCTION("""COMPUTED_VALUE"""),"+ 1,3 %")</f>
        <v>+ 1,3 %</v>
      </c>
      <c r="D13" s="1" t="str">
        <f>IFERROR(__xludf.DUMMYFUNCTION("""COMPUTED_VALUE"""),"+ 6,8 %")</f>
        <v>+ 6,8 %</v>
      </c>
      <c r="E13" s="1" t="str">
        <f>IFERROR(__xludf.DUMMYFUNCTION("""COMPUTED_VALUE"""),"+ 22,8 %")</f>
        <v>+ 22,8 %</v>
      </c>
    </row>
    <row r="14">
      <c r="A14" s="2">
        <f>IFERROR(__xludf.DUMMYFUNCTION("""COMPUTED_VALUE"""),45809.0)</f>
        <v>45809</v>
      </c>
      <c r="B14" s="1" t="str">
        <f>IFERROR(__xludf.DUMMYFUNCTION("""COMPUTED_VALUE"""),"3.308 €/m2")</f>
        <v>3.308 €/m2</v>
      </c>
      <c r="C14" s="1" t="str">
        <f>IFERROR(__xludf.DUMMYFUNCTION("""COMPUTED_VALUE"""),"+ 2,4 %")</f>
        <v>+ 2,4 %</v>
      </c>
      <c r="D14" s="1" t="str">
        <f>IFERROR(__xludf.DUMMYFUNCTION("""COMPUTED_VALUE"""),"+ 8,9 %")</f>
        <v>+ 8,9 %</v>
      </c>
      <c r="E14" s="1" t="str">
        <f>IFERROR(__xludf.DUMMYFUNCTION("""COMPUTED_VALUE"""),"+ 22,0 %")</f>
        <v>+ 22,0 %</v>
      </c>
    </row>
    <row r="15">
      <c r="A15" s="2">
        <f>IFERROR(__xludf.DUMMYFUNCTION("""COMPUTED_VALUE"""),45778.0)</f>
        <v>45778</v>
      </c>
      <c r="B15" s="1" t="str">
        <f>IFERROR(__xludf.DUMMYFUNCTION("""COMPUTED_VALUE"""),"3.231 €/m2")</f>
        <v>3.231 €/m2</v>
      </c>
      <c r="C15" s="1" t="str">
        <f>IFERROR(__xludf.DUMMYFUNCTION("""COMPUTED_VALUE"""),"+ 2,9 %")</f>
        <v>+ 2,9 %</v>
      </c>
      <c r="D15" s="1" t="str">
        <f>IFERROR(__xludf.DUMMYFUNCTION("""COMPUTED_VALUE"""),"+ 8,3 %")</f>
        <v>+ 8,3 %</v>
      </c>
      <c r="E15" s="1" t="str">
        <f>IFERROR(__xludf.DUMMYFUNCTION("""COMPUTED_VALUE"""),"+ 20,8 %")</f>
        <v>+ 20,8 %</v>
      </c>
    </row>
    <row r="16">
      <c r="A16" s="2">
        <f>IFERROR(__xludf.DUMMYFUNCTION("""COMPUTED_VALUE"""),45748.0)</f>
        <v>45748</v>
      </c>
      <c r="B16" s="1" t="str">
        <f>IFERROR(__xludf.DUMMYFUNCTION("""COMPUTED_VALUE"""),"3.140 €/m2")</f>
        <v>3.140 €/m2</v>
      </c>
      <c r="C16" s="1" t="str">
        <f>IFERROR(__xludf.DUMMYFUNCTION("""COMPUTED_VALUE"""),"+ 3,3 %")</f>
        <v>+ 3,3 %</v>
      </c>
      <c r="D16" s="1" t="str">
        <f>IFERROR(__xludf.DUMMYFUNCTION("""COMPUTED_VALUE"""),"+ 8,1 %")</f>
        <v>+ 8,1 %</v>
      </c>
      <c r="E16" s="1" t="str">
        <f>IFERROR(__xludf.DUMMYFUNCTION("""COMPUTED_VALUE"""),"+ 19,6 %")</f>
        <v>+ 19,6 %</v>
      </c>
    </row>
    <row r="17">
      <c r="A17" s="2">
        <f>IFERROR(__xludf.DUMMYFUNCTION("""COMPUTED_VALUE"""),45717.0)</f>
        <v>45717</v>
      </c>
      <c r="B17" s="1" t="str">
        <f>IFERROR(__xludf.DUMMYFUNCTION("""COMPUTED_VALUE"""),"3.039 €/m2")</f>
        <v>3.039 €/m2</v>
      </c>
      <c r="C17" s="1" t="str">
        <f>IFERROR(__xludf.DUMMYFUNCTION("""COMPUTED_VALUE"""),"+ 1,8 %")</f>
        <v>+ 1,8 %</v>
      </c>
      <c r="D17" s="1" t="str">
        <f>IFERROR(__xludf.DUMMYFUNCTION("""COMPUTED_VALUE"""),"+ 3,6 %")</f>
        <v>+ 3,6 %</v>
      </c>
      <c r="E17" s="1" t="str">
        <f>IFERROR(__xludf.DUMMYFUNCTION("""COMPUTED_VALUE"""),"+ 16,3 %")</f>
        <v>+ 16,3 %</v>
      </c>
    </row>
    <row r="18">
      <c r="A18" s="2">
        <f>IFERROR(__xludf.DUMMYFUNCTION("""COMPUTED_VALUE"""),45689.0)</f>
        <v>45689</v>
      </c>
      <c r="B18" s="1" t="str">
        <f>IFERROR(__xludf.DUMMYFUNCTION("""COMPUTED_VALUE"""),"2.984 €/m2")</f>
        <v>2.984 €/m2</v>
      </c>
      <c r="C18" s="1" t="str">
        <f>IFERROR(__xludf.DUMMYFUNCTION("""COMPUTED_VALUE"""),"+ 2,8 %")</f>
        <v>+ 2,8 %</v>
      </c>
      <c r="D18" s="1" t="str">
        <f>IFERROR(__xludf.DUMMYFUNCTION("""COMPUTED_VALUE"""),"+ 3,3 %")</f>
        <v>+ 3,3 %</v>
      </c>
      <c r="E18" s="1" t="str">
        <f>IFERROR(__xludf.DUMMYFUNCTION("""COMPUTED_VALUE"""),"+ 14,7 %")</f>
        <v>+ 14,7 %</v>
      </c>
    </row>
    <row r="19">
      <c r="A19" s="2">
        <f>IFERROR(__xludf.DUMMYFUNCTION("""COMPUTED_VALUE"""),45658.0)</f>
        <v>45658</v>
      </c>
      <c r="B19" s="1" t="str">
        <f>IFERROR(__xludf.DUMMYFUNCTION("""COMPUTED_VALUE"""),"2.904 €/m2")</f>
        <v>2.904 €/m2</v>
      </c>
      <c r="C19" s="1" t="str">
        <f>IFERROR(__xludf.DUMMYFUNCTION("""COMPUTED_VALUE"""),"- 1,0 %")</f>
        <v>- 1,0 %</v>
      </c>
      <c r="D19" s="1" t="str">
        <f>IFERROR(__xludf.DUMMYFUNCTION("""COMPUTED_VALUE"""),"+ 3,1 %")</f>
        <v>+ 3,1 %</v>
      </c>
      <c r="E19" s="1" t="str">
        <f>IFERROR(__xludf.DUMMYFUNCTION("""COMPUTED_VALUE"""),"+ 12,0 %")</f>
        <v>+ 12,0 %</v>
      </c>
    </row>
    <row r="20">
      <c r="A20" s="2">
        <f>IFERROR(__xludf.DUMMYFUNCTION("""COMPUTED_VALUE"""),45627.0)</f>
        <v>45627</v>
      </c>
      <c r="B20" s="1" t="str">
        <f>IFERROR(__xludf.DUMMYFUNCTION("""COMPUTED_VALUE"""),"2.933 €/m2")</f>
        <v>2.933 €/m2</v>
      </c>
      <c r="C20" s="1" t="str">
        <f>IFERROR(__xludf.DUMMYFUNCTION("""COMPUTED_VALUE"""),"+ 1,5 %")</f>
        <v>+ 1,5 %</v>
      </c>
      <c r="D20" s="1" t="str">
        <f>IFERROR(__xludf.DUMMYFUNCTION("""COMPUTED_VALUE"""),"+ 5,3 %")</f>
        <v>+ 5,3 %</v>
      </c>
      <c r="E20" s="1" t="str">
        <f>IFERROR(__xludf.DUMMYFUNCTION("""COMPUTED_VALUE"""),"+ 14,1 %")</f>
        <v>+ 14,1 %</v>
      </c>
    </row>
    <row r="21">
      <c r="A21" s="2">
        <f>IFERROR(__xludf.DUMMYFUNCTION("""COMPUTED_VALUE"""),45597.0)</f>
        <v>45597</v>
      </c>
      <c r="B21" s="1" t="str">
        <f>IFERROR(__xludf.DUMMYFUNCTION("""COMPUTED_VALUE"""),"2.889 €/m2")</f>
        <v>2.889 €/m2</v>
      </c>
      <c r="C21" s="1" t="str">
        <f>IFERROR(__xludf.DUMMYFUNCTION("""COMPUTED_VALUE"""),"+ 2,6 %")</f>
        <v>+ 2,6 %</v>
      </c>
      <c r="D21" s="1" t="str">
        <f>IFERROR(__xludf.DUMMYFUNCTION("""COMPUTED_VALUE"""),"+ 4,3 %")</f>
        <v>+ 4,3 %</v>
      </c>
      <c r="E21" s="1" t="str">
        <f>IFERROR(__xludf.DUMMYFUNCTION("""COMPUTED_VALUE"""),"+ 14,1 %")</f>
        <v>+ 14,1 %</v>
      </c>
    </row>
    <row r="22">
      <c r="A22" s="2">
        <f>IFERROR(__xludf.DUMMYFUNCTION("""COMPUTED_VALUE"""),45566.0)</f>
        <v>45566</v>
      </c>
      <c r="B22" s="1" t="str">
        <f>IFERROR(__xludf.DUMMYFUNCTION("""COMPUTED_VALUE"""),"2.817 €/m2")</f>
        <v>2.817 €/m2</v>
      </c>
      <c r="C22" s="1" t="str">
        <f>IFERROR(__xludf.DUMMYFUNCTION("""COMPUTED_VALUE"""),"+ 1,2 %")</f>
        <v>+ 1,2 %</v>
      </c>
      <c r="D22" s="1" t="str">
        <f>IFERROR(__xludf.DUMMYFUNCTION("""COMPUTED_VALUE"""),"+ 3,2 %")</f>
        <v>+ 3,2 %</v>
      </c>
      <c r="E22" s="1" t="str">
        <f>IFERROR(__xludf.DUMMYFUNCTION("""COMPUTED_VALUE"""),"+ 11,2 %")</f>
        <v>+ 11,2 %</v>
      </c>
    </row>
    <row r="23">
      <c r="A23" s="2">
        <f>IFERROR(__xludf.DUMMYFUNCTION("""COMPUTED_VALUE"""),45536.0)</f>
        <v>45536</v>
      </c>
      <c r="B23" s="1" t="str">
        <f>IFERROR(__xludf.DUMMYFUNCTION("""COMPUTED_VALUE"""),"2.784 €/m2")</f>
        <v>2.784 €/m2</v>
      </c>
      <c r="C23" s="1" t="str">
        <f>IFERROR(__xludf.DUMMYFUNCTION("""COMPUTED_VALUE"""),"+ 0,5 %")</f>
        <v>+ 0,5 %</v>
      </c>
      <c r="D23" s="1" t="str">
        <f>IFERROR(__xludf.DUMMYFUNCTION("""COMPUTED_VALUE"""),"+ 2,7 %")</f>
        <v>+ 2,7 %</v>
      </c>
      <c r="E23" s="1" t="str">
        <f>IFERROR(__xludf.DUMMYFUNCTION("""COMPUTED_VALUE"""),"+ 10,5 %")</f>
        <v>+ 10,5 %</v>
      </c>
    </row>
    <row r="24">
      <c r="A24" s="2">
        <f>IFERROR(__xludf.DUMMYFUNCTION("""COMPUTED_VALUE"""),45505.0)</f>
        <v>45505</v>
      </c>
      <c r="B24" s="1" t="str">
        <f>IFERROR(__xludf.DUMMYFUNCTION("""COMPUTED_VALUE"""),"2.772 €/m2")</f>
        <v>2.772 €/m2</v>
      </c>
      <c r="C24" s="1" t="str">
        <f>IFERROR(__xludf.DUMMYFUNCTION("""COMPUTED_VALUE"""),"+ 1,5 %")</f>
        <v>+ 1,5 %</v>
      </c>
      <c r="D24" s="1" t="str">
        <f>IFERROR(__xludf.DUMMYFUNCTION("""COMPUTED_VALUE"""),"+ 3,6 %")</f>
        <v>+ 3,6 %</v>
      </c>
      <c r="E24" s="1" t="str">
        <f>IFERROR(__xludf.DUMMYFUNCTION("""COMPUTED_VALUE"""),"+ 10,5 %")</f>
        <v>+ 10,5 %</v>
      </c>
    </row>
    <row r="25">
      <c r="A25" s="2">
        <f>IFERROR(__xludf.DUMMYFUNCTION("""COMPUTED_VALUE"""),45474.0)</f>
        <v>45474</v>
      </c>
      <c r="B25" s="1" t="str">
        <f>IFERROR(__xludf.DUMMYFUNCTION("""COMPUTED_VALUE"""),"2.730 €/m2")</f>
        <v>2.730 €/m2</v>
      </c>
      <c r="C25" s="1" t="str">
        <f>IFERROR(__xludf.DUMMYFUNCTION("""COMPUTED_VALUE"""),"+ 0,7 %")</f>
        <v>+ 0,7 %</v>
      </c>
      <c r="D25" s="1" t="str">
        <f>IFERROR(__xludf.DUMMYFUNCTION("""COMPUTED_VALUE"""),"+ 4,0 %")</f>
        <v>+ 4,0 %</v>
      </c>
      <c r="E25" s="1" t="str">
        <f>IFERROR(__xludf.DUMMYFUNCTION("""COMPUTED_VALUE"""),"+ 11,3 %")</f>
        <v>+ 11,3 %</v>
      </c>
    </row>
    <row r="26">
      <c r="A26" s="2">
        <f>IFERROR(__xludf.DUMMYFUNCTION("""COMPUTED_VALUE"""),45444.0)</f>
        <v>45444</v>
      </c>
      <c r="B26" s="1" t="str">
        <f>IFERROR(__xludf.DUMMYFUNCTION("""COMPUTED_VALUE"""),"2.712 €/m2")</f>
        <v>2.712 €/m2</v>
      </c>
      <c r="C26" s="1" t="str">
        <f>IFERROR(__xludf.DUMMYFUNCTION("""COMPUTED_VALUE"""),"+ 1,4 %")</f>
        <v>+ 1,4 %</v>
      </c>
      <c r="D26" s="1" t="str">
        <f>IFERROR(__xludf.DUMMYFUNCTION("""COMPUTED_VALUE"""),"+ 3,8 %")</f>
        <v>+ 3,8 %</v>
      </c>
      <c r="E26" s="1" t="str">
        <f>IFERROR(__xludf.DUMMYFUNCTION("""COMPUTED_VALUE"""),"+ 10,4 %")</f>
        <v>+ 10,4 %</v>
      </c>
    </row>
    <row r="27">
      <c r="A27" s="2">
        <f>IFERROR(__xludf.DUMMYFUNCTION("""COMPUTED_VALUE"""),45413.0)</f>
        <v>45413</v>
      </c>
      <c r="B27" s="1" t="str">
        <f>IFERROR(__xludf.DUMMYFUNCTION("""COMPUTED_VALUE"""),"2.676 €/m2")</f>
        <v>2.676 €/m2</v>
      </c>
      <c r="C27" s="1" t="str">
        <f>IFERROR(__xludf.DUMMYFUNCTION("""COMPUTED_VALUE"""),"+ 1,9 %")</f>
        <v>+ 1,9 %</v>
      </c>
      <c r="D27" s="1" t="str">
        <f>IFERROR(__xludf.DUMMYFUNCTION("""COMPUTED_VALUE"""),"+ 2,8 %")</f>
        <v>+ 2,8 %</v>
      </c>
      <c r="E27" s="1" t="str">
        <f>IFERROR(__xludf.DUMMYFUNCTION("""COMPUTED_VALUE"""),"+ 9,3 %")</f>
        <v>+ 9,3 %</v>
      </c>
    </row>
    <row r="28">
      <c r="A28" s="2">
        <f>IFERROR(__xludf.DUMMYFUNCTION("""COMPUTED_VALUE"""),45383.0)</f>
        <v>45383</v>
      </c>
      <c r="B28" s="1" t="str">
        <f>IFERROR(__xludf.DUMMYFUNCTION("""COMPUTED_VALUE"""),"2.625 €/m2")</f>
        <v>2.625 €/m2</v>
      </c>
      <c r="C28" s="1" t="str">
        <f>IFERROR(__xludf.DUMMYFUNCTION("""COMPUTED_VALUE"""),"+ 0,5 %")</f>
        <v>+ 0,5 %</v>
      </c>
      <c r="D28" s="1" t="str">
        <f>IFERROR(__xludf.DUMMYFUNCTION("""COMPUTED_VALUE"""),"+ 1,3 %")</f>
        <v>+ 1,3 %</v>
      </c>
      <c r="E28" s="1" t="str">
        <f>IFERROR(__xludf.DUMMYFUNCTION("""COMPUTED_VALUE"""),"+ 9,4 %")</f>
        <v>+ 9,4 %</v>
      </c>
    </row>
    <row r="29">
      <c r="A29" s="2">
        <f>IFERROR(__xludf.DUMMYFUNCTION("""COMPUTED_VALUE"""),45352.0)</f>
        <v>45352</v>
      </c>
      <c r="B29" s="1" t="str">
        <f>IFERROR(__xludf.DUMMYFUNCTION("""COMPUTED_VALUE"""),"2.612 €/m2")</f>
        <v>2.612 €/m2</v>
      </c>
      <c r="C29" s="1" t="str">
        <f>IFERROR(__xludf.DUMMYFUNCTION("""COMPUTED_VALUE"""),"+ 0,4 %")</f>
        <v>+ 0,4 %</v>
      </c>
      <c r="D29" s="1" t="str">
        <f>IFERROR(__xludf.DUMMYFUNCTION("""COMPUTED_VALUE"""),"+ 1,6 %")</f>
        <v>+ 1,6 %</v>
      </c>
      <c r="E29" s="1" t="str">
        <f>IFERROR(__xludf.DUMMYFUNCTION("""COMPUTED_VALUE"""),"+ 10,1 %")</f>
        <v>+ 10,1 %</v>
      </c>
    </row>
    <row r="30">
      <c r="A30" s="2">
        <f>IFERROR(__xludf.DUMMYFUNCTION("""COMPUTED_VALUE"""),45323.0)</f>
        <v>45323</v>
      </c>
      <c r="B30" s="1" t="str">
        <f>IFERROR(__xludf.DUMMYFUNCTION("""COMPUTED_VALUE"""),"2.602 €/m2")</f>
        <v>2.602 €/m2</v>
      </c>
      <c r="C30" s="1" t="str">
        <f>IFERROR(__xludf.DUMMYFUNCTION("""COMPUTED_VALUE"""),"+ 0,4 %")</f>
        <v>+ 0,4 %</v>
      </c>
      <c r="D30" s="1" t="str">
        <f>IFERROR(__xludf.DUMMYFUNCTION("""COMPUTED_VALUE"""),"+ 2,8 %")</f>
        <v>+ 2,8 %</v>
      </c>
      <c r="E30" s="1" t="str">
        <f>IFERROR(__xludf.DUMMYFUNCTION("""COMPUTED_VALUE"""),"+ 9,5 %")</f>
        <v>+ 9,5 %</v>
      </c>
    </row>
    <row r="31">
      <c r="A31" s="2">
        <f>IFERROR(__xludf.DUMMYFUNCTION("""COMPUTED_VALUE"""),45292.0)</f>
        <v>45292</v>
      </c>
      <c r="B31" s="1" t="str">
        <f>IFERROR(__xludf.DUMMYFUNCTION("""COMPUTED_VALUE"""),"2.592 €/m2")</f>
        <v>2.592 €/m2</v>
      </c>
      <c r="C31" s="1" t="str">
        <f>IFERROR(__xludf.DUMMYFUNCTION("""COMPUTED_VALUE"""),"+ 0,8 %")</f>
        <v>+ 0,8 %</v>
      </c>
      <c r="D31" s="1" t="str">
        <f>IFERROR(__xludf.DUMMYFUNCTION("""COMPUTED_VALUE"""),"+ 2,3 %")</f>
        <v>+ 2,3 %</v>
      </c>
      <c r="E31" s="1" t="str">
        <f>IFERROR(__xludf.DUMMYFUNCTION("""COMPUTED_VALUE"""),"+ 9,6 %")</f>
        <v>+ 9,6 %</v>
      </c>
    </row>
    <row r="32">
      <c r="A32" s="2">
        <f>IFERROR(__xludf.DUMMYFUNCTION("""COMPUTED_VALUE"""),45261.0)</f>
        <v>45261</v>
      </c>
      <c r="B32" s="1" t="str">
        <f>IFERROR(__xludf.DUMMYFUNCTION("""COMPUTED_VALUE"""),"2.572 €/m2")</f>
        <v>2.572 €/m2</v>
      </c>
      <c r="C32" s="1" t="str">
        <f>IFERROR(__xludf.DUMMYFUNCTION("""COMPUTED_VALUE"""),"+ 1,6 %")</f>
        <v>+ 1,6 %</v>
      </c>
      <c r="D32" s="1" t="str">
        <f>IFERROR(__xludf.DUMMYFUNCTION("""COMPUTED_VALUE"""),"+ 2,0 %")</f>
        <v>+ 2,0 %</v>
      </c>
      <c r="E32" s="1" t="str">
        <f>IFERROR(__xludf.DUMMYFUNCTION("""COMPUTED_VALUE"""),"+ 8,7 %")</f>
        <v>+ 8,7 %</v>
      </c>
    </row>
    <row r="33">
      <c r="A33" s="2">
        <f>IFERROR(__xludf.DUMMYFUNCTION("""COMPUTED_VALUE"""),45231.0)</f>
        <v>45231</v>
      </c>
      <c r="B33" s="1" t="str">
        <f>IFERROR(__xludf.DUMMYFUNCTION("""COMPUTED_VALUE"""),"2.531 €/m2")</f>
        <v>2.531 €/m2</v>
      </c>
      <c r="C33" s="1" t="str">
        <f>IFERROR(__xludf.DUMMYFUNCTION("""COMPUTED_VALUE"""),"- 0,1 %")</f>
        <v>- 0,1 %</v>
      </c>
      <c r="D33" s="1" t="str">
        <f>IFERROR(__xludf.DUMMYFUNCTION("""COMPUTED_VALUE"""),"+ 1,0 %")</f>
        <v>+ 1,0 %</v>
      </c>
      <c r="E33" s="1" t="str">
        <f>IFERROR(__xludf.DUMMYFUNCTION("""COMPUTED_VALUE"""),"+ 7,5 %")</f>
        <v>+ 7,5 %</v>
      </c>
    </row>
    <row r="34">
      <c r="A34" s="2">
        <f>IFERROR(__xludf.DUMMYFUNCTION("""COMPUTED_VALUE"""),45200.0)</f>
        <v>45200</v>
      </c>
      <c r="B34" s="1" t="str">
        <f>IFERROR(__xludf.DUMMYFUNCTION("""COMPUTED_VALUE"""),"2.534 €/m2")</f>
        <v>2.534 €/m2</v>
      </c>
      <c r="C34" s="1" t="str">
        <f>IFERROR(__xludf.DUMMYFUNCTION("""COMPUTED_VALUE"""),"+ 0,5 %")</f>
        <v>+ 0,5 %</v>
      </c>
      <c r="D34" s="1" t="str">
        <f>IFERROR(__xludf.DUMMYFUNCTION("""COMPUTED_VALUE"""),"+ 3,3 %")</f>
        <v>+ 3,3 %</v>
      </c>
      <c r="E34" s="1" t="str">
        <f>IFERROR(__xludf.DUMMYFUNCTION("""COMPUTED_VALUE"""),"+ 8,3 %")</f>
        <v>+ 8,3 %</v>
      </c>
    </row>
    <row r="35">
      <c r="A35" s="2">
        <f>IFERROR(__xludf.DUMMYFUNCTION("""COMPUTED_VALUE"""),45170.0)</f>
        <v>45170</v>
      </c>
      <c r="B35" s="1" t="str">
        <f>IFERROR(__xludf.DUMMYFUNCTION("""COMPUTED_VALUE"""),"2.520 €/m2")</f>
        <v>2.520 €/m2</v>
      </c>
      <c r="C35" s="1" t="str">
        <f>IFERROR(__xludf.DUMMYFUNCTION("""COMPUTED_VALUE"""),"+ 0,5 %")</f>
        <v>+ 0,5 %</v>
      </c>
      <c r="D35" s="1" t="str">
        <f>IFERROR(__xludf.DUMMYFUNCTION("""COMPUTED_VALUE"""),"+ 2,6 %")</f>
        <v>+ 2,6 %</v>
      </c>
      <c r="E35" s="1" t="str">
        <f>IFERROR(__xludf.DUMMYFUNCTION("""COMPUTED_VALUE"""),"+ 7,7 %")</f>
        <v>+ 7,7 %</v>
      </c>
    </row>
    <row r="36">
      <c r="A36" s="2">
        <f>IFERROR(__xludf.DUMMYFUNCTION("""COMPUTED_VALUE"""),45139.0)</f>
        <v>45139</v>
      </c>
      <c r="B36" s="1" t="str">
        <f>IFERROR(__xludf.DUMMYFUNCTION("""COMPUTED_VALUE"""),"2.507 €/m2")</f>
        <v>2.507 €/m2</v>
      </c>
      <c r="C36" s="1" t="str">
        <f>IFERROR(__xludf.DUMMYFUNCTION("""COMPUTED_VALUE"""),"+ 2,2 %")</f>
        <v>+ 2,2 %</v>
      </c>
      <c r="D36" s="1" t="str">
        <f>IFERROR(__xludf.DUMMYFUNCTION("""COMPUTED_VALUE"""),"+ 2,4 %")</f>
        <v>+ 2,4 %</v>
      </c>
      <c r="E36" s="1" t="str">
        <f>IFERROR(__xludf.DUMMYFUNCTION("""COMPUTED_VALUE"""),"+ 8,8 %")</f>
        <v>+ 8,8 %</v>
      </c>
    </row>
    <row r="37">
      <c r="A37" s="2">
        <f>IFERROR(__xludf.DUMMYFUNCTION("""COMPUTED_VALUE"""),45108.0)</f>
        <v>45108</v>
      </c>
      <c r="B37" s="1" t="str">
        <f>IFERROR(__xludf.DUMMYFUNCTION("""COMPUTED_VALUE"""),"2.453 €/m2")</f>
        <v>2.453 €/m2</v>
      </c>
      <c r="C37" s="1" t="str">
        <f>IFERROR(__xludf.DUMMYFUNCTION("""COMPUTED_VALUE"""),"- 0,2 %")</f>
        <v>- 0,2 %</v>
      </c>
      <c r="D37" s="1" t="str">
        <f>IFERROR(__xludf.DUMMYFUNCTION("""COMPUTED_VALUE"""),"+ 2,3 %")</f>
        <v>+ 2,3 %</v>
      </c>
      <c r="E37" s="1" t="str">
        <f>IFERROR(__xludf.DUMMYFUNCTION("""COMPUTED_VALUE"""),"+ 6,7 %")</f>
        <v>+ 6,7 %</v>
      </c>
    </row>
    <row r="38">
      <c r="A38" s="2">
        <f>IFERROR(__xludf.DUMMYFUNCTION("""COMPUTED_VALUE"""),45078.0)</f>
        <v>45078</v>
      </c>
      <c r="B38" s="1" t="str">
        <f>IFERROR(__xludf.DUMMYFUNCTION("""COMPUTED_VALUE"""),"2.457 €/m2")</f>
        <v>2.457 €/m2</v>
      </c>
      <c r="C38" s="1" t="str">
        <f>IFERROR(__xludf.DUMMYFUNCTION("""COMPUTED_VALUE"""),"+ 0,4 %")</f>
        <v>+ 0,4 %</v>
      </c>
      <c r="D38" s="1" t="str">
        <f>IFERROR(__xludf.DUMMYFUNCTION("""COMPUTED_VALUE"""),"+ 3,5 %")</f>
        <v>+ 3,5 %</v>
      </c>
      <c r="E38" s="1" t="str">
        <f>IFERROR(__xludf.DUMMYFUNCTION("""COMPUTED_VALUE"""),"+ 8,2 %")</f>
        <v>+ 8,2 %</v>
      </c>
    </row>
    <row r="39">
      <c r="A39" s="2">
        <f>IFERROR(__xludf.DUMMYFUNCTION("""COMPUTED_VALUE"""),45047.0)</f>
        <v>45047</v>
      </c>
      <c r="B39" s="1" t="str">
        <f>IFERROR(__xludf.DUMMYFUNCTION("""COMPUTED_VALUE"""),"2.448 €/m2")</f>
        <v>2.448 €/m2</v>
      </c>
      <c r="C39" s="1" t="str">
        <f>IFERROR(__xludf.DUMMYFUNCTION("""COMPUTED_VALUE"""),"+ 2,1 %")</f>
        <v>+ 2,1 %</v>
      </c>
      <c r="D39" s="1" t="str">
        <f>IFERROR(__xludf.DUMMYFUNCTION("""COMPUTED_VALUE"""),"+ 3,0 %")</f>
        <v>+ 3,0 %</v>
      </c>
      <c r="E39" s="1" t="str">
        <f>IFERROR(__xludf.DUMMYFUNCTION("""COMPUTED_VALUE"""),"+ 9,3 %")</f>
        <v>+ 9,3 %</v>
      </c>
    </row>
    <row r="40">
      <c r="A40" s="2">
        <f>IFERROR(__xludf.DUMMYFUNCTION("""COMPUTED_VALUE"""),45017.0)</f>
        <v>45017</v>
      </c>
      <c r="B40" s="1" t="str">
        <f>IFERROR(__xludf.DUMMYFUNCTION("""COMPUTED_VALUE"""),"2.398 €/m2")</f>
        <v>2.398 €/m2</v>
      </c>
      <c r="C40" s="1" t="str">
        <f>IFERROR(__xludf.DUMMYFUNCTION("""COMPUTED_VALUE"""),"+ 1,0 %")</f>
        <v>+ 1,0 %</v>
      </c>
      <c r="D40" s="1" t="str">
        <f>IFERROR(__xludf.DUMMYFUNCTION("""COMPUTED_VALUE"""),"+ 1,4 %")</f>
        <v>+ 1,4 %</v>
      </c>
      <c r="E40" s="1" t="str">
        <f>IFERROR(__xludf.DUMMYFUNCTION("""COMPUTED_VALUE"""),"+ 8,6 %")</f>
        <v>+ 8,6 %</v>
      </c>
    </row>
    <row r="41">
      <c r="A41" s="2">
        <f>IFERROR(__xludf.DUMMYFUNCTION("""COMPUTED_VALUE"""),44986.0)</f>
        <v>44986</v>
      </c>
      <c r="B41" s="1" t="str">
        <f>IFERROR(__xludf.DUMMYFUNCTION("""COMPUTED_VALUE"""),"2.374 €/m2")</f>
        <v>2.374 €/m2</v>
      </c>
      <c r="C41" s="1" t="str">
        <f>IFERROR(__xludf.DUMMYFUNCTION("""COMPUTED_VALUE"""),"- 0,1 %")</f>
        <v>- 0,1 %</v>
      </c>
      <c r="D41" s="1" t="str">
        <f>IFERROR(__xludf.DUMMYFUNCTION("""COMPUTED_VALUE"""),"+ 0,3 %")</f>
        <v>+ 0,3 %</v>
      </c>
      <c r="E41" s="1" t="str">
        <f>IFERROR(__xludf.DUMMYFUNCTION("""COMPUTED_VALUE"""),"+ 8,6 %")</f>
        <v>+ 8,6 %</v>
      </c>
    </row>
    <row r="42">
      <c r="A42" s="2">
        <f>IFERROR(__xludf.DUMMYFUNCTION("""COMPUTED_VALUE"""),44958.0)</f>
        <v>44958</v>
      </c>
      <c r="B42" s="1" t="str">
        <f>IFERROR(__xludf.DUMMYFUNCTION("""COMPUTED_VALUE"""),"2.377 €/m2")</f>
        <v>2.377 €/m2</v>
      </c>
      <c r="C42" s="1" t="str">
        <f>IFERROR(__xludf.DUMMYFUNCTION("""COMPUTED_VALUE"""),"+ 0,5 %")</f>
        <v>+ 0,5 %</v>
      </c>
      <c r="D42" s="1" t="str">
        <f>IFERROR(__xludf.DUMMYFUNCTION("""COMPUTED_VALUE"""),"+ 0,9 %")</f>
        <v>+ 0,9 %</v>
      </c>
      <c r="E42" s="1" t="str">
        <f>IFERROR(__xludf.DUMMYFUNCTION("""COMPUTED_VALUE"""),"+ 9,9 %")</f>
        <v>+ 9,9 %</v>
      </c>
    </row>
    <row r="43">
      <c r="A43" s="2">
        <f>IFERROR(__xludf.DUMMYFUNCTION("""COMPUTED_VALUE"""),44927.0)</f>
        <v>44927</v>
      </c>
      <c r="B43" s="1" t="str">
        <f>IFERROR(__xludf.DUMMYFUNCTION("""COMPUTED_VALUE"""),"2.366 €/m2")</f>
        <v>2.366 €/m2</v>
      </c>
      <c r="C43" s="1" t="str">
        <f>IFERROR(__xludf.DUMMYFUNCTION("""COMPUTED_VALUE"""),"0,0 %")</f>
        <v>0,0 %</v>
      </c>
      <c r="D43" s="1" t="str">
        <f>IFERROR(__xludf.DUMMYFUNCTION("""COMPUTED_VALUE"""),"+ 1,1 %")</f>
        <v>+ 1,1 %</v>
      </c>
      <c r="E43" s="1" t="str">
        <f>IFERROR(__xludf.DUMMYFUNCTION("""COMPUTED_VALUE"""),"+ 9,7 %")</f>
        <v>+ 9,7 %</v>
      </c>
    </row>
    <row r="44">
      <c r="A44" s="2">
        <f>IFERROR(__xludf.DUMMYFUNCTION("""COMPUTED_VALUE"""),44896.0)</f>
        <v>44896</v>
      </c>
      <c r="B44" s="1" t="str">
        <f>IFERROR(__xludf.DUMMYFUNCTION("""COMPUTED_VALUE"""),"2.366 €/m2")</f>
        <v>2.366 €/m2</v>
      </c>
      <c r="C44" s="1" t="str">
        <f>IFERROR(__xludf.DUMMYFUNCTION("""COMPUTED_VALUE"""),"+ 0,4 %")</f>
        <v>+ 0,4 %</v>
      </c>
      <c r="D44" s="1" t="str">
        <f>IFERROR(__xludf.DUMMYFUNCTION("""COMPUTED_VALUE"""),"+ 1,1 %")</f>
        <v>+ 1,1 %</v>
      </c>
      <c r="E44" s="1" t="str">
        <f>IFERROR(__xludf.DUMMYFUNCTION("""COMPUTED_VALUE"""),"+ 9,8 %")</f>
        <v>+ 9,8 %</v>
      </c>
    </row>
    <row r="45">
      <c r="A45" s="2">
        <f>IFERROR(__xludf.DUMMYFUNCTION("""COMPUTED_VALUE"""),44866.0)</f>
        <v>44866</v>
      </c>
      <c r="B45" s="1" t="str">
        <f>IFERROR(__xludf.DUMMYFUNCTION("""COMPUTED_VALUE"""),"2.355 €/m2")</f>
        <v>2.355 €/m2</v>
      </c>
      <c r="C45" s="1" t="str">
        <f>IFERROR(__xludf.DUMMYFUNCTION("""COMPUTED_VALUE"""),"+ 0,7 %")</f>
        <v>+ 0,7 %</v>
      </c>
      <c r="D45" s="1" t="str">
        <f>IFERROR(__xludf.DUMMYFUNCTION("""COMPUTED_VALUE"""),"+ 2,2 %")</f>
        <v>+ 2,2 %</v>
      </c>
      <c r="E45" s="1" t="str">
        <f>IFERROR(__xludf.DUMMYFUNCTION("""COMPUTED_VALUE"""),"+ 10,2 %")</f>
        <v>+ 10,2 %</v>
      </c>
    </row>
    <row r="46">
      <c r="A46" s="2">
        <f>IFERROR(__xludf.DUMMYFUNCTION("""COMPUTED_VALUE"""),44835.0)</f>
        <v>44835</v>
      </c>
      <c r="B46" s="1" t="str">
        <f>IFERROR(__xludf.DUMMYFUNCTION("""COMPUTED_VALUE"""),"2.340 €/m2")</f>
        <v>2.340 €/m2</v>
      </c>
      <c r="C46" s="1" t="str">
        <f>IFERROR(__xludf.DUMMYFUNCTION("""COMPUTED_VALUE"""),"0,0 %")</f>
        <v>0,0 %</v>
      </c>
      <c r="D46" s="1" t="str">
        <f>IFERROR(__xludf.DUMMYFUNCTION("""COMPUTED_VALUE"""),"+ 1,8 %")</f>
        <v>+ 1,8 %</v>
      </c>
      <c r="E46" s="1" t="str">
        <f>IFERROR(__xludf.DUMMYFUNCTION("""COMPUTED_VALUE"""),"+ 9,4 %")</f>
        <v>+ 9,4 %</v>
      </c>
    </row>
    <row r="47">
      <c r="A47" s="2">
        <f>IFERROR(__xludf.DUMMYFUNCTION("""COMPUTED_VALUE"""),44805.0)</f>
        <v>44805</v>
      </c>
      <c r="B47" s="1" t="str">
        <f>IFERROR(__xludf.DUMMYFUNCTION("""COMPUTED_VALUE"""),"2.340 €/m2")</f>
        <v>2.340 €/m2</v>
      </c>
      <c r="C47" s="1" t="str">
        <f>IFERROR(__xludf.DUMMYFUNCTION("""COMPUTED_VALUE"""),"+ 1,6 %")</f>
        <v>+ 1,6 %</v>
      </c>
      <c r="D47" s="1" t="str">
        <f>IFERROR(__xludf.DUMMYFUNCTION("""COMPUTED_VALUE"""),"+ 3,1 %")</f>
        <v>+ 3,1 %</v>
      </c>
      <c r="E47" s="1" t="str">
        <f>IFERROR(__xludf.DUMMYFUNCTION("""COMPUTED_VALUE"""),"+ 9,4 %")</f>
        <v>+ 9,4 %</v>
      </c>
    </row>
    <row r="48">
      <c r="A48" s="2">
        <f>IFERROR(__xludf.DUMMYFUNCTION("""COMPUTED_VALUE"""),44774.0)</f>
        <v>44774</v>
      </c>
      <c r="B48" s="1" t="str">
        <f>IFERROR(__xludf.DUMMYFUNCTION("""COMPUTED_VALUE"""),"2.304 €/m2")</f>
        <v>2.304 €/m2</v>
      </c>
      <c r="C48" s="1" t="str">
        <f>IFERROR(__xludf.DUMMYFUNCTION("""COMPUTED_VALUE"""),"+ 0,3 %")</f>
        <v>+ 0,3 %</v>
      </c>
      <c r="D48" s="1" t="str">
        <f>IFERROR(__xludf.DUMMYFUNCTION("""COMPUTED_VALUE"""),"+ 2,9 %")</f>
        <v>+ 2,9 %</v>
      </c>
      <c r="E48" s="1" t="str">
        <f>IFERROR(__xludf.DUMMYFUNCTION("""COMPUTED_VALUE"""),"+ 8,4 %")</f>
        <v>+ 8,4 %</v>
      </c>
    </row>
    <row r="49">
      <c r="A49" s="2">
        <f>IFERROR(__xludf.DUMMYFUNCTION("""COMPUTED_VALUE"""),44743.0)</f>
        <v>44743</v>
      </c>
      <c r="B49" s="1" t="str">
        <f>IFERROR(__xludf.DUMMYFUNCTION("""COMPUTED_VALUE"""),"2.298 €/m2")</f>
        <v>2.298 €/m2</v>
      </c>
      <c r="C49" s="1" t="str">
        <f>IFERROR(__xludf.DUMMYFUNCTION("""COMPUTED_VALUE"""),"+ 1,2 %")</f>
        <v>+ 1,2 %</v>
      </c>
      <c r="D49" s="1" t="str">
        <f>IFERROR(__xludf.DUMMYFUNCTION("""COMPUTED_VALUE"""),"+ 4,1 %")</f>
        <v>+ 4,1 %</v>
      </c>
      <c r="E49" s="1" t="str">
        <f>IFERROR(__xludf.DUMMYFUNCTION("""COMPUTED_VALUE"""),"+ 6,6 %")</f>
        <v>+ 6,6 %</v>
      </c>
    </row>
    <row r="50">
      <c r="A50" s="2">
        <f>IFERROR(__xludf.DUMMYFUNCTION("""COMPUTED_VALUE"""),44713.0)</f>
        <v>44713</v>
      </c>
      <c r="B50" s="1" t="str">
        <f>IFERROR(__xludf.DUMMYFUNCTION("""COMPUTED_VALUE"""),"2.270 €/m2")</f>
        <v>2.270 €/m2</v>
      </c>
      <c r="C50" s="1" t="str">
        <f>IFERROR(__xludf.DUMMYFUNCTION("""COMPUTED_VALUE"""),"+ 1,3 %")</f>
        <v>+ 1,3 %</v>
      </c>
      <c r="D50" s="1" t="str">
        <f>IFERROR(__xludf.DUMMYFUNCTION("""COMPUTED_VALUE"""),"+ 3,9 %")</f>
        <v>+ 3,9 %</v>
      </c>
      <c r="E50" s="1" t="str">
        <f>IFERROR(__xludf.DUMMYFUNCTION("""COMPUTED_VALUE"""),"+ 4,3 %")</f>
        <v>+ 4,3 %</v>
      </c>
    </row>
    <row r="51">
      <c r="A51" s="2">
        <f>IFERROR(__xludf.DUMMYFUNCTION("""COMPUTED_VALUE"""),44682.0)</f>
        <v>44682</v>
      </c>
      <c r="B51" s="1" t="str">
        <f>IFERROR(__xludf.DUMMYFUNCTION("""COMPUTED_VALUE"""),"2.240 €/m2")</f>
        <v>2.240 €/m2</v>
      </c>
      <c r="C51" s="1" t="str">
        <f>IFERROR(__xludf.DUMMYFUNCTION("""COMPUTED_VALUE"""),"+ 1,5 %")</f>
        <v>+ 1,5 %</v>
      </c>
      <c r="D51" s="1" t="str">
        <f>IFERROR(__xludf.DUMMYFUNCTION("""COMPUTED_VALUE"""),"+ 3,6 %")</f>
        <v>+ 3,6 %</v>
      </c>
      <c r="E51" s="1" t="str">
        <f>IFERROR(__xludf.DUMMYFUNCTION("""COMPUTED_VALUE"""),"+ 3,2 %")</f>
        <v>+ 3,2 %</v>
      </c>
    </row>
    <row r="52">
      <c r="A52" s="2">
        <f>IFERROR(__xludf.DUMMYFUNCTION("""COMPUTED_VALUE"""),44652.0)</f>
        <v>44652</v>
      </c>
      <c r="B52" s="1" t="str">
        <f>IFERROR(__xludf.DUMMYFUNCTION("""COMPUTED_VALUE"""),"2.208 €/m2")</f>
        <v>2.208 €/m2</v>
      </c>
      <c r="C52" s="1" t="str">
        <f>IFERROR(__xludf.DUMMYFUNCTION("""COMPUTED_VALUE"""),"+ 1,0 %")</f>
        <v>+ 1,0 %</v>
      </c>
      <c r="D52" s="1" t="str">
        <f>IFERROR(__xludf.DUMMYFUNCTION("""COMPUTED_VALUE"""),"+ 2,4 %")</f>
        <v>+ 2,4 %</v>
      </c>
      <c r="E52" s="1" t="str">
        <f>IFERROR(__xludf.DUMMYFUNCTION("""COMPUTED_VALUE"""),"+ 3,9 %")</f>
        <v>+ 3,9 %</v>
      </c>
    </row>
    <row r="53">
      <c r="A53" s="2">
        <f>IFERROR(__xludf.DUMMYFUNCTION("""COMPUTED_VALUE"""),44621.0)</f>
        <v>44621</v>
      </c>
      <c r="B53" s="1" t="str">
        <f>IFERROR(__xludf.DUMMYFUNCTION("""COMPUTED_VALUE"""),"2.185 €/m2")</f>
        <v>2.185 €/m2</v>
      </c>
      <c r="C53" s="1" t="str">
        <f>IFERROR(__xludf.DUMMYFUNCTION("""COMPUTED_VALUE"""),"+ 1,1 %")</f>
        <v>+ 1,1 %</v>
      </c>
      <c r="D53" s="1" t="str">
        <f>IFERROR(__xludf.DUMMYFUNCTION("""COMPUTED_VALUE"""),"+ 1,4 %")</f>
        <v>+ 1,4 %</v>
      </c>
      <c r="E53" s="1" t="str">
        <f>IFERROR(__xludf.DUMMYFUNCTION("""COMPUTED_VALUE"""),"+ 2,7 %")</f>
        <v>+ 2,7 %</v>
      </c>
    </row>
    <row r="54">
      <c r="A54" s="2">
        <f>IFERROR(__xludf.DUMMYFUNCTION("""COMPUTED_VALUE"""),44593.0)</f>
        <v>44593</v>
      </c>
      <c r="B54" s="1" t="str">
        <f>IFERROR(__xludf.DUMMYFUNCTION("""COMPUTED_VALUE"""),"2.162 €/m2")</f>
        <v>2.162 €/m2</v>
      </c>
      <c r="C54" s="1" t="str">
        <f>IFERROR(__xludf.DUMMYFUNCTION("""COMPUTED_VALUE"""),"+ 0,3 %")</f>
        <v>+ 0,3 %</v>
      </c>
      <c r="D54" s="1" t="str">
        <f>IFERROR(__xludf.DUMMYFUNCTION("""COMPUTED_VALUE"""),"+ 1,2 %")</f>
        <v>+ 1,2 %</v>
      </c>
      <c r="E54" s="1" t="str">
        <f>IFERROR(__xludf.DUMMYFUNCTION("""COMPUTED_VALUE"""),"+ 0,5 %")</f>
        <v>+ 0,5 %</v>
      </c>
    </row>
    <row r="55">
      <c r="A55" s="2">
        <f>IFERROR(__xludf.DUMMYFUNCTION("""COMPUTED_VALUE"""),44562.0)</f>
        <v>44562</v>
      </c>
      <c r="B55" s="1" t="str">
        <f>IFERROR(__xludf.DUMMYFUNCTION("""COMPUTED_VALUE"""),"2.156 €/m2")</f>
        <v>2.156 €/m2</v>
      </c>
      <c r="C55" s="1" t="str">
        <f>IFERROR(__xludf.DUMMYFUNCTION("""COMPUTED_VALUE"""),"0,0 %")</f>
        <v>0,0 %</v>
      </c>
      <c r="D55" s="1" t="str">
        <f>IFERROR(__xludf.DUMMYFUNCTION("""COMPUTED_VALUE"""),"+ 0,7 %")</f>
        <v>+ 0,7 %</v>
      </c>
      <c r="E55" s="1" t="str">
        <f>IFERROR(__xludf.DUMMYFUNCTION("""COMPUTED_VALUE"""),"+ 0,2 %")</f>
        <v>+ 0,2 %</v>
      </c>
    </row>
    <row r="56">
      <c r="A56" s="2">
        <f>IFERROR(__xludf.DUMMYFUNCTION("""COMPUTED_VALUE"""),44531.0)</f>
        <v>44531</v>
      </c>
      <c r="B56" s="1" t="str">
        <f>IFERROR(__xludf.DUMMYFUNCTION("""COMPUTED_VALUE"""),"2.155 €/m2")</f>
        <v>2.155 €/m2</v>
      </c>
      <c r="C56" s="1" t="str">
        <f>IFERROR(__xludf.DUMMYFUNCTION("""COMPUTED_VALUE"""),"+ 0,8 %")</f>
        <v>+ 0,8 %</v>
      </c>
      <c r="D56" s="1" t="str">
        <f>IFERROR(__xludf.DUMMYFUNCTION("""COMPUTED_VALUE"""),"+ 0,7 %")</f>
        <v>+ 0,7 %</v>
      </c>
      <c r="E56" s="1" t="str">
        <f>IFERROR(__xludf.DUMMYFUNCTION("""COMPUTED_VALUE"""),"- 0,4 %")</f>
        <v>- 0,4 %</v>
      </c>
    </row>
    <row r="57">
      <c r="A57" s="2">
        <f>IFERROR(__xludf.DUMMYFUNCTION("""COMPUTED_VALUE"""),44501.0)</f>
        <v>44501</v>
      </c>
      <c r="B57" s="1" t="str">
        <f>IFERROR(__xludf.DUMMYFUNCTION("""COMPUTED_VALUE"""),"2.138 €/m2")</f>
        <v>2.138 €/m2</v>
      </c>
      <c r="C57" s="1" t="str">
        <f>IFERROR(__xludf.DUMMYFUNCTION("""COMPUTED_VALUE"""),"- 0,1 %")</f>
        <v>- 0,1 %</v>
      </c>
      <c r="D57" s="1" t="str">
        <f>IFERROR(__xludf.DUMMYFUNCTION("""COMPUTED_VALUE"""),"+ 0,6 %")</f>
        <v>+ 0,6 %</v>
      </c>
      <c r="E57" s="1" t="str">
        <f>IFERROR(__xludf.DUMMYFUNCTION("""COMPUTED_VALUE"""),"- 1,4 %")</f>
        <v>- 1,4 %</v>
      </c>
    </row>
    <row r="58">
      <c r="A58" s="2">
        <f>IFERROR(__xludf.DUMMYFUNCTION("""COMPUTED_VALUE"""),44470.0)</f>
        <v>44470</v>
      </c>
      <c r="B58" s="1" t="str">
        <f>IFERROR(__xludf.DUMMYFUNCTION("""COMPUTED_VALUE"""),"2.140 €/m2")</f>
        <v>2.140 €/m2</v>
      </c>
      <c r="C58" s="1" t="str">
        <f>IFERROR(__xludf.DUMMYFUNCTION("""COMPUTED_VALUE"""),"0,0 %")</f>
        <v>0,0 %</v>
      </c>
      <c r="D58" s="1" t="str">
        <f>IFERROR(__xludf.DUMMYFUNCTION("""COMPUTED_VALUE"""),"- 0,8 %")</f>
        <v>- 0,8 %</v>
      </c>
      <c r="E58" s="1" t="str">
        <f>IFERROR(__xludf.DUMMYFUNCTION("""COMPUTED_VALUE"""),"- 1,6 %")</f>
        <v>- 1,6 %</v>
      </c>
    </row>
    <row r="59">
      <c r="A59" s="2">
        <f>IFERROR(__xludf.DUMMYFUNCTION("""COMPUTED_VALUE"""),44440.0)</f>
        <v>44440</v>
      </c>
      <c r="B59" s="1" t="str">
        <f>IFERROR(__xludf.DUMMYFUNCTION("""COMPUTED_VALUE"""),"2.140 €/m2")</f>
        <v>2.140 €/m2</v>
      </c>
      <c r="C59" s="1" t="str">
        <f>IFERROR(__xludf.DUMMYFUNCTION("""COMPUTED_VALUE"""),"+ 0,7 %")</f>
        <v>+ 0,7 %</v>
      </c>
      <c r="D59" s="1" t="str">
        <f>IFERROR(__xludf.DUMMYFUNCTION("""COMPUTED_VALUE"""),"- 1,6 %")</f>
        <v>- 1,6 %</v>
      </c>
      <c r="E59" s="1" t="str">
        <f>IFERROR(__xludf.DUMMYFUNCTION("""COMPUTED_VALUE"""),"- 1,7 %")</f>
        <v>- 1,7 %</v>
      </c>
    </row>
    <row r="60">
      <c r="A60" s="2">
        <f>IFERROR(__xludf.DUMMYFUNCTION("""COMPUTED_VALUE"""),44409.0)</f>
        <v>44409</v>
      </c>
      <c r="B60" s="1" t="str">
        <f>IFERROR(__xludf.DUMMYFUNCTION("""COMPUTED_VALUE"""),"2.125 €/m2")</f>
        <v>2.125 €/m2</v>
      </c>
      <c r="C60" s="1" t="str">
        <f>IFERROR(__xludf.DUMMYFUNCTION("""COMPUTED_VALUE"""),"- 1,4 %")</f>
        <v>- 1,4 %</v>
      </c>
      <c r="D60" s="1" t="str">
        <f>IFERROR(__xludf.DUMMYFUNCTION("""COMPUTED_VALUE"""),"- 2,1 %")</f>
        <v>- 2,1 %</v>
      </c>
      <c r="E60" s="1" t="str">
        <f>IFERROR(__xludf.DUMMYFUNCTION("""COMPUTED_VALUE"""),"- 3,1 %")</f>
        <v>- 3,1 %</v>
      </c>
    </row>
    <row r="61">
      <c r="A61" s="2">
        <f>IFERROR(__xludf.DUMMYFUNCTION("""COMPUTED_VALUE"""),44378.0)</f>
        <v>44378</v>
      </c>
      <c r="B61" s="1" t="str">
        <f>IFERROR(__xludf.DUMMYFUNCTION("""COMPUTED_VALUE"""),"2.156 €/m2")</f>
        <v>2.156 €/m2</v>
      </c>
      <c r="C61" s="1" t="str">
        <f>IFERROR(__xludf.DUMMYFUNCTION("""COMPUTED_VALUE"""),"- 0,9 %")</f>
        <v>- 0,9 %</v>
      </c>
      <c r="D61" s="1" t="str">
        <f>IFERROR(__xludf.DUMMYFUNCTION("""COMPUTED_VALUE"""),"+ 1,5 %")</f>
        <v>+ 1,5 %</v>
      </c>
      <c r="E61" s="1" t="str">
        <f>IFERROR(__xludf.DUMMYFUNCTION("""COMPUTED_VALUE"""),"- 0,9 %")</f>
        <v>- 0,9 %</v>
      </c>
    </row>
    <row r="62">
      <c r="A62" s="2">
        <f>IFERROR(__xludf.DUMMYFUNCTION("""COMPUTED_VALUE"""),44348.0)</f>
        <v>44348</v>
      </c>
      <c r="B62" s="1" t="str">
        <f>IFERROR(__xludf.DUMMYFUNCTION("""COMPUTED_VALUE"""),"2.176 €/m2")</f>
        <v>2.176 €/m2</v>
      </c>
      <c r="C62" s="1" t="str">
        <f>IFERROR(__xludf.DUMMYFUNCTION("""COMPUTED_VALUE"""),"+ 0,2 %")</f>
        <v>+ 0,2 %</v>
      </c>
      <c r="D62" s="1" t="str">
        <f>IFERROR(__xludf.DUMMYFUNCTION("""COMPUTED_VALUE"""),"+ 2,3 %")</f>
        <v>+ 2,3 %</v>
      </c>
      <c r="E62" s="1" t="str">
        <f>IFERROR(__xludf.DUMMYFUNCTION("""COMPUTED_VALUE"""),"+ 0,9 %")</f>
        <v>+ 0,9 %</v>
      </c>
    </row>
    <row r="63">
      <c r="A63" s="2">
        <f>IFERROR(__xludf.DUMMYFUNCTION("""COMPUTED_VALUE"""),44317.0)</f>
        <v>44317</v>
      </c>
      <c r="B63" s="1" t="str">
        <f>IFERROR(__xludf.DUMMYFUNCTION("""COMPUTED_VALUE"""),"2.171 €/m2")</f>
        <v>2.171 €/m2</v>
      </c>
      <c r="C63" s="1" t="str">
        <f>IFERROR(__xludf.DUMMYFUNCTION("""COMPUTED_VALUE"""),"+ 2,2 %")</f>
        <v>+ 2,2 %</v>
      </c>
      <c r="D63" s="1" t="str">
        <f>IFERROR(__xludf.DUMMYFUNCTION("""COMPUTED_VALUE"""),"+ 0,9 %")</f>
        <v>+ 0,9 %</v>
      </c>
      <c r="E63" s="1" t="str">
        <f>IFERROR(__xludf.DUMMYFUNCTION("""COMPUTED_VALUE"""),"+ 0,2 %")</f>
        <v>+ 0,2 %</v>
      </c>
    </row>
    <row r="64">
      <c r="A64" s="2">
        <f>IFERROR(__xludf.DUMMYFUNCTION("""COMPUTED_VALUE"""),44287.0)</f>
        <v>44287</v>
      </c>
      <c r="B64" s="1" t="str">
        <f>IFERROR(__xludf.DUMMYFUNCTION("""COMPUTED_VALUE"""),"2.124 €/m2")</f>
        <v>2.124 €/m2</v>
      </c>
      <c r="C64" s="1" t="str">
        <f>IFERROR(__xludf.DUMMYFUNCTION("""COMPUTED_VALUE"""),"- 0,2 %")</f>
        <v>- 0,2 %</v>
      </c>
      <c r="D64" s="1" t="str">
        <f>IFERROR(__xludf.DUMMYFUNCTION("""COMPUTED_VALUE"""),"- 1,3 %")</f>
        <v>- 1,3 %</v>
      </c>
      <c r="E64" s="1" t="str">
        <f>IFERROR(__xludf.DUMMYFUNCTION("""COMPUTED_VALUE"""),"- 2,8 %")</f>
        <v>- 2,8 %</v>
      </c>
    </row>
    <row r="65">
      <c r="A65" s="2">
        <f>IFERROR(__xludf.DUMMYFUNCTION("""COMPUTED_VALUE"""),44256.0)</f>
        <v>44256</v>
      </c>
      <c r="B65" s="1" t="str">
        <f>IFERROR(__xludf.DUMMYFUNCTION("""COMPUTED_VALUE"""),"2.127 €/m2")</f>
        <v>2.127 €/m2</v>
      </c>
      <c r="C65" s="1" t="str">
        <f>IFERROR(__xludf.DUMMYFUNCTION("""COMPUTED_VALUE"""),"- 1,1 %")</f>
        <v>- 1,1 %</v>
      </c>
      <c r="D65" s="1" t="str">
        <f>IFERROR(__xludf.DUMMYFUNCTION("""COMPUTED_VALUE"""),"- 1,7 %")</f>
        <v>- 1,7 %</v>
      </c>
      <c r="E65" s="1" t="str">
        <f>IFERROR(__xludf.DUMMYFUNCTION("""COMPUTED_VALUE"""),"- 3,8 %")</f>
        <v>- 3,8 %</v>
      </c>
    </row>
    <row r="66">
      <c r="A66" s="2">
        <f>IFERROR(__xludf.DUMMYFUNCTION("""COMPUTED_VALUE"""),44228.0)</f>
        <v>44228</v>
      </c>
      <c r="B66" s="1" t="str">
        <f>IFERROR(__xludf.DUMMYFUNCTION("""COMPUTED_VALUE"""),"2.152 €/m2")</f>
        <v>2.152 €/m2</v>
      </c>
      <c r="C66" s="1" t="str">
        <f>IFERROR(__xludf.DUMMYFUNCTION("""COMPUTED_VALUE"""),"0,0 %")</f>
        <v>0,0 %</v>
      </c>
      <c r="D66" s="1" t="str">
        <f>IFERROR(__xludf.DUMMYFUNCTION("""COMPUTED_VALUE"""),"- 0,8 %")</f>
        <v>- 0,8 %</v>
      </c>
      <c r="E66" s="1" t="str">
        <f>IFERROR(__xludf.DUMMYFUNCTION("""COMPUTED_VALUE"""),"- 2,6 %")</f>
        <v>- 2,6 %</v>
      </c>
    </row>
    <row r="67">
      <c r="A67" s="2">
        <f>IFERROR(__xludf.DUMMYFUNCTION("""COMPUTED_VALUE"""),44197.0)</f>
        <v>44197</v>
      </c>
      <c r="B67" s="1" t="str">
        <f>IFERROR(__xludf.DUMMYFUNCTION("""COMPUTED_VALUE"""),"2.152 €/m2")</f>
        <v>2.152 €/m2</v>
      </c>
      <c r="C67" s="1" t="str">
        <f>IFERROR(__xludf.DUMMYFUNCTION("""COMPUTED_VALUE"""),"- 0,6 %")</f>
        <v>- 0,6 %</v>
      </c>
      <c r="D67" s="1" t="str">
        <f>IFERROR(__xludf.DUMMYFUNCTION("""COMPUTED_VALUE"""),"- 1,0 %")</f>
        <v>- 1,0 %</v>
      </c>
      <c r="E67" s="1" t="str">
        <f>IFERROR(__xludf.DUMMYFUNCTION("""COMPUTED_VALUE"""),"- 2,2 %")</f>
        <v>- 2,2 %</v>
      </c>
    </row>
    <row r="68">
      <c r="A68" s="2">
        <f>IFERROR(__xludf.DUMMYFUNCTION("""COMPUTED_VALUE"""),44166.0)</f>
        <v>44166</v>
      </c>
      <c r="B68" s="1" t="str">
        <f>IFERROR(__xludf.DUMMYFUNCTION("""COMPUTED_VALUE"""),"2.164 €/m2")</f>
        <v>2.164 €/m2</v>
      </c>
      <c r="C68" s="1" t="str">
        <f>IFERROR(__xludf.DUMMYFUNCTION("""COMPUTED_VALUE"""),"- 0,2 %")</f>
        <v>- 0,2 %</v>
      </c>
      <c r="D68" s="1" t="str">
        <f>IFERROR(__xludf.DUMMYFUNCTION("""COMPUTED_VALUE"""),"- 0,6 %")</f>
        <v>- 0,6 %</v>
      </c>
      <c r="E68" s="1" t="str">
        <f>IFERROR(__xludf.DUMMYFUNCTION("""COMPUTED_VALUE"""),"- 2,0 %")</f>
        <v>- 2,0 %</v>
      </c>
    </row>
    <row r="69">
      <c r="A69" s="2">
        <f>IFERROR(__xludf.DUMMYFUNCTION("""COMPUTED_VALUE"""),44136.0)</f>
        <v>44136</v>
      </c>
      <c r="B69" s="1" t="str">
        <f>IFERROR(__xludf.DUMMYFUNCTION("""COMPUTED_VALUE"""),"2.168 €/m2")</f>
        <v>2.168 €/m2</v>
      </c>
      <c r="C69" s="1" t="str">
        <f>IFERROR(__xludf.DUMMYFUNCTION("""COMPUTED_VALUE"""),"- 0,3 %")</f>
        <v>- 0,3 %</v>
      </c>
      <c r="D69" s="1" t="str">
        <f>IFERROR(__xludf.DUMMYFUNCTION("""COMPUTED_VALUE"""),"- 1,2 %")</f>
        <v>- 1,2 %</v>
      </c>
      <c r="E69" s="1" t="str">
        <f>IFERROR(__xludf.DUMMYFUNCTION("""COMPUTED_VALUE"""),"- 1,9 %")</f>
        <v>- 1,9 %</v>
      </c>
    </row>
    <row r="70">
      <c r="A70" s="2">
        <f>IFERROR(__xludf.DUMMYFUNCTION("""COMPUTED_VALUE"""),44105.0)</f>
        <v>44105</v>
      </c>
      <c r="B70" s="1" t="str">
        <f>IFERROR(__xludf.DUMMYFUNCTION("""COMPUTED_VALUE"""),"2.175 €/m2")</f>
        <v>2.175 €/m2</v>
      </c>
      <c r="C70" s="1" t="str">
        <f>IFERROR(__xludf.DUMMYFUNCTION("""COMPUTED_VALUE"""),"- 0,1 %")</f>
        <v>- 0,1 %</v>
      </c>
      <c r="D70" s="1" t="str">
        <f>IFERROR(__xludf.DUMMYFUNCTION("""COMPUTED_VALUE"""),"- 0,1 %")</f>
        <v>- 0,1 %</v>
      </c>
      <c r="E70" s="1" t="str">
        <f>IFERROR(__xludf.DUMMYFUNCTION("""COMPUTED_VALUE"""),"- 1,4 %")</f>
        <v>- 1,4 %</v>
      </c>
    </row>
    <row r="71">
      <c r="A71" s="2">
        <f>IFERROR(__xludf.DUMMYFUNCTION("""COMPUTED_VALUE"""),44075.0)</f>
        <v>44075</v>
      </c>
      <c r="B71" s="1" t="str">
        <f>IFERROR(__xludf.DUMMYFUNCTION("""COMPUTED_VALUE"""),"2.178 €/m2")</f>
        <v>2.178 €/m2</v>
      </c>
      <c r="C71" s="1" t="str">
        <f>IFERROR(__xludf.DUMMYFUNCTION("""COMPUTED_VALUE"""),"- 0,8 %")</f>
        <v>- 0,8 %</v>
      </c>
      <c r="D71" s="1" t="str">
        <f>IFERROR(__xludf.DUMMYFUNCTION("""COMPUTED_VALUE"""),"+ 1,0 %")</f>
        <v>+ 1,0 %</v>
      </c>
      <c r="E71" s="1" t="str">
        <f>IFERROR(__xludf.DUMMYFUNCTION("""COMPUTED_VALUE"""),"- 1,2 %")</f>
        <v>- 1,2 %</v>
      </c>
    </row>
    <row r="72">
      <c r="A72" s="2">
        <f>IFERROR(__xludf.DUMMYFUNCTION("""COMPUTED_VALUE"""),44044.0)</f>
        <v>44044</v>
      </c>
      <c r="B72" s="1" t="str">
        <f>IFERROR(__xludf.DUMMYFUNCTION("""COMPUTED_VALUE"""),"2.194 €/m2")</f>
        <v>2.194 €/m2</v>
      </c>
      <c r="C72" s="1" t="str">
        <f>IFERROR(__xludf.DUMMYFUNCTION("""COMPUTED_VALUE"""),"+ 0,8 %")</f>
        <v>+ 0,8 %</v>
      </c>
      <c r="D72" s="1" t="str">
        <f>IFERROR(__xludf.DUMMYFUNCTION("""COMPUTED_VALUE"""),"+ 1,2 %")</f>
        <v>+ 1,2 %</v>
      </c>
      <c r="E72" s="1" t="str">
        <f>IFERROR(__xludf.DUMMYFUNCTION("""COMPUTED_VALUE"""),"+ 1,0 %")</f>
        <v>+ 1,0 %</v>
      </c>
    </row>
    <row r="73">
      <c r="A73" s="2">
        <f>IFERROR(__xludf.DUMMYFUNCTION("""COMPUTED_VALUE"""),44013.0)</f>
        <v>44013</v>
      </c>
      <c r="B73" s="1" t="str">
        <f>IFERROR(__xludf.DUMMYFUNCTION("""COMPUTED_VALUE"""),"2.176 €/m2")</f>
        <v>2.176 €/m2</v>
      </c>
      <c r="C73" s="1" t="str">
        <f>IFERROR(__xludf.DUMMYFUNCTION("""COMPUTED_VALUE"""),"+ 0,9 %")</f>
        <v>+ 0,9 %</v>
      </c>
      <c r="D73" s="1" t="str">
        <f>IFERROR(__xludf.DUMMYFUNCTION("""COMPUTED_VALUE"""),"- 0,4 %")</f>
        <v>- 0,4 %</v>
      </c>
      <c r="E73" s="1" t="str">
        <f>IFERROR(__xludf.DUMMYFUNCTION("""COMPUTED_VALUE"""),"+ 1,1 %")</f>
        <v>+ 1,1 %</v>
      </c>
    </row>
    <row r="74">
      <c r="A74" s="2">
        <f>IFERROR(__xludf.DUMMYFUNCTION("""COMPUTED_VALUE"""),43983.0)</f>
        <v>43983</v>
      </c>
      <c r="B74" s="1" t="str">
        <f>IFERROR(__xludf.DUMMYFUNCTION("""COMPUTED_VALUE"""),"2.156 €/m2")</f>
        <v>2.156 €/m2</v>
      </c>
      <c r="C74" s="1" t="str">
        <f>IFERROR(__xludf.DUMMYFUNCTION("""COMPUTED_VALUE"""),"- 0,5 %")</f>
        <v>- 0,5 %</v>
      </c>
      <c r="D74" s="1" t="str">
        <f>IFERROR(__xludf.DUMMYFUNCTION("""COMPUTED_VALUE"""),"- 2,5 %")</f>
        <v>- 2,5 %</v>
      </c>
      <c r="E74" s="1" t="str">
        <f>IFERROR(__xludf.DUMMYFUNCTION("""COMPUTED_VALUE"""),"- 0,7 %")</f>
        <v>- 0,7 %</v>
      </c>
    </row>
    <row r="75">
      <c r="A75" s="2">
        <f>IFERROR(__xludf.DUMMYFUNCTION("""COMPUTED_VALUE"""),43952.0)</f>
        <v>43952</v>
      </c>
      <c r="B75" s="1" t="str">
        <f>IFERROR(__xludf.DUMMYFUNCTION("""COMPUTED_VALUE"""),"2.167 €/m2")</f>
        <v>2.167 €/m2</v>
      </c>
      <c r="C75" s="1" t="str">
        <f>IFERROR(__xludf.DUMMYFUNCTION("""COMPUTED_VALUE"""),"- 0,8 %")</f>
        <v>- 0,8 %</v>
      </c>
      <c r="D75" s="1" t="str">
        <f>IFERROR(__xludf.DUMMYFUNCTION("""COMPUTED_VALUE"""),"- 1,9 %")</f>
        <v>- 1,9 %</v>
      </c>
      <c r="E75" s="1" t="str">
        <f>IFERROR(__xludf.DUMMYFUNCTION("""COMPUTED_VALUE"""),"- 0,5 %")</f>
        <v>- 0,5 %</v>
      </c>
    </row>
    <row r="76">
      <c r="A76" s="2">
        <f>IFERROR(__xludf.DUMMYFUNCTION("""COMPUTED_VALUE"""),43922.0)</f>
        <v>43922</v>
      </c>
      <c r="B76" s="1" t="str">
        <f>IFERROR(__xludf.DUMMYFUNCTION("""COMPUTED_VALUE"""),"2.184 €/m2")</f>
        <v>2.184 €/m2</v>
      </c>
      <c r="C76" s="1" t="str">
        <f>IFERROR(__xludf.DUMMYFUNCTION("""COMPUTED_VALUE"""),"- 1,2 %")</f>
        <v>- 1,2 %</v>
      </c>
      <c r="D76" s="1" t="str">
        <f>IFERROR(__xludf.DUMMYFUNCTION("""COMPUTED_VALUE"""),"- 0,7 %")</f>
        <v>- 0,7 %</v>
      </c>
      <c r="E76" s="1" t="str">
        <f>IFERROR(__xludf.DUMMYFUNCTION("""COMPUTED_VALUE"""),"+ 0,4 %")</f>
        <v>+ 0,4 %</v>
      </c>
    </row>
    <row r="77">
      <c r="A77" s="2">
        <f>IFERROR(__xludf.DUMMYFUNCTION("""COMPUTED_VALUE"""),43891.0)</f>
        <v>43891</v>
      </c>
      <c r="B77" s="1" t="str">
        <f>IFERROR(__xludf.DUMMYFUNCTION("""COMPUTED_VALUE"""),"2.211 €/m2")</f>
        <v>2.211 €/m2</v>
      </c>
      <c r="C77" s="1" t="str">
        <f>IFERROR(__xludf.DUMMYFUNCTION("""COMPUTED_VALUE"""),"+ 0,1 %")</f>
        <v>+ 0,1 %</v>
      </c>
      <c r="D77" s="1" t="str">
        <f>IFERROR(__xludf.DUMMYFUNCTION("""COMPUTED_VALUE"""),"+ 0,1 %")</f>
        <v>+ 0,1 %</v>
      </c>
      <c r="E77" s="1" t="str">
        <f>IFERROR(__xludf.DUMMYFUNCTION("""COMPUTED_VALUE"""),"+ 2,4 %")</f>
        <v>+ 2,4 %</v>
      </c>
    </row>
    <row r="78">
      <c r="A78" s="2">
        <f>IFERROR(__xludf.DUMMYFUNCTION("""COMPUTED_VALUE"""),43862.0)</f>
        <v>43862</v>
      </c>
      <c r="B78" s="1" t="str">
        <f>IFERROR(__xludf.DUMMYFUNCTION("""COMPUTED_VALUE"""),"2.209 €/m2")</f>
        <v>2.209 €/m2</v>
      </c>
      <c r="C78" s="1" t="str">
        <f>IFERROR(__xludf.DUMMYFUNCTION("""COMPUTED_VALUE"""),"+ 0,4 %")</f>
        <v>+ 0,4 %</v>
      </c>
      <c r="D78" s="1" t="str">
        <f>IFERROR(__xludf.DUMMYFUNCTION("""COMPUTED_VALUE"""),"0,0 %")</f>
        <v>0,0 %</v>
      </c>
      <c r="E78" s="1" t="str">
        <f>IFERROR(__xludf.DUMMYFUNCTION("""COMPUTED_VALUE"""),"+ 2,6 %")</f>
        <v>+ 2,6 %</v>
      </c>
    </row>
    <row r="79">
      <c r="A79" s="2">
        <f>IFERROR(__xludf.DUMMYFUNCTION("""COMPUTED_VALUE"""),43831.0)</f>
        <v>43831</v>
      </c>
      <c r="B79" s="1" t="str">
        <f>IFERROR(__xludf.DUMMYFUNCTION("""COMPUTED_VALUE"""),"2.200 €/m2")</f>
        <v>2.200 €/m2</v>
      </c>
      <c r="C79" s="1" t="str">
        <f>IFERROR(__xludf.DUMMYFUNCTION("""COMPUTED_VALUE"""),"- 0,4 %")</f>
        <v>- 0,4 %</v>
      </c>
      <c r="D79" s="1" t="str">
        <f>IFERROR(__xludf.DUMMYFUNCTION("""COMPUTED_VALUE"""),"- 0,2 %")</f>
        <v>- 0,2 %</v>
      </c>
      <c r="E79" s="1" t="str">
        <f>IFERROR(__xludf.DUMMYFUNCTION("""COMPUTED_VALUE"""),"+ 2,3 %")</f>
        <v>+ 2,3 %</v>
      </c>
    </row>
    <row r="80">
      <c r="A80" s="2">
        <f>IFERROR(__xludf.DUMMYFUNCTION("""COMPUTED_VALUE"""),43800.0)</f>
        <v>43800</v>
      </c>
      <c r="B80" s="1" t="str">
        <f>IFERROR(__xludf.DUMMYFUNCTION("""COMPUTED_VALUE"""),"2.209 €/m2")</f>
        <v>2.209 €/m2</v>
      </c>
      <c r="C80" s="1" t="str">
        <f>IFERROR(__xludf.DUMMYFUNCTION("""COMPUTED_VALUE"""),"0,0 %")</f>
        <v>0,0 %</v>
      </c>
      <c r="D80" s="1" t="str">
        <f>IFERROR(__xludf.DUMMYFUNCTION("""COMPUTED_VALUE"""),"+ 0,2 %")</f>
        <v>+ 0,2 %</v>
      </c>
      <c r="E80" s="1" t="str">
        <f>IFERROR(__xludf.DUMMYFUNCTION("""COMPUTED_VALUE"""),"+ 3,9 %")</f>
        <v>+ 3,9 %</v>
      </c>
    </row>
    <row r="81">
      <c r="A81" s="2">
        <f>IFERROR(__xludf.DUMMYFUNCTION("""COMPUTED_VALUE"""),43770.0)</f>
        <v>43770</v>
      </c>
      <c r="B81" s="1" t="str">
        <f>IFERROR(__xludf.DUMMYFUNCTION("""COMPUTED_VALUE"""),"2.210 €/m2")</f>
        <v>2.210 €/m2</v>
      </c>
      <c r="C81" s="1" t="str">
        <f>IFERROR(__xludf.DUMMYFUNCTION("""COMPUTED_VALUE"""),"+ 0,2 %")</f>
        <v>+ 0,2 %</v>
      </c>
      <c r="D81" s="1" t="str">
        <f>IFERROR(__xludf.DUMMYFUNCTION("""COMPUTED_VALUE"""),"+ 1,8 %")</f>
        <v>+ 1,8 %</v>
      </c>
      <c r="E81" s="1" t="str">
        <f>IFERROR(__xludf.DUMMYFUNCTION("""COMPUTED_VALUE"""),"+ 3,6 %")</f>
        <v>+ 3,6 %</v>
      </c>
    </row>
    <row r="82">
      <c r="A82" s="2">
        <f>IFERROR(__xludf.DUMMYFUNCTION("""COMPUTED_VALUE"""),43739.0)</f>
        <v>43739</v>
      </c>
      <c r="B82" s="1" t="str">
        <f>IFERROR(__xludf.DUMMYFUNCTION("""COMPUTED_VALUE"""),"2.206 €/m2")</f>
        <v>2.206 €/m2</v>
      </c>
      <c r="C82" s="1" t="str">
        <f>IFERROR(__xludf.DUMMYFUNCTION("""COMPUTED_VALUE"""),"+ 0,1 %")</f>
        <v>+ 0,1 %</v>
      </c>
      <c r="D82" s="1" t="str">
        <f>IFERROR(__xludf.DUMMYFUNCTION("""COMPUTED_VALUE"""),"+ 2,4 %")</f>
        <v>+ 2,4 %</v>
      </c>
      <c r="E82" s="1" t="str">
        <f>IFERROR(__xludf.DUMMYFUNCTION("""COMPUTED_VALUE"""),"+ 3,4 %")</f>
        <v>+ 3,4 %</v>
      </c>
    </row>
    <row r="83">
      <c r="A83" s="2">
        <f>IFERROR(__xludf.DUMMYFUNCTION("""COMPUTED_VALUE"""),43709.0)</f>
        <v>43709</v>
      </c>
      <c r="B83" s="1" t="str">
        <f>IFERROR(__xludf.DUMMYFUNCTION("""COMPUTED_VALUE"""),"2.204 €/m2")</f>
        <v>2.204 €/m2</v>
      </c>
      <c r="C83" s="1" t="str">
        <f>IFERROR(__xludf.DUMMYFUNCTION("""COMPUTED_VALUE"""),"+ 1,5 %")</f>
        <v>+ 1,5 %</v>
      </c>
      <c r="D83" s="1" t="str">
        <f>IFERROR(__xludf.DUMMYFUNCTION("""COMPUTED_VALUE"""),"+ 1,5 %")</f>
        <v>+ 1,5 %</v>
      </c>
      <c r="E83" s="1" t="str">
        <f>IFERROR(__xludf.DUMMYFUNCTION("""COMPUTED_VALUE"""),"+ 4,7 %")</f>
        <v>+ 4,7 %</v>
      </c>
    </row>
    <row r="84">
      <c r="A84" s="2">
        <f>IFERROR(__xludf.DUMMYFUNCTION("""COMPUTED_VALUE"""),43678.0)</f>
        <v>43678</v>
      </c>
      <c r="B84" s="1" t="str">
        <f>IFERROR(__xludf.DUMMYFUNCTION("""COMPUTED_VALUE"""),"2.171 €/m2")</f>
        <v>2.171 €/m2</v>
      </c>
      <c r="C84" s="1" t="str">
        <f>IFERROR(__xludf.DUMMYFUNCTION("""COMPUTED_VALUE"""),"+ 0,8 %")</f>
        <v>+ 0,8 %</v>
      </c>
      <c r="D84" s="1" t="str">
        <f>IFERROR(__xludf.DUMMYFUNCTION("""COMPUTED_VALUE"""),"- 0,3 %")</f>
        <v>- 0,3 %</v>
      </c>
      <c r="E84" s="1" t="str">
        <f>IFERROR(__xludf.DUMMYFUNCTION("""COMPUTED_VALUE"""),"+ 3,9 %")</f>
        <v>+ 3,9 %</v>
      </c>
    </row>
    <row r="85">
      <c r="A85" s="2">
        <f>IFERROR(__xludf.DUMMYFUNCTION("""COMPUTED_VALUE"""),43647.0)</f>
        <v>43647</v>
      </c>
      <c r="B85" s="1" t="str">
        <f>IFERROR(__xludf.DUMMYFUNCTION("""COMPUTED_VALUE"""),"2.153 €/m2")</f>
        <v>2.153 €/m2</v>
      </c>
      <c r="C85" s="1" t="str">
        <f>IFERROR(__xludf.DUMMYFUNCTION("""COMPUTED_VALUE"""),"- 0,9 %")</f>
        <v>- 0,9 %</v>
      </c>
      <c r="D85" s="1" t="str">
        <f>IFERROR(__xludf.DUMMYFUNCTION("""COMPUTED_VALUE"""),"- 1,0 %")</f>
        <v>- 1,0 %</v>
      </c>
      <c r="E85" s="1" t="str">
        <f>IFERROR(__xludf.DUMMYFUNCTION("""COMPUTED_VALUE"""),"+ 3,5 %")</f>
        <v>+ 3,5 %</v>
      </c>
    </row>
    <row r="86">
      <c r="A86" s="2">
        <f>IFERROR(__xludf.DUMMYFUNCTION("""COMPUTED_VALUE"""),43617.0)</f>
        <v>43617</v>
      </c>
      <c r="B86" s="1" t="str">
        <f>IFERROR(__xludf.DUMMYFUNCTION("""COMPUTED_VALUE"""),"2.172 €/m2")</f>
        <v>2.172 €/m2</v>
      </c>
      <c r="C86" s="1" t="str">
        <f>IFERROR(__xludf.DUMMYFUNCTION("""COMPUTED_VALUE"""),"- 0,3 %")</f>
        <v>- 0,3 %</v>
      </c>
      <c r="D86" s="1" t="str">
        <f>IFERROR(__xludf.DUMMYFUNCTION("""COMPUTED_VALUE"""),"+ 0,6 %")</f>
        <v>+ 0,6 %</v>
      </c>
      <c r="E86" s="1" t="str">
        <f>IFERROR(__xludf.DUMMYFUNCTION("""COMPUTED_VALUE"""),"+ 5,4 %")</f>
        <v>+ 5,4 %</v>
      </c>
    </row>
    <row r="87">
      <c r="A87" s="2">
        <f>IFERROR(__xludf.DUMMYFUNCTION("""COMPUTED_VALUE"""),43586.0)</f>
        <v>43586</v>
      </c>
      <c r="B87" s="1" t="str">
        <f>IFERROR(__xludf.DUMMYFUNCTION("""COMPUTED_VALUE"""),"2.179 €/m2")</f>
        <v>2.179 €/m2</v>
      </c>
      <c r="C87" s="1" t="str">
        <f>IFERROR(__xludf.DUMMYFUNCTION("""COMPUTED_VALUE"""),"+ 0,2 %")</f>
        <v>+ 0,2 %</v>
      </c>
      <c r="D87" s="1" t="str">
        <f>IFERROR(__xludf.DUMMYFUNCTION("""COMPUTED_VALUE"""),"+ 1,2 %")</f>
        <v>+ 1,2 %</v>
      </c>
      <c r="E87" s="1" t="str">
        <f>IFERROR(__xludf.DUMMYFUNCTION("""COMPUTED_VALUE"""),"+ 7,8 %")</f>
        <v>+ 7,8 %</v>
      </c>
    </row>
    <row r="88">
      <c r="A88" s="2">
        <f>IFERROR(__xludf.DUMMYFUNCTION("""COMPUTED_VALUE"""),43556.0)</f>
        <v>43556</v>
      </c>
      <c r="B88" s="1" t="str">
        <f>IFERROR(__xludf.DUMMYFUNCTION("""COMPUTED_VALUE"""),"2.175 €/m2")</f>
        <v>2.175 €/m2</v>
      </c>
      <c r="C88" s="1" t="str">
        <f>IFERROR(__xludf.DUMMYFUNCTION("""COMPUTED_VALUE"""),"+ 0,7 %")</f>
        <v>+ 0,7 %</v>
      </c>
      <c r="D88" s="1" t="str">
        <f>IFERROR(__xludf.DUMMYFUNCTION("""COMPUTED_VALUE"""),"+ 1,2 %")</f>
        <v>+ 1,2 %</v>
      </c>
      <c r="E88" s="1" t="str">
        <f>IFERROR(__xludf.DUMMYFUNCTION("""COMPUTED_VALUE"""),"+ 10,8 %")</f>
        <v>+ 10,8 %</v>
      </c>
    </row>
    <row r="89">
      <c r="A89" s="2">
        <f>IFERROR(__xludf.DUMMYFUNCTION("""COMPUTED_VALUE"""),43525.0)</f>
        <v>43525</v>
      </c>
      <c r="B89" s="1" t="str">
        <f>IFERROR(__xludf.DUMMYFUNCTION("""COMPUTED_VALUE"""),"2.159 €/m2")</f>
        <v>2.159 €/m2</v>
      </c>
      <c r="C89" s="1" t="str">
        <f>IFERROR(__xludf.DUMMYFUNCTION("""COMPUTED_VALUE"""),"+ 0,3 %")</f>
        <v>+ 0,3 %</v>
      </c>
      <c r="D89" s="1" t="str">
        <f>IFERROR(__xludf.DUMMYFUNCTION("""COMPUTED_VALUE"""),"+ 1,5 %")</f>
        <v>+ 1,5 %</v>
      </c>
      <c r="E89" s="1" t="str">
        <f>IFERROR(__xludf.DUMMYFUNCTION("""COMPUTED_VALUE"""),"+ 12,1 %")</f>
        <v>+ 12,1 %</v>
      </c>
    </row>
    <row r="90">
      <c r="A90" s="2">
        <f>IFERROR(__xludf.DUMMYFUNCTION("""COMPUTED_VALUE"""),43497.0)</f>
        <v>43497</v>
      </c>
      <c r="B90" s="1" t="str">
        <f>IFERROR(__xludf.DUMMYFUNCTION("""COMPUTED_VALUE"""),"2.153 €/m2")</f>
        <v>2.153 €/m2</v>
      </c>
      <c r="C90" s="1" t="str">
        <f>IFERROR(__xludf.DUMMYFUNCTION("""COMPUTED_VALUE"""),"+ 0,2 %")</f>
        <v>+ 0,2 %</v>
      </c>
      <c r="D90" s="1" t="str">
        <f>IFERROR(__xludf.DUMMYFUNCTION("""COMPUTED_VALUE"""),"+ 1,0 %")</f>
        <v>+ 1,0 %</v>
      </c>
      <c r="E90" s="1" t="str">
        <f>IFERROR(__xludf.DUMMYFUNCTION("""COMPUTED_VALUE"""),"+ 13,3 %")</f>
        <v>+ 13,3 %</v>
      </c>
    </row>
    <row r="91">
      <c r="A91" s="2">
        <f>IFERROR(__xludf.DUMMYFUNCTION("""COMPUTED_VALUE"""),43466.0)</f>
        <v>43466</v>
      </c>
      <c r="B91" s="1" t="str">
        <f>IFERROR(__xludf.DUMMYFUNCTION("""COMPUTED_VALUE"""),"2.150 €/m2")</f>
        <v>2.150 €/m2</v>
      </c>
      <c r="C91" s="1" t="str">
        <f>IFERROR(__xludf.DUMMYFUNCTION("""COMPUTED_VALUE"""),"+ 1,1 %")</f>
        <v>+ 1,1 %</v>
      </c>
      <c r="D91" s="1" t="str">
        <f>IFERROR(__xludf.DUMMYFUNCTION("""COMPUTED_VALUE"""),"+ 0,8 %")</f>
        <v>+ 0,8 %</v>
      </c>
      <c r="E91" s="1" t="str">
        <f>IFERROR(__xludf.DUMMYFUNCTION("""COMPUTED_VALUE"""),"+ 14,7 %")</f>
        <v>+ 14,7 %</v>
      </c>
    </row>
    <row r="92">
      <c r="A92" s="2">
        <f>IFERROR(__xludf.DUMMYFUNCTION("""COMPUTED_VALUE"""),43435.0)</f>
        <v>43435</v>
      </c>
      <c r="B92" s="1" t="str">
        <f>IFERROR(__xludf.DUMMYFUNCTION("""COMPUTED_VALUE"""),"2.126 €/m2")</f>
        <v>2.126 €/m2</v>
      </c>
      <c r="C92" s="1" t="str">
        <f>IFERROR(__xludf.DUMMYFUNCTION("""COMPUTED_VALUE"""),"- 0,3 %")</f>
        <v>- 0,3 %</v>
      </c>
      <c r="D92" s="1" t="str">
        <f>IFERROR(__xludf.DUMMYFUNCTION("""COMPUTED_VALUE"""),"+ 1,0 %")</f>
        <v>+ 1,0 %</v>
      </c>
      <c r="E92" s="1" t="str">
        <f>IFERROR(__xludf.DUMMYFUNCTION("""COMPUTED_VALUE"""),"+ 14,7 %")</f>
        <v>+ 14,7 %</v>
      </c>
    </row>
    <row r="93">
      <c r="A93" s="2">
        <f>IFERROR(__xludf.DUMMYFUNCTION("""COMPUTED_VALUE"""),43405.0)</f>
        <v>43405</v>
      </c>
      <c r="B93" s="1" t="str">
        <f>IFERROR(__xludf.DUMMYFUNCTION("""COMPUTED_VALUE"""),"2.133 €/m2")</f>
        <v>2.133 €/m2</v>
      </c>
      <c r="C93" s="1" t="str">
        <f>IFERROR(__xludf.DUMMYFUNCTION("""COMPUTED_VALUE"""),"0,0 %")</f>
        <v>0,0 %</v>
      </c>
      <c r="D93" s="1" t="str">
        <f>IFERROR(__xludf.DUMMYFUNCTION("""COMPUTED_VALUE"""),"+ 2,0 %")</f>
        <v>+ 2,0 %</v>
      </c>
      <c r="E93" s="1" t="str">
        <f>IFERROR(__xludf.DUMMYFUNCTION("""COMPUTED_VALUE"""),"+ 14,4 %")</f>
        <v>+ 14,4 %</v>
      </c>
    </row>
    <row r="94">
      <c r="A94" s="2">
        <f>IFERROR(__xludf.DUMMYFUNCTION("""COMPUTED_VALUE"""),43374.0)</f>
        <v>43374</v>
      </c>
      <c r="B94" s="1" t="str">
        <f>IFERROR(__xludf.DUMMYFUNCTION("""COMPUTED_VALUE"""),"2.133 €/m2")</f>
        <v>2.133 €/m2</v>
      </c>
      <c r="C94" s="1" t="str">
        <f>IFERROR(__xludf.DUMMYFUNCTION("""COMPUTED_VALUE"""),"+ 1,3 %")</f>
        <v>+ 1,3 %</v>
      </c>
      <c r="D94" s="1" t="str">
        <f>IFERROR(__xludf.DUMMYFUNCTION("""COMPUTED_VALUE"""),"+ 2,6 %")</f>
        <v>+ 2,6 %</v>
      </c>
      <c r="E94" s="1" t="str">
        <f>IFERROR(__xludf.DUMMYFUNCTION("""COMPUTED_VALUE"""),"+ 14,4 %")</f>
        <v>+ 14,4 %</v>
      </c>
    </row>
    <row r="95">
      <c r="A95" s="2">
        <f>IFERROR(__xludf.DUMMYFUNCTION("""COMPUTED_VALUE"""),43344.0)</f>
        <v>43344</v>
      </c>
      <c r="B95" s="1" t="str">
        <f>IFERROR(__xludf.DUMMYFUNCTION("""COMPUTED_VALUE"""),"2.106 €/m2")</f>
        <v>2.106 €/m2</v>
      </c>
      <c r="C95" s="1" t="str">
        <f>IFERROR(__xludf.DUMMYFUNCTION("""COMPUTED_VALUE"""),"+ 0,7 %")</f>
        <v>+ 0,7 %</v>
      </c>
      <c r="D95" s="1" t="str">
        <f>IFERROR(__xludf.DUMMYFUNCTION("""COMPUTED_VALUE"""),"+ 2,2 %")</f>
        <v>+ 2,2 %</v>
      </c>
      <c r="E95" s="1" t="str">
        <f>IFERROR(__xludf.DUMMYFUNCTION("""COMPUTED_VALUE"""),"+ 16,7 %")</f>
        <v>+ 16,7 %</v>
      </c>
    </row>
    <row r="96">
      <c r="A96" s="2">
        <f>IFERROR(__xludf.DUMMYFUNCTION("""COMPUTED_VALUE"""),43313.0)</f>
        <v>43313</v>
      </c>
      <c r="B96" s="1" t="str">
        <f>IFERROR(__xludf.DUMMYFUNCTION("""COMPUTED_VALUE"""),"2.090 €/m2")</f>
        <v>2.090 €/m2</v>
      </c>
      <c r="C96" s="1" t="str">
        <f>IFERROR(__xludf.DUMMYFUNCTION("""COMPUTED_VALUE"""),"+ 0,5 %")</f>
        <v>+ 0,5 %</v>
      </c>
      <c r="D96" s="1" t="str">
        <f>IFERROR(__xludf.DUMMYFUNCTION("""COMPUTED_VALUE"""),"+ 3,4 %")</f>
        <v>+ 3,4 %</v>
      </c>
      <c r="E96" s="1" t="str">
        <f>IFERROR(__xludf.DUMMYFUNCTION("""COMPUTED_VALUE"""),"+ 18,3 %")</f>
        <v>+ 18,3 %</v>
      </c>
    </row>
    <row r="97">
      <c r="A97" s="2">
        <f>IFERROR(__xludf.DUMMYFUNCTION("""COMPUTED_VALUE"""),43282.0)</f>
        <v>43282</v>
      </c>
      <c r="B97" s="1" t="str">
        <f>IFERROR(__xludf.DUMMYFUNCTION("""COMPUTED_VALUE"""),"2.080 €/m2")</f>
        <v>2.080 €/m2</v>
      </c>
      <c r="C97" s="1" t="str">
        <f>IFERROR(__xludf.DUMMYFUNCTION("""COMPUTED_VALUE"""),"+ 0,9 %")</f>
        <v>+ 0,9 %</v>
      </c>
      <c r="D97" s="1" t="str">
        <f>IFERROR(__xludf.DUMMYFUNCTION("""COMPUTED_VALUE"""),"+ 6,0 %")</f>
        <v>+ 6,0 %</v>
      </c>
      <c r="E97" s="1" t="str">
        <f>IFERROR(__xludf.DUMMYFUNCTION("""COMPUTED_VALUE"""),"+ 16,2 %")</f>
        <v>+ 16,2 %</v>
      </c>
    </row>
    <row r="98">
      <c r="A98" s="2">
        <f>IFERROR(__xludf.DUMMYFUNCTION("""COMPUTED_VALUE"""),43252.0)</f>
        <v>43252</v>
      </c>
      <c r="B98" s="1" t="str">
        <f>IFERROR(__xludf.DUMMYFUNCTION("""COMPUTED_VALUE"""),"2.061 €/m2")</f>
        <v>2.061 €/m2</v>
      </c>
      <c r="C98" s="1" t="str">
        <f>IFERROR(__xludf.DUMMYFUNCTION("""COMPUTED_VALUE"""),"+ 2,0 %")</f>
        <v>+ 2,0 %</v>
      </c>
      <c r="D98" s="1" t="str">
        <f>IFERROR(__xludf.DUMMYFUNCTION("""COMPUTED_VALUE"""),"+ 7,0 %")</f>
        <v>+ 7,0 %</v>
      </c>
      <c r="E98" s="1" t="str">
        <f>IFERROR(__xludf.DUMMYFUNCTION("""COMPUTED_VALUE"""),"+ 16,2 %")</f>
        <v>+ 16,2 %</v>
      </c>
    </row>
    <row r="99">
      <c r="A99" s="2">
        <f>IFERROR(__xludf.DUMMYFUNCTION("""COMPUTED_VALUE"""),43221.0)</f>
        <v>43221</v>
      </c>
      <c r="B99" s="1" t="str">
        <f>IFERROR(__xludf.DUMMYFUNCTION("""COMPUTED_VALUE"""),"2.021 €/m2")</f>
        <v>2.021 €/m2</v>
      </c>
      <c r="C99" s="1" t="str">
        <f>IFERROR(__xludf.DUMMYFUNCTION("""COMPUTED_VALUE"""),"+ 2,9 %")</f>
        <v>+ 2,9 %</v>
      </c>
      <c r="D99" s="1" t="str">
        <f>IFERROR(__xludf.DUMMYFUNCTION("""COMPUTED_VALUE"""),"+ 6,3 %")</f>
        <v>+ 6,3 %</v>
      </c>
      <c r="E99" s="1" t="str">
        <f>IFERROR(__xludf.DUMMYFUNCTION("""COMPUTED_VALUE"""),"+ 15,8 %")</f>
        <v>+ 15,8 %</v>
      </c>
    </row>
    <row r="100">
      <c r="A100" s="2">
        <f>IFERROR(__xludf.DUMMYFUNCTION("""COMPUTED_VALUE"""),43191.0)</f>
        <v>43191</v>
      </c>
      <c r="B100" s="1" t="str">
        <f>IFERROR(__xludf.DUMMYFUNCTION("""COMPUTED_VALUE"""),"1.963 €/m2")</f>
        <v>1.963 €/m2</v>
      </c>
      <c r="C100" s="1" t="str">
        <f>IFERROR(__xludf.DUMMYFUNCTION("""COMPUTED_VALUE"""),"+ 1,9 %")</f>
        <v>+ 1,9 %</v>
      </c>
      <c r="D100" s="1" t="str">
        <f>IFERROR(__xludf.DUMMYFUNCTION("""COMPUTED_VALUE"""),"+ 4,8 %")</f>
        <v>+ 4,8 %</v>
      </c>
      <c r="E100" s="1" t="str">
        <f>IFERROR(__xludf.DUMMYFUNCTION("""COMPUTED_VALUE"""),"+ 14,8 %")</f>
        <v>+ 14,8 %</v>
      </c>
    </row>
    <row r="101">
      <c r="A101" s="2">
        <f>IFERROR(__xludf.DUMMYFUNCTION("""COMPUTED_VALUE"""),43160.0)</f>
        <v>43160</v>
      </c>
      <c r="B101" s="1" t="str">
        <f>IFERROR(__xludf.DUMMYFUNCTION("""COMPUTED_VALUE"""),"1.926 €/m2")</f>
        <v>1.926 €/m2</v>
      </c>
      <c r="C101" s="1" t="str">
        <f>IFERROR(__xludf.DUMMYFUNCTION("""COMPUTED_VALUE"""),"+ 1,3 %")</f>
        <v>+ 1,3 %</v>
      </c>
      <c r="D101" s="1" t="str">
        <f>IFERROR(__xludf.DUMMYFUNCTION("""COMPUTED_VALUE"""),"+ 3,9 %")</f>
        <v>+ 3,9 %</v>
      </c>
      <c r="E101" s="1" t="str">
        <f>IFERROR(__xludf.DUMMYFUNCTION("""COMPUTED_VALUE"""),"+ 13,1 %")</f>
        <v>+ 13,1 %</v>
      </c>
    </row>
    <row r="102">
      <c r="A102" s="2">
        <f>IFERROR(__xludf.DUMMYFUNCTION("""COMPUTED_VALUE"""),43132.0)</f>
        <v>43132</v>
      </c>
      <c r="B102" s="1" t="str">
        <f>IFERROR(__xludf.DUMMYFUNCTION("""COMPUTED_VALUE"""),"1.901 €/m2")</f>
        <v>1.901 €/m2</v>
      </c>
      <c r="C102" s="1" t="str">
        <f>IFERROR(__xludf.DUMMYFUNCTION("""COMPUTED_VALUE"""),"+ 1,5 %")</f>
        <v>+ 1,5 %</v>
      </c>
      <c r="D102" s="1" t="str">
        <f>IFERROR(__xludf.DUMMYFUNCTION("""COMPUTED_VALUE"""),"+ 2,0 %")</f>
        <v>+ 2,0 %</v>
      </c>
      <c r="E102" s="1" t="str">
        <f>IFERROR(__xludf.DUMMYFUNCTION("""COMPUTED_VALUE"""),"+ 12,9 %")</f>
        <v>+ 12,9 %</v>
      </c>
    </row>
    <row r="103">
      <c r="A103" s="2">
        <f>IFERROR(__xludf.DUMMYFUNCTION("""COMPUTED_VALUE"""),43101.0)</f>
        <v>43101</v>
      </c>
      <c r="B103" s="1" t="str">
        <f>IFERROR(__xludf.DUMMYFUNCTION("""COMPUTED_VALUE"""),"1.874 €/m2")</f>
        <v>1.874 €/m2</v>
      </c>
      <c r="C103" s="1" t="str">
        <f>IFERROR(__xludf.DUMMYFUNCTION("""COMPUTED_VALUE"""),"+ 1,1 %")</f>
        <v>+ 1,1 %</v>
      </c>
      <c r="D103" s="1" t="str">
        <f>IFERROR(__xludf.DUMMYFUNCTION("""COMPUTED_VALUE"""),"+ 0,5 %")</f>
        <v>+ 0,5 %</v>
      </c>
      <c r="E103" s="1" t="str">
        <f>IFERROR(__xludf.DUMMYFUNCTION("""COMPUTED_VALUE"""),"+ 11,0 %")</f>
        <v>+ 11,0 %</v>
      </c>
    </row>
    <row r="104">
      <c r="A104" s="2">
        <f>IFERROR(__xludf.DUMMYFUNCTION("""COMPUTED_VALUE"""),43070.0)</f>
        <v>43070</v>
      </c>
      <c r="B104" s="1" t="str">
        <f>IFERROR(__xludf.DUMMYFUNCTION("""COMPUTED_VALUE"""),"1.853 €/m2")</f>
        <v>1.853 €/m2</v>
      </c>
      <c r="C104" s="1" t="str">
        <f>IFERROR(__xludf.DUMMYFUNCTION("""COMPUTED_VALUE"""),"- 0,6 %")</f>
        <v>- 0,6 %</v>
      </c>
      <c r="D104" s="1" t="str">
        <f>IFERROR(__xludf.DUMMYFUNCTION("""COMPUTED_VALUE"""),"+ 2,7 %")</f>
        <v>+ 2,7 %</v>
      </c>
      <c r="E104" s="1" t="str">
        <f>IFERROR(__xludf.DUMMYFUNCTION("""COMPUTED_VALUE"""),"+ 8,8 %")</f>
        <v>+ 8,8 %</v>
      </c>
    </row>
    <row r="105">
      <c r="A105" s="2">
        <f>IFERROR(__xludf.DUMMYFUNCTION("""COMPUTED_VALUE"""),43040.0)</f>
        <v>43040</v>
      </c>
      <c r="B105" s="1" t="str">
        <f>IFERROR(__xludf.DUMMYFUNCTION("""COMPUTED_VALUE"""),"1.864 €/m2")</f>
        <v>1.864 €/m2</v>
      </c>
      <c r="C105" s="1" t="str">
        <f>IFERROR(__xludf.DUMMYFUNCTION("""COMPUTED_VALUE"""),"0,0 %")</f>
        <v>0,0 %</v>
      </c>
      <c r="D105" s="1" t="str">
        <f>IFERROR(__xludf.DUMMYFUNCTION("""COMPUTED_VALUE"""),"+ 5,5 %")</f>
        <v>+ 5,5 %</v>
      </c>
      <c r="E105" s="1" t="str">
        <f>IFERROR(__xludf.DUMMYFUNCTION("""COMPUTED_VALUE"""),"+ 10,8 %")</f>
        <v>+ 10,8 %</v>
      </c>
    </row>
    <row r="106">
      <c r="A106" s="2">
        <f>IFERROR(__xludf.DUMMYFUNCTION("""COMPUTED_VALUE"""),43009.0)</f>
        <v>43009</v>
      </c>
      <c r="B106" s="1" t="str">
        <f>IFERROR(__xludf.DUMMYFUNCTION("""COMPUTED_VALUE"""),"1.864 €/m2")</f>
        <v>1.864 €/m2</v>
      </c>
      <c r="C106" s="1" t="str">
        <f>IFERROR(__xludf.DUMMYFUNCTION("""COMPUTED_VALUE"""),"+ 3,3 %")</f>
        <v>+ 3,3 %</v>
      </c>
      <c r="D106" s="1" t="str">
        <f>IFERROR(__xludf.DUMMYFUNCTION("""COMPUTED_VALUE"""),"+ 4,1 %")</f>
        <v>+ 4,1 %</v>
      </c>
      <c r="E106" s="1" t="str">
        <f>IFERROR(__xludf.DUMMYFUNCTION("""COMPUTED_VALUE"""),"+ 11,9 %")</f>
        <v>+ 11,9 %</v>
      </c>
    </row>
    <row r="107">
      <c r="A107" s="2">
        <f>IFERROR(__xludf.DUMMYFUNCTION("""COMPUTED_VALUE"""),42979.0)</f>
        <v>42979</v>
      </c>
      <c r="B107" s="1" t="str">
        <f>IFERROR(__xludf.DUMMYFUNCTION("""COMPUTED_VALUE"""),"1.805 €/m2")</f>
        <v>1.805 €/m2</v>
      </c>
      <c r="C107" s="1" t="str">
        <f>IFERROR(__xludf.DUMMYFUNCTION("""COMPUTED_VALUE"""),"+ 2,2 %")</f>
        <v>+ 2,2 %</v>
      </c>
      <c r="D107" s="1" t="str">
        <f>IFERROR(__xludf.DUMMYFUNCTION("""COMPUTED_VALUE"""),"+ 1,7 %")</f>
        <v>+ 1,7 %</v>
      </c>
      <c r="E107" s="1" t="str">
        <f>IFERROR(__xludf.DUMMYFUNCTION("""COMPUTED_VALUE"""),"+ 9,9 %")</f>
        <v>+ 9,9 %</v>
      </c>
    </row>
    <row r="108">
      <c r="A108" s="2">
        <f>IFERROR(__xludf.DUMMYFUNCTION("""COMPUTED_VALUE"""),42948.0)</f>
        <v>42948</v>
      </c>
      <c r="B108" s="1" t="str">
        <f>IFERROR(__xludf.DUMMYFUNCTION("""COMPUTED_VALUE"""),"1.766 €/m2")</f>
        <v>1.766 €/m2</v>
      </c>
      <c r="C108" s="1" t="str">
        <f>IFERROR(__xludf.DUMMYFUNCTION("""COMPUTED_VALUE"""),"- 1,3 %")</f>
        <v>- 1,3 %</v>
      </c>
      <c r="D108" s="1" t="str">
        <f>IFERROR(__xludf.DUMMYFUNCTION("""COMPUTED_VALUE"""),"+ 1,2 %")</f>
        <v>+ 1,2 %</v>
      </c>
      <c r="E108" s="1" t="str">
        <f>IFERROR(__xludf.DUMMYFUNCTION("""COMPUTED_VALUE"""),"+ 9,4 %")</f>
        <v>+ 9,4 %</v>
      </c>
    </row>
    <row r="109">
      <c r="A109" s="2">
        <f>IFERROR(__xludf.DUMMYFUNCTION("""COMPUTED_VALUE"""),42917.0)</f>
        <v>42917</v>
      </c>
      <c r="B109" s="1" t="str">
        <f>IFERROR(__xludf.DUMMYFUNCTION("""COMPUTED_VALUE"""),"1.790 €/m2")</f>
        <v>1.790 €/m2</v>
      </c>
      <c r="C109" s="1" t="str">
        <f>IFERROR(__xludf.DUMMYFUNCTION("""COMPUTED_VALUE"""),"+ 0,9 %")</f>
        <v>+ 0,9 %</v>
      </c>
      <c r="D109" s="1" t="str">
        <f>IFERROR(__xludf.DUMMYFUNCTION("""COMPUTED_VALUE"""),"+ 4,7 %")</f>
        <v>+ 4,7 %</v>
      </c>
      <c r="E109" s="1" t="str">
        <f>IFERROR(__xludf.DUMMYFUNCTION("""COMPUTED_VALUE"""),"+ 11,8 %")</f>
        <v>+ 11,8 %</v>
      </c>
    </row>
    <row r="110">
      <c r="A110" s="2">
        <f>IFERROR(__xludf.DUMMYFUNCTION("""COMPUTED_VALUE"""),42887.0)</f>
        <v>42887</v>
      </c>
      <c r="B110" s="1" t="str">
        <f>IFERROR(__xludf.DUMMYFUNCTION("""COMPUTED_VALUE"""),"1.774 €/m2")</f>
        <v>1.774 €/m2</v>
      </c>
      <c r="C110" s="1" t="str">
        <f>IFERROR(__xludf.DUMMYFUNCTION("""COMPUTED_VALUE"""),"+ 1,6 %")</f>
        <v>+ 1,6 %</v>
      </c>
      <c r="D110" s="1" t="str">
        <f>IFERROR(__xludf.DUMMYFUNCTION("""COMPUTED_VALUE"""),"+ 4,2 %")</f>
        <v>+ 4,2 %</v>
      </c>
      <c r="E110" s="1" t="str">
        <f>IFERROR(__xludf.DUMMYFUNCTION("""COMPUTED_VALUE"""),"+ 8,9 %")</f>
        <v>+ 8,9 %</v>
      </c>
    </row>
    <row r="111">
      <c r="A111" s="2">
        <f>IFERROR(__xludf.DUMMYFUNCTION("""COMPUTED_VALUE"""),42856.0)</f>
        <v>42856</v>
      </c>
      <c r="B111" s="1" t="str">
        <f>IFERROR(__xludf.DUMMYFUNCTION("""COMPUTED_VALUE"""),"1.746 €/m2")</f>
        <v>1.746 €/m2</v>
      </c>
      <c r="C111" s="1" t="str">
        <f>IFERROR(__xludf.DUMMYFUNCTION("""COMPUTED_VALUE"""),"+ 2,1 %")</f>
        <v>+ 2,1 %</v>
      </c>
      <c r="D111" s="1" t="str">
        <f>IFERROR(__xludf.DUMMYFUNCTION("""COMPUTED_VALUE"""),"+ 3,7 %")</f>
        <v>+ 3,7 %</v>
      </c>
      <c r="E111" s="1" t="str">
        <f>IFERROR(__xludf.DUMMYFUNCTION("""COMPUTED_VALUE"""),"+ 8,3 %")</f>
        <v>+ 8,3 %</v>
      </c>
    </row>
    <row r="112">
      <c r="A112" s="2">
        <f>IFERROR(__xludf.DUMMYFUNCTION("""COMPUTED_VALUE"""),42826.0)</f>
        <v>42826</v>
      </c>
      <c r="B112" s="1" t="str">
        <f>IFERROR(__xludf.DUMMYFUNCTION("""COMPUTED_VALUE"""),"1.710 €/m2")</f>
        <v>1.710 €/m2</v>
      </c>
      <c r="C112" s="1" t="str">
        <f>IFERROR(__xludf.DUMMYFUNCTION("""COMPUTED_VALUE"""),"+ 0,5 %")</f>
        <v>+ 0,5 %</v>
      </c>
      <c r="D112" s="1" t="str">
        <f>IFERROR(__xludf.DUMMYFUNCTION("""COMPUTED_VALUE"""),"+ 1,3 %")</f>
        <v>+ 1,3 %</v>
      </c>
      <c r="E112" s="1" t="str">
        <f>IFERROR(__xludf.DUMMYFUNCTION("""COMPUTED_VALUE"""),"+ 5,2 %")</f>
        <v>+ 5,2 %</v>
      </c>
    </row>
    <row r="113">
      <c r="A113" s="2">
        <f>IFERROR(__xludf.DUMMYFUNCTION("""COMPUTED_VALUE"""),42795.0)</f>
        <v>42795</v>
      </c>
      <c r="B113" s="1" t="str">
        <f>IFERROR(__xludf.DUMMYFUNCTION("""COMPUTED_VALUE"""),"1.703 €/m2")</f>
        <v>1.703 €/m2</v>
      </c>
      <c r="C113" s="1" t="str">
        <f>IFERROR(__xludf.DUMMYFUNCTION("""COMPUTED_VALUE"""),"+ 1,1 %")</f>
        <v>+ 1,1 %</v>
      </c>
      <c r="D113" s="1" t="str">
        <f>IFERROR(__xludf.DUMMYFUNCTION("""COMPUTED_VALUE"""),"0,0 %")</f>
        <v>0,0 %</v>
      </c>
      <c r="E113" s="1" t="str">
        <f>IFERROR(__xludf.DUMMYFUNCTION("""COMPUTED_VALUE"""),"+ 4,7 %")</f>
        <v>+ 4,7 %</v>
      </c>
    </row>
    <row r="114">
      <c r="A114" s="2">
        <f>IFERROR(__xludf.DUMMYFUNCTION("""COMPUTED_VALUE"""),42767.0)</f>
        <v>42767</v>
      </c>
      <c r="B114" s="1" t="str">
        <f>IFERROR(__xludf.DUMMYFUNCTION("""COMPUTED_VALUE"""),"1.684 €/m2")</f>
        <v>1.684 €/m2</v>
      </c>
      <c r="C114" s="1" t="str">
        <f>IFERROR(__xludf.DUMMYFUNCTION("""COMPUTED_VALUE"""),"- 0,3 %")</f>
        <v>- 0,3 %</v>
      </c>
      <c r="D114" s="1" t="str">
        <f>IFERROR(__xludf.DUMMYFUNCTION("""COMPUTED_VALUE"""),"+ 0,1 %")</f>
        <v>+ 0,1 %</v>
      </c>
      <c r="E114" s="1" t="str">
        <f>IFERROR(__xludf.DUMMYFUNCTION("""COMPUTED_VALUE"""),"+ 4,3 %")</f>
        <v>+ 4,3 %</v>
      </c>
    </row>
    <row r="115">
      <c r="A115" s="2">
        <f>IFERROR(__xludf.DUMMYFUNCTION("""COMPUTED_VALUE"""),42736.0)</f>
        <v>42736</v>
      </c>
      <c r="B115" s="1" t="str">
        <f>IFERROR(__xludf.DUMMYFUNCTION("""COMPUTED_VALUE"""),"1.688 €/m2")</f>
        <v>1.688 €/m2</v>
      </c>
      <c r="C115" s="1" t="str">
        <f>IFERROR(__xludf.DUMMYFUNCTION("""COMPUTED_VALUE"""),"- 0,8 %")</f>
        <v>- 0,8 %</v>
      </c>
      <c r="D115" s="1" t="str">
        <f>IFERROR(__xludf.DUMMYFUNCTION("""COMPUTED_VALUE"""),"+ 1,3 %")</f>
        <v>+ 1,3 %</v>
      </c>
      <c r="E115" s="1" t="str">
        <f>IFERROR(__xludf.DUMMYFUNCTION("""COMPUTED_VALUE"""),"+ 3,8 %")</f>
        <v>+ 3,8 %</v>
      </c>
    </row>
    <row r="116">
      <c r="A116" s="2">
        <f>IFERROR(__xludf.DUMMYFUNCTION("""COMPUTED_VALUE"""),42705.0)</f>
        <v>42705</v>
      </c>
      <c r="B116" s="1" t="str">
        <f>IFERROR(__xludf.DUMMYFUNCTION("""COMPUTED_VALUE"""),"1.703 €/m2")</f>
        <v>1.703 €/m2</v>
      </c>
      <c r="C116" s="1" t="str">
        <f>IFERROR(__xludf.DUMMYFUNCTION("""COMPUTED_VALUE"""),"+ 1,2 %")</f>
        <v>+ 1,2 %</v>
      </c>
      <c r="D116" s="1" t="str">
        <f>IFERROR(__xludf.DUMMYFUNCTION("""COMPUTED_VALUE"""),"+ 3,7 %")</f>
        <v>+ 3,7 %</v>
      </c>
      <c r="E116" s="1" t="str">
        <f>IFERROR(__xludf.DUMMYFUNCTION("""COMPUTED_VALUE"""),"+ 3,5 %")</f>
        <v>+ 3,5 %</v>
      </c>
    </row>
    <row r="117">
      <c r="A117" s="2">
        <f>IFERROR(__xludf.DUMMYFUNCTION("""COMPUTED_VALUE"""),42675.0)</f>
        <v>42675</v>
      </c>
      <c r="B117" s="1" t="str">
        <f>IFERROR(__xludf.DUMMYFUNCTION("""COMPUTED_VALUE"""),"1.683 €/m2")</f>
        <v>1.683 €/m2</v>
      </c>
      <c r="C117" s="1" t="str">
        <f>IFERROR(__xludf.DUMMYFUNCTION("""COMPUTED_VALUE"""),"+ 1,0 %")</f>
        <v>+ 1,0 %</v>
      </c>
      <c r="D117" s="1" t="str">
        <f>IFERROR(__xludf.DUMMYFUNCTION("""COMPUTED_VALUE"""),"+ 4,2 %")</f>
        <v>+ 4,2 %</v>
      </c>
      <c r="E117" s="1" t="str">
        <f>IFERROR(__xludf.DUMMYFUNCTION("""COMPUTED_VALUE"""),"+ 2,3 %")</f>
        <v>+ 2,3 %</v>
      </c>
    </row>
    <row r="118">
      <c r="A118" s="2">
        <f>IFERROR(__xludf.DUMMYFUNCTION("""COMPUTED_VALUE"""),42644.0)</f>
        <v>42644</v>
      </c>
      <c r="B118" s="1" t="str">
        <f>IFERROR(__xludf.DUMMYFUNCTION("""COMPUTED_VALUE"""),"1.666 €/m2")</f>
        <v>1.666 €/m2</v>
      </c>
      <c r="C118" s="1" t="str">
        <f>IFERROR(__xludf.DUMMYFUNCTION("""COMPUTED_VALUE"""),"+ 1,5 %")</f>
        <v>+ 1,5 %</v>
      </c>
      <c r="D118" s="1" t="str">
        <f>IFERROR(__xludf.DUMMYFUNCTION("""COMPUTED_VALUE"""),"+ 4,0 %")</f>
        <v>+ 4,0 %</v>
      </c>
      <c r="E118" s="1" t="str">
        <f>IFERROR(__xludf.DUMMYFUNCTION("""COMPUTED_VALUE"""),"+ 1,0 %")</f>
        <v>+ 1,0 %</v>
      </c>
    </row>
    <row r="119">
      <c r="A119" s="2">
        <f>IFERROR(__xludf.DUMMYFUNCTION("""COMPUTED_VALUE"""),42614.0)</f>
        <v>42614</v>
      </c>
      <c r="B119" s="1" t="str">
        <f>IFERROR(__xludf.DUMMYFUNCTION("""COMPUTED_VALUE"""),"1.642 €/m2")</f>
        <v>1.642 €/m2</v>
      </c>
      <c r="C119" s="1" t="str">
        <f>IFERROR(__xludf.DUMMYFUNCTION("""COMPUTED_VALUE"""),"+ 1,7 %")</f>
        <v>+ 1,7 %</v>
      </c>
      <c r="D119" s="1" t="str">
        <f>IFERROR(__xludf.DUMMYFUNCTION("""COMPUTED_VALUE"""),"+ 0,8 %")</f>
        <v>+ 0,8 %</v>
      </c>
      <c r="E119" s="1" t="str">
        <f>IFERROR(__xludf.DUMMYFUNCTION("""COMPUTED_VALUE"""),"+ 0,9 %")</f>
        <v>+ 0,9 %</v>
      </c>
    </row>
    <row r="120">
      <c r="A120" s="2">
        <f>IFERROR(__xludf.DUMMYFUNCTION("""COMPUTED_VALUE"""),42583.0)</f>
        <v>42583</v>
      </c>
      <c r="B120" s="1" t="str">
        <f>IFERROR(__xludf.DUMMYFUNCTION("""COMPUTED_VALUE"""),"1.615 €/m2")</f>
        <v>1.615 €/m2</v>
      </c>
      <c r="C120" s="1" t="str">
        <f>IFERROR(__xludf.DUMMYFUNCTION("""COMPUTED_VALUE"""),"+ 0,8 %")</f>
        <v>+ 0,8 %</v>
      </c>
      <c r="D120" s="1" t="str">
        <f>IFERROR(__xludf.DUMMYFUNCTION("""COMPUTED_VALUE"""),"+ 0,2 %")</f>
        <v>+ 0,2 %</v>
      </c>
      <c r="E120" s="1" t="str">
        <f>IFERROR(__xludf.DUMMYFUNCTION("""COMPUTED_VALUE"""),"- 1,0 %")</f>
        <v>- 1,0 %</v>
      </c>
    </row>
    <row r="121">
      <c r="A121" s="2">
        <f>IFERROR(__xludf.DUMMYFUNCTION("""COMPUTED_VALUE"""),42552.0)</f>
        <v>42552</v>
      </c>
      <c r="B121" s="1" t="str">
        <f>IFERROR(__xludf.DUMMYFUNCTION("""COMPUTED_VALUE"""),"1.601 €/m2")</f>
        <v>1.601 €/m2</v>
      </c>
      <c r="C121" s="1" t="str">
        <f>IFERROR(__xludf.DUMMYFUNCTION("""COMPUTED_VALUE"""),"- 1,7 %")</f>
        <v>- 1,7 %</v>
      </c>
      <c r="D121" s="1" t="str">
        <f>IFERROR(__xludf.DUMMYFUNCTION("""COMPUTED_VALUE"""),"- 1,5 %")</f>
        <v>- 1,5 %</v>
      </c>
      <c r="E121" s="1" t="str">
        <f>IFERROR(__xludf.DUMMYFUNCTION("""COMPUTED_VALUE"""),"- 2,8 %")</f>
        <v>- 2,8 %</v>
      </c>
    </row>
    <row r="122">
      <c r="A122" s="2">
        <f>IFERROR(__xludf.DUMMYFUNCTION("""COMPUTED_VALUE"""),42522.0)</f>
        <v>42522</v>
      </c>
      <c r="B122" s="1" t="str">
        <f>IFERROR(__xludf.DUMMYFUNCTION("""COMPUTED_VALUE"""),"1.629 €/m2")</f>
        <v>1.629 €/m2</v>
      </c>
      <c r="C122" s="1" t="str">
        <f>IFERROR(__xludf.DUMMYFUNCTION("""COMPUTED_VALUE"""),"+ 1,1 %")</f>
        <v>+ 1,1 %</v>
      </c>
      <c r="D122" s="1" t="str">
        <f>IFERROR(__xludf.DUMMYFUNCTION("""COMPUTED_VALUE"""),"+ 0,2 %")</f>
        <v>+ 0,2 %</v>
      </c>
      <c r="E122" s="1" t="str">
        <f>IFERROR(__xludf.DUMMYFUNCTION("""COMPUTED_VALUE"""),"- 1,5 %")</f>
        <v>- 1,5 %</v>
      </c>
    </row>
    <row r="123">
      <c r="A123" s="2">
        <f>IFERROR(__xludf.DUMMYFUNCTION("""COMPUTED_VALUE"""),42491.0)</f>
        <v>42491</v>
      </c>
      <c r="B123" s="1" t="str">
        <f>IFERROR(__xludf.DUMMYFUNCTION("""COMPUTED_VALUE"""),"1.611 €/m2")</f>
        <v>1.611 €/m2</v>
      </c>
      <c r="C123" s="1" t="str">
        <f>IFERROR(__xludf.DUMMYFUNCTION("""COMPUTED_VALUE"""),"- 0,9 %")</f>
        <v>- 0,9 %</v>
      </c>
      <c r="D123" s="1" t="str">
        <f>IFERROR(__xludf.DUMMYFUNCTION("""COMPUTED_VALUE"""),"- 0,2 %")</f>
        <v>- 0,2 %</v>
      </c>
      <c r="E123" s="1" t="str">
        <f>IFERROR(__xludf.DUMMYFUNCTION("""COMPUTED_VALUE"""),"- 1,2 %")</f>
        <v>- 1,2 %</v>
      </c>
    </row>
    <row r="124">
      <c r="A124" s="2">
        <f>IFERROR(__xludf.DUMMYFUNCTION("""COMPUTED_VALUE"""),42461.0)</f>
        <v>42461</v>
      </c>
      <c r="B124" s="1" t="str">
        <f>IFERROR(__xludf.DUMMYFUNCTION("""COMPUTED_VALUE"""),"1.626 €/m2")</f>
        <v>1.626 €/m2</v>
      </c>
      <c r="C124" s="1" t="str">
        <f>IFERROR(__xludf.DUMMYFUNCTION("""COMPUTED_VALUE"""),"0,0 %")</f>
        <v>0,0 %</v>
      </c>
      <c r="D124" s="1" t="str">
        <f>IFERROR(__xludf.DUMMYFUNCTION("""COMPUTED_VALUE"""),"0,0 %")</f>
        <v>0,0 %</v>
      </c>
      <c r="E124" s="1" t="str">
        <f>IFERROR(__xludf.DUMMYFUNCTION("""COMPUTED_VALUE"""),"0,0 %")</f>
        <v>0,0 %</v>
      </c>
    </row>
    <row r="125">
      <c r="A125" s="2">
        <f>IFERROR(__xludf.DUMMYFUNCTION("""COMPUTED_VALUE"""),42430.0)</f>
        <v>42430</v>
      </c>
      <c r="B125" s="1" t="str">
        <f>IFERROR(__xludf.DUMMYFUNCTION("""COMPUTED_VALUE"""),"1.626 €/m2")</f>
        <v>1.626 €/m2</v>
      </c>
      <c r="C125" s="1" t="str">
        <f>IFERROR(__xludf.DUMMYFUNCTION("""COMPUTED_VALUE"""),"+ 0,7 %")</f>
        <v>+ 0,7 %</v>
      </c>
      <c r="D125" s="1" t="str">
        <f>IFERROR(__xludf.DUMMYFUNCTION("""COMPUTED_VALUE"""),"- 1,2 %")</f>
        <v>- 1,2 %</v>
      </c>
      <c r="E125" s="1" t="str">
        <f>IFERROR(__xludf.DUMMYFUNCTION("""COMPUTED_VALUE"""),"+ 1,4 %")</f>
        <v>+ 1,4 %</v>
      </c>
    </row>
    <row r="126">
      <c r="A126" s="2">
        <f>IFERROR(__xludf.DUMMYFUNCTION("""COMPUTED_VALUE"""),42401.0)</f>
        <v>42401</v>
      </c>
      <c r="B126" s="1" t="str">
        <f>IFERROR(__xludf.DUMMYFUNCTION("""COMPUTED_VALUE"""),"1.614 €/m2")</f>
        <v>1.614 €/m2</v>
      </c>
      <c r="C126" s="1" t="str">
        <f>IFERROR(__xludf.DUMMYFUNCTION("""COMPUTED_VALUE"""),"- 0,7 %")</f>
        <v>- 0,7 %</v>
      </c>
      <c r="D126" s="1" t="str">
        <f>IFERROR(__xludf.DUMMYFUNCTION("""COMPUTED_VALUE"""),"- 1,9 %")</f>
        <v>- 1,9 %</v>
      </c>
      <c r="E126" s="1" t="str">
        <f>IFERROR(__xludf.DUMMYFUNCTION("""COMPUTED_VALUE"""),"- 1,2 %")</f>
        <v>- 1,2 %</v>
      </c>
    </row>
    <row r="127">
      <c r="A127" s="2">
        <f>IFERROR(__xludf.DUMMYFUNCTION("""COMPUTED_VALUE"""),42370.0)</f>
        <v>42370</v>
      </c>
      <c r="B127" s="1" t="str">
        <f>IFERROR(__xludf.DUMMYFUNCTION("""COMPUTED_VALUE"""),"1.626 €/m2")</f>
        <v>1.626 €/m2</v>
      </c>
      <c r="C127" s="1" t="str">
        <f>IFERROR(__xludf.DUMMYFUNCTION("""COMPUTED_VALUE"""),"- 1,1 %")</f>
        <v>- 1,1 %</v>
      </c>
      <c r="D127" s="1" t="str">
        <f>IFERROR(__xludf.DUMMYFUNCTION("""COMPUTED_VALUE"""),"- 1,4 %")</f>
        <v>- 1,4 %</v>
      </c>
      <c r="E127" s="1" t="str">
        <f>IFERROR(__xludf.DUMMYFUNCTION("""COMPUTED_VALUE"""),"+ 0,4 %")</f>
        <v>+ 0,4 %</v>
      </c>
    </row>
    <row r="128">
      <c r="A128" s="2">
        <f>IFERROR(__xludf.DUMMYFUNCTION("""COMPUTED_VALUE"""),42339.0)</f>
        <v>42339</v>
      </c>
      <c r="B128" s="1" t="str">
        <f>IFERROR(__xludf.DUMMYFUNCTION("""COMPUTED_VALUE"""),"1.645 €/m2")</f>
        <v>1.645 €/m2</v>
      </c>
      <c r="C128" s="1" t="str">
        <f>IFERROR(__xludf.DUMMYFUNCTION("""COMPUTED_VALUE"""),"0,0 %")</f>
        <v>0,0 %</v>
      </c>
      <c r="D128" s="1" t="str">
        <f>IFERROR(__xludf.DUMMYFUNCTION("""COMPUTED_VALUE"""),"+ 1,0 %")</f>
        <v>+ 1,0 %</v>
      </c>
      <c r="E128" s="1" t="str">
        <f>IFERROR(__xludf.DUMMYFUNCTION("""COMPUTED_VALUE"""),"+ 0,8 %")</f>
        <v>+ 0,8 %</v>
      </c>
    </row>
    <row r="129">
      <c r="A129" s="2">
        <f>IFERROR(__xludf.DUMMYFUNCTION("""COMPUTED_VALUE"""),42309.0)</f>
        <v>42309</v>
      </c>
      <c r="B129" s="1" t="str">
        <f>IFERROR(__xludf.DUMMYFUNCTION("""COMPUTED_VALUE"""),"1.645 €/m2")</f>
        <v>1.645 €/m2</v>
      </c>
      <c r="C129" s="1" t="str">
        <f>IFERROR(__xludf.DUMMYFUNCTION("""COMPUTED_VALUE"""),"- 0,3 %")</f>
        <v>- 0,3 %</v>
      </c>
      <c r="D129" s="1" t="str">
        <f>IFERROR(__xludf.DUMMYFUNCTION("""COMPUTED_VALUE"""),"+ 0,8 %")</f>
        <v>+ 0,8 %</v>
      </c>
      <c r="E129" s="1" t="str">
        <f>IFERROR(__xludf.DUMMYFUNCTION("""COMPUTED_VALUE"""),"+ 1,3 %")</f>
        <v>+ 1,3 %</v>
      </c>
    </row>
    <row r="130">
      <c r="A130" s="2">
        <f>IFERROR(__xludf.DUMMYFUNCTION("""COMPUTED_VALUE"""),42278.0)</f>
        <v>42278</v>
      </c>
      <c r="B130" s="1" t="str">
        <f>IFERROR(__xludf.DUMMYFUNCTION("""COMPUTED_VALUE"""),"1.649 €/m2")</f>
        <v>1.649 €/m2</v>
      </c>
      <c r="C130" s="1" t="str">
        <f>IFERROR(__xludf.DUMMYFUNCTION("""COMPUTED_VALUE"""),"+ 1,3 %")</f>
        <v>+ 1,3 %</v>
      </c>
      <c r="D130" s="1" t="str">
        <f>IFERROR(__xludf.DUMMYFUNCTION("""COMPUTED_VALUE"""),"+ 0,1 %")</f>
        <v>+ 0,1 %</v>
      </c>
      <c r="E130" s="1" t="str">
        <f>IFERROR(__xludf.DUMMYFUNCTION("""COMPUTED_VALUE"""),"+ 1,1 %")</f>
        <v>+ 1,1 %</v>
      </c>
    </row>
    <row r="131">
      <c r="A131" s="2">
        <f>IFERROR(__xludf.DUMMYFUNCTION("""COMPUTED_VALUE"""),42248.0)</f>
        <v>42248</v>
      </c>
      <c r="B131" s="1" t="str">
        <f>IFERROR(__xludf.DUMMYFUNCTION("""COMPUTED_VALUE"""),"1.628 €/m2")</f>
        <v>1.628 €/m2</v>
      </c>
      <c r="C131" s="1" t="str">
        <f>IFERROR(__xludf.DUMMYFUNCTION("""COMPUTED_VALUE"""),"- 0,2 %")</f>
        <v>- 0,2 %</v>
      </c>
      <c r="D131" s="1" t="str">
        <f>IFERROR(__xludf.DUMMYFUNCTION("""COMPUTED_VALUE"""),"- 1,6 %")</f>
        <v>- 1,6 %</v>
      </c>
      <c r="E131" s="1" t="str">
        <f>IFERROR(__xludf.DUMMYFUNCTION("""COMPUTED_VALUE"""),"+ 1,5 %")</f>
        <v>+ 1,5 %</v>
      </c>
    </row>
    <row r="132">
      <c r="A132" s="2">
        <f>IFERROR(__xludf.DUMMYFUNCTION("""COMPUTED_VALUE"""),42217.0)</f>
        <v>42217</v>
      </c>
      <c r="B132" s="1" t="str">
        <f>IFERROR(__xludf.DUMMYFUNCTION("""COMPUTED_VALUE"""),"1.631 €/m2")</f>
        <v>1.631 €/m2</v>
      </c>
      <c r="C132" s="1" t="str">
        <f>IFERROR(__xludf.DUMMYFUNCTION("""COMPUTED_VALUE"""),"- 0,9 %")</f>
        <v>- 0,9 %</v>
      </c>
      <c r="D132" s="1" t="str">
        <f>IFERROR(__xludf.DUMMYFUNCTION("""COMPUTED_VALUE"""),"0,0 %")</f>
        <v>0,0 %</v>
      </c>
      <c r="E132" s="1" t="str">
        <f>IFERROR(__xludf.DUMMYFUNCTION("""COMPUTED_VALUE"""),"+ 1,6 %")</f>
        <v>+ 1,6 %</v>
      </c>
    </row>
    <row r="133">
      <c r="A133" s="2">
        <f>IFERROR(__xludf.DUMMYFUNCTION("""COMPUTED_VALUE"""),42186.0)</f>
        <v>42186</v>
      </c>
      <c r="B133" s="1" t="str">
        <f>IFERROR(__xludf.DUMMYFUNCTION("""COMPUTED_VALUE"""),"1.647 €/m2")</f>
        <v>1.647 €/m2</v>
      </c>
      <c r="C133" s="1" t="str">
        <f>IFERROR(__xludf.DUMMYFUNCTION("""COMPUTED_VALUE"""),"- 0,5 %")</f>
        <v>- 0,5 %</v>
      </c>
      <c r="D133" s="1" t="str">
        <f>IFERROR(__xludf.DUMMYFUNCTION("""COMPUTED_VALUE"""),"+ 1,2 %")</f>
        <v>+ 1,2 %</v>
      </c>
      <c r="E133" s="1" t="str">
        <f>IFERROR(__xludf.DUMMYFUNCTION("""COMPUTED_VALUE"""),"+ 1,0 %")</f>
        <v>+ 1,0 %</v>
      </c>
    </row>
    <row r="134">
      <c r="A134" s="2">
        <f>IFERROR(__xludf.DUMMYFUNCTION("""COMPUTED_VALUE"""),42156.0)</f>
        <v>42156</v>
      </c>
      <c r="B134" s="1" t="str">
        <f>IFERROR(__xludf.DUMMYFUNCTION("""COMPUTED_VALUE"""),"1.654 €/m2")</f>
        <v>1.654 €/m2</v>
      </c>
      <c r="C134" s="1" t="str">
        <f>IFERROR(__xludf.DUMMYFUNCTION("""COMPUTED_VALUE"""),"+ 1,4 %")</f>
        <v>+ 1,4 %</v>
      </c>
      <c r="D134" s="1" t="str">
        <f>IFERROR(__xludf.DUMMYFUNCTION("""COMPUTED_VALUE"""),"+ 3,2 %")</f>
        <v>+ 3,2 %</v>
      </c>
      <c r="E134" s="1" t="str">
        <f>IFERROR(__xludf.DUMMYFUNCTION("""COMPUTED_VALUE"""),"+ 0,2 %")</f>
        <v>+ 0,2 %</v>
      </c>
    </row>
    <row r="135">
      <c r="A135" s="2">
        <f>IFERROR(__xludf.DUMMYFUNCTION("""COMPUTED_VALUE"""),42125.0)</f>
        <v>42125</v>
      </c>
      <c r="B135" s="1" t="str">
        <f>IFERROR(__xludf.DUMMYFUNCTION("""COMPUTED_VALUE"""),"1.631 €/m2")</f>
        <v>1.631 €/m2</v>
      </c>
      <c r="C135" s="1" t="str">
        <f>IFERROR(__xludf.DUMMYFUNCTION("""COMPUTED_VALUE"""),"+ 0,3 %")</f>
        <v>+ 0,3 %</v>
      </c>
      <c r="D135" s="1" t="str">
        <f>IFERROR(__xludf.DUMMYFUNCTION("""COMPUTED_VALUE"""),"- 0,1 %")</f>
        <v>- 0,1 %</v>
      </c>
      <c r="E135" s="1" t="str">
        <f>IFERROR(__xludf.DUMMYFUNCTION("""COMPUTED_VALUE"""),"- 1,7 %")</f>
        <v>- 1,7 %</v>
      </c>
    </row>
    <row r="136">
      <c r="A136" s="2">
        <f>IFERROR(__xludf.DUMMYFUNCTION("""COMPUTED_VALUE"""),42095.0)</f>
        <v>42095</v>
      </c>
      <c r="B136" s="1" t="str">
        <f>IFERROR(__xludf.DUMMYFUNCTION("""COMPUTED_VALUE"""),"1.627 €/m2")</f>
        <v>1.627 €/m2</v>
      </c>
      <c r="C136" s="1" t="str">
        <f>IFERROR(__xludf.DUMMYFUNCTION("""COMPUTED_VALUE"""),"+ 1,5 %")</f>
        <v>+ 1,5 %</v>
      </c>
      <c r="D136" s="1" t="str">
        <f>IFERROR(__xludf.DUMMYFUNCTION("""COMPUTED_VALUE"""),"+ 0,5 %")</f>
        <v>+ 0,5 %</v>
      </c>
      <c r="E136" s="1" t="str">
        <f>IFERROR(__xludf.DUMMYFUNCTION("""COMPUTED_VALUE"""),"- 2,8 %")</f>
        <v>- 2,8 %</v>
      </c>
    </row>
    <row r="137">
      <c r="A137" s="2">
        <f>IFERROR(__xludf.DUMMYFUNCTION("""COMPUTED_VALUE"""),42064.0)</f>
        <v>42064</v>
      </c>
      <c r="B137" s="1" t="str">
        <f>IFERROR(__xludf.DUMMYFUNCTION("""COMPUTED_VALUE"""),"1.603 €/m2")</f>
        <v>1.603 €/m2</v>
      </c>
      <c r="C137" s="1" t="str">
        <f>IFERROR(__xludf.DUMMYFUNCTION("""COMPUTED_VALUE"""),"- 1,9 %")</f>
        <v>- 1,9 %</v>
      </c>
      <c r="D137" s="1" t="str">
        <f>IFERROR(__xludf.DUMMYFUNCTION("""COMPUTED_VALUE"""),"- 1,7 %")</f>
        <v>- 1,7 %</v>
      </c>
      <c r="E137" s="1" t="str">
        <f>IFERROR(__xludf.DUMMYFUNCTION("""COMPUTED_VALUE"""),"- 7,1 %")</f>
        <v>- 7,1 %</v>
      </c>
    </row>
    <row r="138">
      <c r="A138" s="2">
        <f>IFERROR(__xludf.DUMMYFUNCTION("""COMPUTED_VALUE"""),42036.0)</f>
        <v>42036</v>
      </c>
      <c r="B138" s="1" t="str">
        <f>IFERROR(__xludf.DUMMYFUNCTION("""COMPUTED_VALUE"""),"1.633 €/m2")</f>
        <v>1.633 €/m2</v>
      </c>
      <c r="C138" s="1" t="str">
        <f>IFERROR(__xludf.DUMMYFUNCTION("""COMPUTED_VALUE"""),"+ 0,9 %")</f>
        <v>+ 0,9 %</v>
      </c>
      <c r="D138" s="1" t="str">
        <f>IFERROR(__xludf.DUMMYFUNCTION("""COMPUTED_VALUE"""),"+ 0,6 %")</f>
        <v>+ 0,6 %</v>
      </c>
      <c r="E138" s="1" t="str">
        <f>IFERROR(__xludf.DUMMYFUNCTION("""COMPUTED_VALUE"""),"- 7,4 %")</f>
        <v>- 7,4 %</v>
      </c>
    </row>
    <row r="139">
      <c r="A139" s="2">
        <f>IFERROR(__xludf.DUMMYFUNCTION("""COMPUTED_VALUE"""),42005.0)</f>
        <v>42005</v>
      </c>
      <c r="B139" s="1" t="str">
        <f>IFERROR(__xludf.DUMMYFUNCTION("""COMPUTED_VALUE"""),"1.619 €/m2")</f>
        <v>1.619 €/m2</v>
      </c>
      <c r="C139" s="1" t="str">
        <f>IFERROR(__xludf.DUMMYFUNCTION("""COMPUTED_VALUE"""),"- 0,7 %")</f>
        <v>- 0,7 %</v>
      </c>
      <c r="D139" s="1" t="str">
        <f>IFERROR(__xludf.DUMMYFUNCTION("""COMPUTED_VALUE"""),"- 0,7 %")</f>
        <v>- 0,7 %</v>
      </c>
      <c r="E139" s="1" t="str">
        <f>IFERROR(__xludf.DUMMYFUNCTION("""COMPUTED_VALUE"""),"- 8,9 %")</f>
        <v>- 8,9 %</v>
      </c>
    </row>
    <row r="140">
      <c r="A140" s="2">
        <f>IFERROR(__xludf.DUMMYFUNCTION("""COMPUTED_VALUE"""),41974.0)</f>
        <v>41974</v>
      </c>
      <c r="B140" s="1" t="str">
        <f>IFERROR(__xludf.DUMMYFUNCTION("""COMPUTED_VALUE"""),"1.631 €/m2")</f>
        <v>1.631 €/m2</v>
      </c>
      <c r="C140" s="1" t="str">
        <f>IFERROR(__xludf.DUMMYFUNCTION("""COMPUTED_VALUE"""),"+ 0,5 %")</f>
        <v>+ 0,5 %</v>
      </c>
      <c r="D140" s="1" t="str">
        <f>IFERROR(__xludf.DUMMYFUNCTION("""COMPUTED_VALUE"""),"+ 1,7 %")</f>
        <v>+ 1,7 %</v>
      </c>
      <c r="E140" s="1" t="str">
        <f>IFERROR(__xludf.DUMMYFUNCTION("""COMPUTED_VALUE"""),"- 6,0 %")</f>
        <v>- 6,0 %</v>
      </c>
    </row>
    <row r="141">
      <c r="A141" s="2">
        <f>IFERROR(__xludf.DUMMYFUNCTION("""COMPUTED_VALUE"""),41944.0)</f>
        <v>41944</v>
      </c>
      <c r="B141" s="1" t="str">
        <f>IFERROR(__xludf.DUMMYFUNCTION("""COMPUTED_VALUE"""),"1.624 €/m2")</f>
        <v>1.624 €/m2</v>
      </c>
      <c r="C141" s="1" t="str">
        <f>IFERROR(__xludf.DUMMYFUNCTION("""COMPUTED_VALUE"""),"- 0,4 %")</f>
        <v>- 0,4 %</v>
      </c>
      <c r="D141" s="1" t="str">
        <f>IFERROR(__xludf.DUMMYFUNCTION("""COMPUTED_VALUE"""),"+ 1,1 %")</f>
        <v>+ 1,1 %</v>
      </c>
      <c r="E141" s="1" t="str">
        <f>IFERROR(__xludf.DUMMYFUNCTION("""COMPUTED_VALUE"""),"- 7,7 %")</f>
        <v>- 7,7 %</v>
      </c>
    </row>
    <row r="142">
      <c r="A142" s="2">
        <f>IFERROR(__xludf.DUMMYFUNCTION("""COMPUTED_VALUE"""),41913.0)</f>
        <v>41913</v>
      </c>
      <c r="B142" s="1" t="str">
        <f>IFERROR(__xludf.DUMMYFUNCTION("""COMPUTED_VALUE"""),"1.631 €/m2")</f>
        <v>1.631 €/m2</v>
      </c>
      <c r="C142" s="1" t="str">
        <f>IFERROR(__xludf.DUMMYFUNCTION("""COMPUTED_VALUE"""),"+ 1,7 %")</f>
        <v>+ 1,7 %</v>
      </c>
      <c r="D142" s="1" t="str">
        <f>IFERROR(__xludf.DUMMYFUNCTION("""COMPUTED_VALUE"""),"+ 0,1 %")</f>
        <v>+ 0,1 %</v>
      </c>
      <c r="E142" s="1" t="str">
        <f>IFERROR(__xludf.DUMMYFUNCTION("""COMPUTED_VALUE"""),"- 7,7 %")</f>
        <v>- 7,7 %</v>
      </c>
    </row>
    <row r="143">
      <c r="A143" s="2">
        <f>IFERROR(__xludf.DUMMYFUNCTION("""COMPUTED_VALUE"""),41883.0)</f>
        <v>41883</v>
      </c>
      <c r="B143" s="1" t="str">
        <f>IFERROR(__xludf.DUMMYFUNCTION("""COMPUTED_VALUE"""),"1.605 €/m2")</f>
        <v>1.605 €/m2</v>
      </c>
      <c r="C143" s="1" t="str">
        <f>IFERROR(__xludf.DUMMYFUNCTION("""COMPUTED_VALUE"""),"- 0,1 %")</f>
        <v>- 0,1 %</v>
      </c>
      <c r="D143" s="1" t="str">
        <f>IFERROR(__xludf.DUMMYFUNCTION("""COMPUTED_VALUE"""),"- 2,8 %")</f>
        <v>- 2,8 %</v>
      </c>
      <c r="E143" s="1" t="str">
        <f>IFERROR(__xludf.DUMMYFUNCTION("""COMPUTED_VALUE"""),"- 10,9 %")</f>
        <v>- 10,9 %</v>
      </c>
    </row>
    <row r="144">
      <c r="A144" s="2">
        <f>IFERROR(__xludf.DUMMYFUNCTION("""COMPUTED_VALUE"""),41852.0)</f>
        <v>41852</v>
      </c>
      <c r="B144" s="1" t="str">
        <f>IFERROR(__xludf.DUMMYFUNCTION("""COMPUTED_VALUE"""),"1.606 €/m2")</f>
        <v>1.606 €/m2</v>
      </c>
      <c r="C144" s="1" t="str">
        <f>IFERROR(__xludf.DUMMYFUNCTION("""COMPUTED_VALUE"""),"- 1,5 %")</f>
        <v>- 1,5 %</v>
      </c>
      <c r="D144" s="1" t="str">
        <f>IFERROR(__xludf.DUMMYFUNCTION("""COMPUTED_VALUE"""),"- 3,3 %")</f>
        <v>- 3,3 %</v>
      </c>
      <c r="E144" s="1" t="str">
        <f>IFERROR(__xludf.DUMMYFUNCTION("""COMPUTED_VALUE"""),"- 11,2 %")</f>
        <v>- 11,2 %</v>
      </c>
    </row>
    <row r="145">
      <c r="A145" s="2">
        <f>IFERROR(__xludf.DUMMYFUNCTION("""COMPUTED_VALUE"""),41821.0)</f>
        <v>41821</v>
      </c>
      <c r="B145" s="1" t="str">
        <f>IFERROR(__xludf.DUMMYFUNCTION("""COMPUTED_VALUE"""),"1.630 €/m2")</f>
        <v>1.630 €/m2</v>
      </c>
      <c r="C145" s="1" t="str">
        <f>IFERROR(__xludf.DUMMYFUNCTION("""COMPUTED_VALUE"""),"- 1,3 %")</f>
        <v>- 1,3 %</v>
      </c>
      <c r="D145" s="1" t="str">
        <f>IFERROR(__xludf.DUMMYFUNCTION("""COMPUTED_VALUE"""),"- 2,6 %")</f>
        <v>- 2,6 %</v>
      </c>
      <c r="E145" s="1" t="str">
        <f>IFERROR(__xludf.DUMMYFUNCTION("""COMPUTED_VALUE"""),"- 11,3 %")</f>
        <v>- 11,3 %</v>
      </c>
    </row>
    <row r="146">
      <c r="A146" s="2">
        <f>IFERROR(__xludf.DUMMYFUNCTION("""COMPUTED_VALUE"""),41791.0)</f>
        <v>41791</v>
      </c>
      <c r="B146" s="1" t="str">
        <f>IFERROR(__xludf.DUMMYFUNCTION("""COMPUTED_VALUE"""),"1.651 €/m2")</f>
        <v>1.651 €/m2</v>
      </c>
      <c r="C146" s="1" t="str">
        <f>IFERROR(__xludf.DUMMYFUNCTION("""COMPUTED_VALUE"""),"- 0,6 %")</f>
        <v>- 0,6 %</v>
      </c>
      <c r="D146" s="1" t="str">
        <f>IFERROR(__xludf.DUMMYFUNCTION("""COMPUTED_VALUE"""),"- 4,3 %")</f>
        <v>- 4,3 %</v>
      </c>
      <c r="E146" s="1" t="str">
        <f>IFERROR(__xludf.DUMMYFUNCTION("""COMPUTED_VALUE"""),"- 10,5 %")</f>
        <v>- 10,5 %</v>
      </c>
    </row>
    <row r="147">
      <c r="A147" s="2">
        <f>IFERROR(__xludf.DUMMYFUNCTION("""COMPUTED_VALUE"""),41760.0)</f>
        <v>41760</v>
      </c>
      <c r="B147" s="1" t="str">
        <f>IFERROR(__xludf.DUMMYFUNCTION("""COMPUTED_VALUE"""),"1.660 €/m2")</f>
        <v>1.660 €/m2</v>
      </c>
      <c r="C147" s="1" t="str">
        <f>IFERROR(__xludf.DUMMYFUNCTION("""COMPUTED_VALUE"""),"- 0,8 %")</f>
        <v>- 0,8 %</v>
      </c>
      <c r="D147" s="1" t="str">
        <f>IFERROR(__xludf.DUMMYFUNCTION("""COMPUTED_VALUE"""),"- 5,8 %")</f>
        <v>- 5,8 %</v>
      </c>
      <c r="E147" s="1" t="str">
        <f>IFERROR(__xludf.DUMMYFUNCTION("""COMPUTED_VALUE"""),"- 10,6 %")</f>
        <v>- 10,6 %</v>
      </c>
    </row>
    <row r="148">
      <c r="A148" s="2">
        <f>IFERROR(__xludf.DUMMYFUNCTION("""COMPUTED_VALUE"""),41730.0)</f>
        <v>41730</v>
      </c>
      <c r="B148" s="1" t="str">
        <f>IFERROR(__xludf.DUMMYFUNCTION("""COMPUTED_VALUE"""),"1.674 €/m2")</f>
        <v>1.674 €/m2</v>
      </c>
      <c r="C148" s="1" t="str">
        <f>IFERROR(__xludf.DUMMYFUNCTION("""COMPUTED_VALUE"""),"- 2,9 %")</f>
        <v>- 2,9 %</v>
      </c>
      <c r="D148" s="1" t="str">
        <f>IFERROR(__xludf.DUMMYFUNCTION("""COMPUTED_VALUE"""),"- 5,8 %")</f>
        <v>- 5,8 %</v>
      </c>
      <c r="E148" s="1" t="str">
        <f>IFERROR(__xludf.DUMMYFUNCTION("""COMPUTED_VALUE"""),"- 10,4 %")</f>
        <v>- 10,4 %</v>
      </c>
    </row>
    <row r="149">
      <c r="A149" s="2">
        <f>IFERROR(__xludf.DUMMYFUNCTION("""COMPUTED_VALUE"""),41699.0)</f>
        <v>41699</v>
      </c>
      <c r="B149" s="1" t="str">
        <f>IFERROR(__xludf.DUMMYFUNCTION("""COMPUTED_VALUE"""),"1.725 €/m2")</f>
        <v>1.725 €/m2</v>
      </c>
      <c r="C149" s="1" t="str">
        <f>IFERROR(__xludf.DUMMYFUNCTION("""COMPUTED_VALUE"""),"- 2,2 %")</f>
        <v>- 2,2 %</v>
      </c>
      <c r="D149" s="1" t="str">
        <f>IFERROR(__xludf.DUMMYFUNCTION("""COMPUTED_VALUE"""),"- 0,6 %")</f>
        <v>- 0,6 %</v>
      </c>
      <c r="E149" s="1" t="str">
        <f>IFERROR(__xludf.DUMMYFUNCTION("""COMPUTED_VALUE"""),"- 6,8 %")</f>
        <v>- 6,8 %</v>
      </c>
    </row>
    <row r="150">
      <c r="A150" s="2">
        <f>IFERROR(__xludf.DUMMYFUNCTION("""COMPUTED_VALUE"""),41671.0)</f>
        <v>41671</v>
      </c>
      <c r="B150" s="1" t="str">
        <f>IFERROR(__xludf.DUMMYFUNCTION("""COMPUTED_VALUE"""),"1.763 €/m2")</f>
        <v>1.763 €/m2</v>
      </c>
      <c r="C150" s="1" t="str">
        <f>IFERROR(__xludf.DUMMYFUNCTION("""COMPUTED_VALUE"""),"- 0,8 %")</f>
        <v>- 0,8 %</v>
      </c>
      <c r="D150" s="1" t="str">
        <f>IFERROR(__xludf.DUMMYFUNCTION("""COMPUTED_VALUE"""),"+ 0,2 %")</f>
        <v>+ 0,2 %</v>
      </c>
      <c r="E150" s="1" t="str">
        <f>IFERROR(__xludf.DUMMYFUNCTION("""COMPUTED_VALUE"""),"- 4,8 %")</f>
        <v>- 4,8 %</v>
      </c>
    </row>
    <row r="151">
      <c r="A151" s="2">
        <f>IFERROR(__xludf.DUMMYFUNCTION("""COMPUTED_VALUE"""),41640.0)</f>
        <v>41640</v>
      </c>
      <c r="B151" s="1" t="str">
        <f>IFERROR(__xludf.DUMMYFUNCTION("""COMPUTED_VALUE"""),"1.777 €/m2")</f>
        <v>1.777 €/m2</v>
      </c>
      <c r="C151" s="1" t="str">
        <f>IFERROR(__xludf.DUMMYFUNCTION("""COMPUTED_VALUE"""),"+ 2,3 %")</f>
        <v>+ 2,3 %</v>
      </c>
      <c r="D151" s="1" t="str">
        <f>IFERROR(__xludf.DUMMYFUNCTION("""COMPUTED_VALUE"""),"+ 0,5 %")</f>
        <v>+ 0,5 %</v>
      </c>
      <c r="E151" s="1" t="str">
        <f>IFERROR(__xludf.DUMMYFUNCTION("""COMPUTED_VALUE"""),"- 4,0 %")</f>
        <v>- 4,0 %</v>
      </c>
    </row>
    <row r="152">
      <c r="A152" s="2">
        <f>IFERROR(__xludf.DUMMYFUNCTION("""COMPUTED_VALUE"""),41609.0)</f>
        <v>41609</v>
      </c>
      <c r="B152" s="1" t="str">
        <f>IFERROR(__xludf.DUMMYFUNCTION("""COMPUTED_VALUE"""),"1.736 €/m2")</f>
        <v>1.736 €/m2</v>
      </c>
      <c r="C152" s="1" t="str">
        <f>IFERROR(__xludf.DUMMYFUNCTION("""COMPUTED_VALUE"""),"- 1,3 %")</f>
        <v>- 1,3 %</v>
      </c>
      <c r="D152" s="1" t="str">
        <f>IFERROR(__xludf.DUMMYFUNCTION("""COMPUTED_VALUE"""),"- 3,6 %")</f>
        <v>- 3,6 %</v>
      </c>
      <c r="E152" s="1" t="str">
        <f>IFERROR(__xludf.DUMMYFUNCTION("""COMPUTED_VALUE"""),"- 7,3 %")</f>
        <v>- 7,3 %</v>
      </c>
    </row>
    <row r="153">
      <c r="A153" s="2">
        <f>IFERROR(__xludf.DUMMYFUNCTION("""COMPUTED_VALUE"""),41579.0)</f>
        <v>41579</v>
      </c>
      <c r="B153" s="1" t="str">
        <f>IFERROR(__xludf.DUMMYFUNCTION("""COMPUTED_VALUE"""),"1.759 €/m2")</f>
        <v>1.759 €/m2</v>
      </c>
      <c r="C153" s="1" t="str">
        <f>IFERROR(__xludf.DUMMYFUNCTION("""COMPUTED_VALUE"""),"- 0,5 %")</f>
        <v>- 0,5 %</v>
      </c>
      <c r="D153" s="1" t="str">
        <f>IFERROR(__xludf.DUMMYFUNCTION("""COMPUTED_VALUE"""),"- 2,8 %")</f>
        <v>- 2,8 %</v>
      </c>
      <c r="E153" s="1" t="str">
        <f>IFERROR(__xludf.DUMMYFUNCTION("""COMPUTED_VALUE"""),"- 7,6 %")</f>
        <v>- 7,6 %</v>
      </c>
    </row>
    <row r="154">
      <c r="A154" s="2">
        <f>IFERROR(__xludf.DUMMYFUNCTION("""COMPUTED_VALUE"""),41548.0)</f>
        <v>41548</v>
      </c>
      <c r="B154" s="1" t="str">
        <f>IFERROR(__xludf.DUMMYFUNCTION("""COMPUTED_VALUE"""),"1.768 €/m2")</f>
        <v>1.768 €/m2</v>
      </c>
      <c r="C154" s="1" t="str">
        <f>IFERROR(__xludf.DUMMYFUNCTION("""COMPUTED_VALUE"""),"- 1,8 %")</f>
        <v>- 1,8 %</v>
      </c>
      <c r="D154" s="1" t="str">
        <f>IFERROR(__xludf.DUMMYFUNCTION("""COMPUTED_VALUE"""),"- 3,8 %")</f>
        <v>- 3,8 %</v>
      </c>
      <c r="E154" s="1" t="str">
        <f>IFERROR(__xludf.DUMMYFUNCTION("""COMPUTED_VALUE"""),"- 9,5 %")</f>
        <v>- 9,5 %</v>
      </c>
    </row>
    <row r="155">
      <c r="A155" s="2">
        <f>IFERROR(__xludf.DUMMYFUNCTION("""COMPUTED_VALUE"""),41518.0)</f>
        <v>41518</v>
      </c>
      <c r="B155" s="1" t="str">
        <f>IFERROR(__xludf.DUMMYFUNCTION("""COMPUTED_VALUE"""),"1.801 €/m2")</f>
        <v>1.801 €/m2</v>
      </c>
      <c r="C155" s="1" t="str">
        <f>IFERROR(__xludf.DUMMYFUNCTION("""COMPUTED_VALUE"""),"- 0,4 %")</f>
        <v>- 0,4 %</v>
      </c>
      <c r="D155" s="1" t="str">
        <f>IFERROR(__xludf.DUMMYFUNCTION("""COMPUTED_VALUE"""),"- 2,3 %")</f>
        <v>- 2,3 %</v>
      </c>
      <c r="E155" s="1" t="str">
        <f>IFERROR(__xludf.DUMMYFUNCTION("""COMPUTED_VALUE"""),"- 10,0 %")</f>
        <v>- 10,0 %</v>
      </c>
    </row>
    <row r="156">
      <c r="A156" s="2">
        <f>IFERROR(__xludf.DUMMYFUNCTION("""COMPUTED_VALUE"""),41487.0)</f>
        <v>41487</v>
      </c>
      <c r="B156" s="1" t="str">
        <f>IFERROR(__xludf.DUMMYFUNCTION("""COMPUTED_VALUE"""),"1.809 €/m2")</f>
        <v>1.809 €/m2</v>
      </c>
      <c r="C156" s="1" t="str">
        <f>IFERROR(__xludf.DUMMYFUNCTION("""COMPUTED_VALUE"""),"- 1,5 %")</f>
        <v>- 1,5 %</v>
      </c>
      <c r="D156" s="1" t="str">
        <f>IFERROR(__xludf.DUMMYFUNCTION("""COMPUTED_VALUE"""),"- 2,6 %")</f>
        <v>- 2,6 %</v>
      </c>
      <c r="E156" s="1" t="str">
        <f>IFERROR(__xludf.DUMMYFUNCTION("""COMPUTED_VALUE"""),"- 11,2 %")</f>
        <v>- 11,2 %</v>
      </c>
    </row>
    <row r="157">
      <c r="A157" s="2">
        <f>IFERROR(__xludf.DUMMYFUNCTION("""COMPUTED_VALUE"""),41456.0)</f>
        <v>41456</v>
      </c>
      <c r="B157" s="1" t="str">
        <f>IFERROR(__xludf.DUMMYFUNCTION("""COMPUTED_VALUE"""),"1.837 €/m2")</f>
        <v>1.837 €/m2</v>
      </c>
      <c r="C157" s="1" t="str">
        <f>IFERROR(__xludf.DUMMYFUNCTION("""COMPUTED_VALUE"""),"- 0,4 %")</f>
        <v>- 0,4 %</v>
      </c>
      <c r="D157" s="1" t="str">
        <f>IFERROR(__xludf.DUMMYFUNCTION("""COMPUTED_VALUE"""),"- 1,6 %")</f>
        <v>- 1,6 %</v>
      </c>
      <c r="E157" s="1" t="str">
        <f>IFERROR(__xludf.DUMMYFUNCTION("""COMPUTED_VALUE"""),"- 11,0 %")</f>
        <v>- 11,0 %</v>
      </c>
    </row>
    <row r="158">
      <c r="A158" s="2">
        <f>IFERROR(__xludf.DUMMYFUNCTION("""COMPUTED_VALUE"""),41426.0)</f>
        <v>41426</v>
      </c>
      <c r="B158" s="1" t="str">
        <f>IFERROR(__xludf.DUMMYFUNCTION("""COMPUTED_VALUE"""),"1.844 €/m2")</f>
        <v>1.844 €/m2</v>
      </c>
      <c r="C158" s="1" t="str">
        <f>IFERROR(__xludf.DUMMYFUNCTION("""COMPUTED_VALUE"""),"- 0,7 %")</f>
        <v>- 0,7 %</v>
      </c>
      <c r="D158" s="1" t="str">
        <f>IFERROR(__xludf.DUMMYFUNCTION("""COMPUTED_VALUE"""),"- 0,4 %")</f>
        <v>- 0,4 %</v>
      </c>
      <c r="E158" s="1" t="str">
        <f>IFERROR(__xludf.DUMMYFUNCTION("""COMPUTED_VALUE"""),"- 11,9 %")</f>
        <v>- 11,9 %</v>
      </c>
    </row>
    <row r="159">
      <c r="A159" s="2">
        <f>IFERROR(__xludf.DUMMYFUNCTION("""COMPUTED_VALUE"""),41395.0)</f>
        <v>41395</v>
      </c>
      <c r="B159" s="1" t="str">
        <f>IFERROR(__xludf.DUMMYFUNCTION("""COMPUTED_VALUE"""),"1.856 €/m2")</f>
        <v>1.856 €/m2</v>
      </c>
      <c r="C159" s="1" t="str">
        <f>IFERROR(__xludf.DUMMYFUNCTION("""COMPUTED_VALUE"""),"- 0,6 %")</f>
        <v>- 0,6 %</v>
      </c>
      <c r="D159" s="1" t="str">
        <f>IFERROR(__xludf.DUMMYFUNCTION("""COMPUTED_VALUE"""),"+ 0,2 %")</f>
        <v>+ 0,2 %</v>
      </c>
      <c r="E159" s="1" t="str">
        <f>IFERROR(__xludf.DUMMYFUNCTION("""COMPUTED_VALUE"""),"- 12,6 %")</f>
        <v>- 12,6 %</v>
      </c>
    </row>
    <row r="160">
      <c r="A160" s="2">
        <f>IFERROR(__xludf.DUMMYFUNCTION("""COMPUTED_VALUE"""),41365.0)</f>
        <v>41365</v>
      </c>
      <c r="B160" s="1" t="str">
        <f>IFERROR(__xludf.DUMMYFUNCTION("""COMPUTED_VALUE"""),"1.868 €/m2")</f>
        <v>1.868 €/m2</v>
      </c>
      <c r="C160" s="1" t="str">
        <f>IFERROR(__xludf.DUMMYFUNCTION("""COMPUTED_VALUE"""),"+ 0,9 %")</f>
        <v>+ 0,9 %</v>
      </c>
      <c r="D160" s="1" t="str">
        <f>IFERROR(__xludf.DUMMYFUNCTION("""COMPUTED_VALUE"""),"+ 0,9 %")</f>
        <v>+ 0,9 %</v>
      </c>
      <c r="E160" s="1" t="str">
        <f>IFERROR(__xludf.DUMMYFUNCTION("""COMPUTED_VALUE"""),"- 12,9 %")</f>
        <v>- 12,9 %</v>
      </c>
    </row>
    <row r="161">
      <c r="A161" s="2">
        <f>IFERROR(__xludf.DUMMYFUNCTION("""COMPUTED_VALUE"""),41334.0)</f>
        <v>41334</v>
      </c>
      <c r="B161" s="1" t="str">
        <f>IFERROR(__xludf.DUMMYFUNCTION("""COMPUTED_VALUE"""),"1.851 €/m2")</f>
        <v>1.851 €/m2</v>
      </c>
      <c r="C161" s="1" t="str">
        <f>IFERROR(__xludf.DUMMYFUNCTION("""COMPUTED_VALUE"""),"- 0,1 %")</f>
        <v>- 0,1 %</v>
      </c>
      <c r="D161" s="1" t="str">
        <f>IFERROR(__xludf.DUMMYFUNCTION("""COMPUTED_VALUE"""),"- 1,2 %")</f>
        <v>- 1,2 %</v>
      </c>
      <c r="E161" s="1" t="str">
        <f>IFERROR(__xludf.DUMMYFUNCTION("""COMPUTED_VALUE"""),"- 14,8 %")</f>
        <v>- 14,8 %</v>
      </c>
    </row>
    <row r="162">
      <c r="A162" s="2">
        <f>IFERROR(__xludf.DUMMYFUNCTION("""COMPUTED_VALUE"""),41306.0)</f>
        <v>41306</v>
      </c>
      <c r="B162" s="1" t="str">
        <f>IFERROR(__xludf.DUMMYFUNCTION("""COMPUTED_VALUE"""),"1.853 €/m2")</f>
        <v>1.853 €/m2</v>
      </c>
      <c r="C162" s="1" t="str">
        <f>IFERROR(__xludf.DUMMYFUNCTION("""COMPUTED_VALUE"""),"+ 0,1 %")</f>
        <v>+ 0,1 %</v>
      </c>
      <c r="D162" s="1" t="str">
        <f>IFERROR(__xludf.DUMMYFUNCTION("""COMPUTED_VALUE"""),"- 2,6 %")</f>
        <v>- 2,6 %</v>
      </c>
      <c r="E162" s="1" t="str">
        <f>IFERROR(__xludf.DUMMYFUNCTION("""COMPUTED_VALUE"""),"- 16,1 %")</f>
        <v>- 16,1 %</v>
      </c>
    </row>
    <row r="163">
      <c r="A163" s="2">
        <f>IFERROR(__xludf.DUMMYFUNCTION("""COMPUTED_VALUE"""),41275.0)</f>
        <v>41275</v>
      </c>
      <c r="B163" s="1" t="str">
        <f>IFERROR(__xludf.DUMMYFUNCTION("""COMPUTED_VALUE"""),"1.850 €/m2")</f>
        <v>1.850 €/m2</v>
      </c>
      <c r="C163" s="1" t="str">
        <f>IFERROR(__xludf.DUMMYFUNCTION("""COMPUTED_VALUE"""),"- 1,2 %")</f>
        <v>- 1,2 %</v>
      </c>
      <c r="D163" s="1" t="str">
        <f>IFERROR(__xludf.DUMMYFUNCTION("""COMPUTED_VALUE"""),"- 5,3 %")</f>
        <v>- 5,3 %</v>
      </c>
      <c r="E163" s="1" t="str">
        <f>IFERROR(__xludf.DUMMYFUNCTION("""COMPUTED_VALUE"""),"- 16,5 %")</f>
        <v>- 16,5 %</v>
      </c>
    </row>
    <row r="164">
      <c r="A164" s="2">
        <f>IFERROR(__xludf.DUMMYFUNCTION("""COMPUTED_VALUE"""),41244.0)</f>
        <v>41244</v>
      </c>
      <c r="B164" s="1" t="str">
        <f>IFERROR(__xludf.DUMMYFUNCTION("""COMPUTED_VALUE"""),"1.873 €/m2")</f>
        <v>1.873 €/m2</v>
      </c>
      <c r="C164" s="1" t="str">
        <f>IFERROR(__xludf.DUMMYFUNCTION("""COMPUTED_VALUE"""),"- 1,5 %")</f>
        <v>- 1,5 %</v>
      </c>
      <c r="D164" s="1" t="str">
        <f>IFERROR(__xludf.DUMMYFUNCTION("""COMPUTED_VALUE"""),"- 6,4 %")</f>
        <v>- 6,4 %</v>
      </c>
      <c r="E164" s="1" t="str">
        <f>IFERROR(__xludf.DUMMYFUNCTION("""COMPUTED_VALUE"""),"- 16,1 %")</f>
        <v>- 16,1 %</v>
      </c>
    </row>
    <row r="165">
      <c r="A165" s="2">
        <f>IFERROR(__xludf.DUMMYFUNCTION("""COMPUTED_VALUE"""),41214.0)</f>
        <v>41214</v>
      </c>
      <c r="B165" s="1" t="str">
        <f>IFERROR(__xludf.DUMMYFUNCTION("""COMPUTED_VALUE"""),"1.902 €/m2")</f>
        <v>1.902 €/m2</v>
      </c>
      <c r="C165" s="1" t="str">
        <f>IFERROR(__xludf.DUMMYFUNCTION("""COMPUTED_VALUE"""),"- 2,6 %")</f>
        <v>- 2,6 %</v>
      </c>
      <c r="D165" s="1" t="str">
        <f>IFERROR(__xludf.DUMMYFUNCTION("""COMPUTED_VALUE"""),"- 6,6 %")</f>
        <v>- 6,6 %</v>
      </c>
      <c r="E165" s="1" t="str">
        <f>IFERROR(__xludf.DUMMYFUNCTION("""COMPUTED_VALUE"""),"- 15,8 %")</f>
        <v>- 15,8 %</v>
      </c>
    </row>
    <row r="166">
      <c r="A166" s="2">
        <f>IFERROR(__xludf.DUMMYFUNCTION("""COMPUTED_VALUE"""),41183.0)</f>
        <v>41183</v>
      </c>
      <c r="B166" s="1" t="str">
        <f>IFERROR(__xludf.DUMMYFUNCTION("""COMPUTED_VALUE"""),"1.953 €/m2")</f>
        <v>1.953 €/m2</v>
      </c>
      <c r="C166" s="1" t="str">
        <f>IFERROR(__xludf.DUMMYFUNCTION("""COMPUTED_VALUE"""),"- 2,3 %")</f>
        <v>- 2,3 %</v>
      </c>
      <c r="D166" s="1" t="str">
        <f>IFERROR(__xludf.DUMMYFUNCTION("""COMPUTED_VALUE"""),"- 5,3 %")</f>
        <v>- 5,3 %</v>
      </c>
      <c r="E166" s="1" t="str">
        <f>IFERROR(__xludf.DUMMYFUNCTION("""COMPUTED_VALUE"""),"- 14,9 %")</f>
        <v>- 14,9 %</v>
      </c>
    </row>
    <row r="167">
      <c r="A167" s="2">
        <f>IFERROR(__xludf.DUMMYFUNCTION("""COMPUTED_VALUE"""),41153.0)</f>
        <v>41153</v>
      </c>
      <c r="B167" s="1" t="str">
        <f>IFERROR(__xludf.DUMMYFUNCTION("""COMPUTED_VALUE"""),"2.000 €/m2")</f>
        <v>2.000 €/m2</v>
      </c>
      <c r="C167" s="1" t="str">
        <f>IFERROR(__xludf.DUMMYFUNCTION("""COMPUTED_VALUE"""),"- 1,8 %")</f>
        <v>- 1,8 %</v>
      </c>
      <c r="D167" s="1" t="str">
        <f>IFERROR(__xludf.DUMMYFUNCTION("""COMPUTED_VALUE"""),"- 4,4 %")</f>
        <v>- 4,4 %</v>
      </c>
      <c r="E167" s="1" t="str">
        <f>IFERROR(__xludf.DUMMYFUNCTION("""COMPUTED_VALUE"""),"- 12,4 %")</f>
        <v>- 12,4 %</v>
      </c>
    </row>
    <row r="168">
      <c r="A168" s="2">
        <f>IFERROR(__xludf.DUMMYFUNCTION("""COMPUTED_VALUE"""),41122.0)</f>
        <v>41122</v>
      </c>
      <c r="B168" s="1" t="str">
        <f>IFERROR(__xludf.DUMMYFUNCTION("""COMPUTED_VALUE"""),"2.036 €/m2")</f>
        <v>2.036 €/m2</v>
      </c>
      <c r="C168" s="1" t="str">
        <f>IFERROR(__xludf.DUMMYFUNCTION("""COMPUTED_VALUE"""),"- 1,3 %")</f>
        <v>- 1,3 %</v>
      </c>
      <c r="D168" s="1" t="str">
        <f>IFERROR(__xludf.DUMMYFUNCTION("""COMPUTED_VALUE"""),"- 4,1 %")</f>
        <v>- 4,1 %</v>
      </c>
      <c r="E168" s="1" t="str">
        <f>IFERROR(__xludf.DUMMYFUNCTION("""COMPUTED_VALUE"""),"- 10,7 %")</f>
        <v>- 10,7 %</v>
      </c>
    </row>
    <row r="169">
      <c r="A169" s="2">
        <f>IFERROR(__xludf.DUMMYFUNCTION("""COMPUTED_VALUE"""),41091.0)</f>
        <v>41091</v>
      </c>
      <c r="B169" s="1" t="str">
        <f>IFERROR(__xludf.DUMMYFUNCTION("""COMPUTED_VALUE"""),"2.063 €/m2")</f>
        <v>2.063 €/m2</v>
      </c>
      <c r="C169" s="1" t="str">
        <f>IFERROR(__xludf.DUMMYFUNCTION("""COMPUTED_VALUE"""),"- 1,4 %")</f>
        <v>- 1,4 %</v>
      </c>
      <c r="D169" s="1" t="str">
        <f>IFERROR(__xludf.DUMMYFUNCTION("""COMPUTED_VALUE"""),"- 3,8 %")</f>
        <v>- 3,8 %</v>
      </c>
      <c r="E169" s="1" t="str">
        <f>IFERROR(__xludf.DUMMYFUNCTION("""COMPUTED_VALUE"""),"- 11,6 %")</f>
        <v>- 11,6 %</v>
      </c>
    </row>
    <row r="170">
      <c r="A170" s="2">
        <f>IFERROR(__xludf.DUMMYFUNCTION("""COMPUTED_VALUE"""),41061.0)</f>
        <v>41061</v>
      </c>
      <c r="B170" s="1" t="str">
        <f>IFERROR(__xludf.DUMMYFUNCTION("""COMPUTED_VALUE"""),"2.092 €/m2")</f>
        <v>2.092 €/m2</v>
      </c>
      <c r="C170" s="1" t="str">
        <f>IFERROR(__xludf.DUMMYFUNCTION("""COMPUTED_VALUE"""),"- 1,5 %")</f>
        <v>- 1,5 %</v>
      </c>
      <c r="D170" s="1" t="str">
        <f>IFERROR(__xludf.DUMMYFUNCTION("""COMPUTED_VALUE"""),"- 3,7 %")</f>
        <v>- 3,7 %</v>
      </c>
      <c r="E170" s="1" t="str">
        <f>IFERROR(__xludf.DUMMYFUNCTION("""COMPUTED_VALUE"""),"- 12,1 %")</f>
        <v>- 12,1 %</v>
      </c>
    </row>
    <row r="171">
      <c r="A171" s="2">
        <f>IFERROR(__xludf.DUMMYFUNCTION("""COMPUTED_VALUE"""),41030.0)</f>
        <v>41030</v>
      </c>
      <c r="B171" s="1" t="str">
        <f>IFERROR(__xludf.DUMMYFUNCTION("""COMPUTED_VALUE"""),"2.123 €/m2")</f>
        <v>2.123 €/m2</v>
      </c>
      <c r="C171" s="1" t="str">
        <f>IFERROR(__xludf.DUMMYFUNCTION("""COMPUTED_VALUE"""),"- 1,0 %")</f>
        <v>- 1,0 %</v>
      </c>
      <c r="D171" s="1" t="str">
        <f>IFERROR(__xludf.DUMMYFUNCTION("""COMPUTED_VALUE"""),"- 3,9 %")</f>
        <v>- 3,9 %</v>
      </c>
      <c r="E171" s="1" t="str">
        <f>IFERROR(__xludf.DUMMYFUNCTION("""COMPUTED_VALUE"""),"- 11,9 %")</f>
        <v>- 11,9 %</v>
      </c>
    </row>
    <row r="172">
      <c r="A172" s="2">
        <f>IFERROR(__xludf.DUMMYFUNCTION("""COMPUTED_VALUE"""),41000.0)</f>
        <v>41000</v>
      </c>
      <c r="B172" s="1" t="str">
        <f>IFERROR(__xludf.DUMMYFUNCTION("""COMPUTED_VALUE"""),"2.144 €/m2")</f>
        <v>2.144 €/m2</v>
      </c>
      <c r="C172" s="1" t="str">
        <f>IFERROR(__xludf.DUMMYFUNCTION("""COMPUTED_VALUE"""),"- 1,4 %")</f>
        <v>- 1,4 %</v>
      </c>
      <c r="D172" s="1" t="str">
        <f>IFERROR(__xludf.DUMMYFUNCTION("""COMPUTED_VALUE"""),"- 3,2 %")</f>
        <v>- 3,2 %</v>
      </c>
      <c r="E172" s="1" t="str">
        <f>IFERROR(__xludf.DUMMYFUNCTION("""COMPUTED_VALUE"""),"- 11,9 %")</f>
        <v>- 11,9 %</v>
      </c>
    </row>
    <row r="173">
      <c r="A173" s="2">
        <f>IFERROR(__xludf.DUMMYFUNCTION("""COMPUTED_VALUE"""),40969.0)</f>
        <v>40969</v>
      </c>
      <c r="B173" s="1" t="str">
        <f>IFERROR(__xludf.DUMMYFUNCTION("""COMPUTED_VALUE"""),"2.174 €/m2")</f>
        <v>2.174 €/m2</v>
      </c>
      <c r="C173" s="1" t="str">
        <f>IFERROR(__xludf.DUMMYFUNCTION("""COMPUTED_VALUE"""),"- 1,6 %")</f>
        <v>- 1,6 %</v>
      </c>
      <c r="D173" s="1" t="str">
        <f>IFERROR(__xludf.DUMMYFUNCTION("""COMPUTED_VALUE"""),"- 2,6 %")</f>
        <v>- 2,6 %</v>
      </c>
      <c r="E173" s="1" t="str">
        <f>IFERROR(__xludf.DUMMYFUNCTION("""COMPUTED_VALUE"""),"- 12,6 %")</f>
        <v>- 12,6 %</v>
      </c>
    </row>
    <row r="174">
      <c r="A174" s="2">
        <f>IFERROR(__xludf.DUMMYFUNCTION("""COMPUTED_VALUE"""),40940.0)</f>
        <v>40940</v>
      </c>
      <c r="B174" s="1" t="str">
        <f>IFERROR(__xludf.DUMMYFUNCTION("""COMPUTED_VALUE"""),"2.209 €/m2")</f>
        <v>2.209 €/m2</v>
      </c>
      <c r="C174" s="1" t="str">
        <f>IFERROR(__xludf.DUMMYFUNCTION("""COMPUTED_VALUE"""),"- 0,3 %")</f>
        <v>- 0,3 %</v>
      </c>
      <c r="D174" s="1" t="str">
        <f>IFERROR(__xludf.DUMMYFUNCTION("""COMPUTED_VALUE"""),"- 2,2 %")</f>
        <v>- 2,2 %</v>
      </c>
      <c r="E174" s="1" t="str">
        <f>IFERROR(__xludf.DUMMYFUNCTION("""COMPUTED_VALUE"""),"- 11,4 %")</f>
        <v>- 11,4 %</v>
      </c>
    </row>
    <row r="175">
      <c r="A175" s="2">
        <f>IFERROR(__xludf.DUMMYFUNCTION("""COMPUTED_VALUE"""),40909.0)</f>
        <v>40909</v>
      </c>
      <c r="B175" s="1" t="str">
        <f>IFERROR(__xludf.DUMMYFUNCTION("""COMPUTED_VALUE"""),"2.215 €/m2")</f>
        <v>2.215 €/m2</v>
      </c>
      <c r="C175" s="1" t="str">
        <f>IFERROR(__xludf.DUMMYFUNCTION("""COMPUTED_VALUE"""),"- 0,8 %")</f>
        <v>- 0,8 %</v>
      </c>
      <c r="D175" s="1" t="str">
        <f>IFERROR(__xludf.DUMMYFUNCTION("""COMPUTED_VALUE"""),"- 3,4 %")</f>
        <v>- 3,4 %</v>
      </c>
      <c r="E175" s="1" t="str">
        <f>IFERROR(__xludf.DUMMYFUNCTION("""COMPUTED_VALUE"""),"- 12,4 %")</f>
        <v>- 12,4 %</v>
      </c>
    </row>
    <row r="176">
      <c r="A176" s="2">
        <f>IFERROR(__xludf.DUMMYFUNCTION("""COMPUTED_VALUE"""),40878.0)</f>
        <v>40878</v>
      </c>
      <c r="B176" s="1" t="str">
        <f>IFERROR(__xludf.DUMMYFUNCTION("""COMPUTED_VALUE"""),"2.232 €/m2")</f>
        <v>2.232 €/m2</v>
      </c>
      <c r="C176" s="1" t="str">
        <f>IFERROR(__xludf.DUMMYFUNCTION("""COMPUTED_VALUE"""),"- 1,2 %")</f>
        <v>- 1,2 %</v>
      </c>
      <c r="D176" s="1" t="str">
        <f>IFERROR(__xludf.DUMMYFUNCTION("""COMPUTED_VALUE"""),"- 2,2 %")</f>
        <v>- 2,2 %</v>
      </c>
      <c r="E176" s="1" t="str">
        <f>IFERROR(__xludf.DUMMYFUNCTION("""COMPUTED_VALUE"""),"- 11,8 %")</f>
        <v>- 11,8 %</v>
      </c>
    </row>
    <row r="177">
      <c r="A177" s="2">
        <f>IFERROR(__xludf.DUMMYFUNCTION("""COMPUTED_VALUE"""),40848.0)</f>
        <v>40848</v>
      </c>
      <c r="B177" s="1" t="str">
        <f>IFERROR(__xludf.DUMMYFUNCTION("""COMPUTED_VALUE"""),"2.259 €/m2")</f>
        <v>2.259 €/m2</v>
      </c>
      <c r="C177" s="1" t="str">
        <f>IFERROR(__xludf.DUMMYFUNCTION("""COMPUTED_VALUE"""),"- 1,5 %")</f>
        <v>- 1,5 %</v>
      </c>
      <c r="D177" s="1" t="str">
        <f>IFERROR(__xludf.DUMMYFUNCTION("""COMPUTED_VALUE"""),"- 0,9 %")</f>
        <v>- 0,9 %</v>
      </c>
      <c r="E177" s="1" t="str">
        <f>IFERROR(__xludf.DUMMYFUNCTION("""COMPUTED_VALUE"""),"- 12,1 %")</f>
        <v>- 12,1 %</v>
      </c>
    </row>
    <row r="178">
      <c r="A178" s="2">
        <f>IFERROR(__xludf.DUMMYFUNCTION("""COMPUTED_VALUE"""),40817.0)</f>
        <v>40817</v>
      </c>
      <c r="B178" s="1" t="str">
        <f>IFERROR(__xludf.DUMMYFUNCTION("""COMPUTED_VALUE"""),"2.294 €/m2")</f>
        <v>2.294 €/m2</v>
      </c>
      <c r="C178" s="1" t="str">
        <f>IFERROR(__xludf.DUMMYFUNCTION("""COMPUTED_VALUE"""),"+ 0,5 %")</f>
        <v>+ 0,5 %</v>
      </c>
      <c r="D178" s="1" t="str">
        <f>IFERROR(__xludf.DUMMYFUNCTION("""COMPUTED_VALUE"""),"- 1,7 %")</f>
        <v>- 1,7 %</v>
      </c>
      <c r="E178" s="1" t="str">
        <f>IFERROR(__xludf.DUMMYFUNCTION("""COMPUTED_VALUE"""),"- 11,4 %")</f>
        <v>- 11,4 %</v>
      </c>
    </row>
    <row r="179">
      <c r="A179" s="2">
        <f>IFERROR(__xludf.DUMMYFUNCTION("""COMPUTED_VALUE"""),40787.0)</f>
        <v>40787</v>
      </c>
      <c r="B179" s="1" t="str">
        <f>IFERROR(__xludf.DUMMYFUNCTION("""COMPUTED_VALUE"""),"2.284 €/m2")</f>
        <v>2.284 €/m2</v>
      </c>
      <c r="C179" s="1" t="str">
        <f>IFERROR(__xludf.DUMMYFUNCTION("""COMPUTED_VALUE"""),"+ 0,1 %")</f>
        <v>+ 0,1 %</v>
      </c>
      <c r="D179" s="1" t="str">
        <f>IFERROR(__xludf.DUMMYFUNCTION("""COMPUTED_VALUE"""),"- 4,1 %")</f>
        <v>- 4,1 %</v>
      </c>
      <c r="E179" s="1" t="str">
        <f>IFERROR(__xludf.DUMMYFUNCTION("""COMPUTED_VALUE"""),"- 11,6 %")</f>
        <v>- 11,6 %</v>
      </c>
    </row>
    <row r="180">
      <c r="A180" s="2">
        <f>IFERROR(__xludf.DUMMYFUNCTION("""COMPUTED_VALUE"""),40756.0)</f>
        <v>40756</v>
      </c>
      <c r="B180" s="1" t="str">
        <f>IFERROR(__xludf.DUMMYFUNCTION("""COMPUTED_VALUE"""),"2.280 €/m2")</f>
        <v>2.280 €/m2</v>
      </c>
      <c r="C180" s="1" t="str">
        <f>IFERROR(__xludf.DUMMYFUNCTION("""COMPUTED_VALUE"""),"- 2,3 %")</f>
        <v>- 2,3 %</v>
      </c>
      <c r="D180" s="1" t="str">
        <f>IFERROR(__xludf.DUMMYFUNCTION("""COMPUTED_VALUE"""),"- 5,4 %")</f>
        <v>- 5,4 %</v>
      </c>
      <c r="E180" s="1" t="str">
        <f>IFERROR(__xludf.DUMMYFUNCTION("""COMPUTED_VALUE"""),"- 11,0 %")</f>
        <v>- 11,0 %</v>
      </c>
    </row>
    <row r="181">
      <c r="A181" s="2">
        <f>IFERROR(__xludf.DUMMYFUNCTION("""COMPUTED_VALUE"""),40725.0)</f>
        <v>40725</v>
      </c>
      <c r="B181" s="1" t="str">
        <f>IFERROR(__xludf.DUMMYFUNCTION("""COMPUTED_VALUE"""),"2.334 €/m2")</f>
        <v>2.334 €/m2</v>
      </c>
      <c r="C181" s="1" t="str">
        <f>IFERROR(__xludf.DUMMYFUNCTION("""COMPUTED_VALUE"""),"- 2,0 %")</f>
        <v>- 2,0 %</v>
      </c>
      <c r="D181" s="1" t="str">
        <f>IFERROR(__xludf.DUMMYFUNCTION("""COMPUTED_VALUE"""),"- 4,1 %")</f>
        <v>- 4,1 %</v>
      </c>
      <c r="E181" s="1" t="str">
        <f>IFERROR(__xludf.DUMMYFUNCTION("""COMPUTED_VALUE"""),"- 10,6 %")</f>
        <v>- 10,6 %</v>
      </c>
    </row>
    <row r="182">
      <c r="A182" s="2">
        <f>IFERROR(__xludf.DUMMYFUNCTION("""COMPUTED_VALUE"""),40695.0)</f>
        <v>40695</v>
      </c>
      <c r="B182" s="1" t="str">
        <f>IFERROR(__xludf.DUMMYFUNCTION("""COMPUTED_VALUE"""),"2.381 €/m2")</f>
        <v>2.381 €/m2</v>
      </c>
      <c r="C182" s="1" t="str">
        <f>IFERROR(__xludf.DUMMYFUNCTION("""COMPUTED_VALUE"""),"- 1,2 %")</f>
        <v>- 1,2 %</v>
      </c>
      <c r="D182" s="1" t="str">
        <f>IFERROR(__xludf.DUMMYFUNCTION("""COMPUTED_VALUE"""),"- 4,3 %")</f>
        <v>- 4,3 %</v>
      </c>
      <c r="E182" s="1" t="str">
        <f>IFERROR(__xludf.DUMMYFUNCTION("""COMPUTED_VALUE"""),"- 10,8 %")</f>
        <v>- 10,8 %</v>
      </c>
    </row>
    <row r="183">
      <c r="A183" s="2">
        <f>IFERROR(__xludf.DUMMYFUNCTION("""COMPUTED_VALUE"""),40664.0)</f>
        <v>40664</v>
      </c>
      <c r="B183" s="1" t="str">
        <f>IFERROR(__xludf.DUMMYFUNCTION("""COMPUTED_VALUE"""),"2.409 €/m2")</f>
        <v>2.409 €/m2</v>
      </c>
      <c r="C183" s="1" t="str">
        <f>IFERROR(__xludf.DUMMYFUNCTION("""COMPUTED_VALUE"""),"- 1,0 %")</f>
        <v>- 1,0 %</v>
      </c>
      <c r="D183" s="1" t="str">
        <f>IFERROR(__xludf.DUMMYFUNCTION("""COMPUTED_VALUE"""),"- 3,4 %")</f>
        <v>- 3,4 %</v>
      </c>
      <c r="E183" s="1" t="str">
        <f>IFERROR(__xludf.DUMMYFUNCTION("""COMPUTED_VALUE"""),"- 10,8 %")</f>
        <v>- 10,8 %</v>
      </c>
    </row>
    <row r="184">
      <c r="A184" s="2">
        <f>IFERROR(__xludf.DUMMYFUNCTION("""COMPUTED_VALUE"""),40634.0)</f>
        <v>40634</v>
      </c>
      <c r="B184" s="1" t="str">
        <f>IFERROR(__xludf.DUMMYFUNCTION("""COMPUTED_VALUE"""),"2.434 €/m2")</f>
        <v>2.434 €/m2</v>
      </c>
      <c r="C184" s="1" t="str">
        <f>IFERROR(__xludf.DUMMYFUNCTION("""COMPUTED_VALUE"""),"- 2,2 %")</f>
        <v>- 2,2 %</v>
      </c>
      <c r="D184" s="1" t="str">
        <f>IFERROR(__xludf.DUMMYFUNCTION("""COMPUTED_VALUE"""),"- 3,8 %")</f>
        <v>- 3,8 %</v>
      </c>
      <c r="E184" s="1" t="str">
        <f>IFERROR(__xludf.DUMMYFUNCTION("""COMPUTED_VALUE"""),"- 10,8 %")</f>
        <v>- 10,8 %</v>
      </c>
    </row>
    <row r="185">
      <c r="A185" s="2">
        <f>IFERROR(__xludf.DUMMYFUNCTION("""COMPUTED_VALUE"""),40603.0)</f>
        <v>40603</v>
      </c>
      <c r="B185" s="1" t="str">
        <f>IFERROR(__xludf.DUMMYFUNCTION("""COMPUTED_VALUE"""),"2.488 €/m2")</f>
        <v>2.488 €/m2</v>
      </c>
      <c r="C185" s="1" t="str">
        <f>IFERROR(__xludf.DUMMYFUNCTION("""COMPUTED_VALUE"""),"- 0,2 %")</f>
        <v>- 0,2 %</v>
      </c>
      <c r="D185" s="1" t="str">
        <f>IFERROR(__xludf.DUMMYFUNCTION("""COMPUTED_VALUE"""),"- 1,7 %")</f>
        <v>- 1,7 %</v>
      </c>
      <c r="E185" s="1" t="str">
        <f>IFERROR(__xludf.DUMMYFUNCTION("""COMPUTED_VALUE"""),"- 6,4 %")</f>
        <v>- 6,4 %</v>
      </c>
    </row>
    <row r="186">
      <c r="A186" s="2">
        <f>IFERROR(__xludf.DUMMYFUNCTION("""COMPUTED_VALUE"""),40575.0)</f>
        <v>40575</v>
      </c>
      <c r="B186" s="1" t="str">
        <f>IFERROR(__xludf.DUMMYFUNCTION("""COMPUTED_VALUE"""),"2.494 €/m2")</f>
        <v>2.494 €/m2</v>
      </c>
      <c r="C186" s="1" t="str">
        <f>IFERROR(__xludf.DUMMYFUNCTION("""COMPUTED_VALUE"""),"- 1,4 %")</f>
        <v>- 1,4 %</v>
      </c>
      <c r="D186" s="1" t="str">
        <f>IFERROR(__xludf.DUMMYFUNCTION("""COMPUTED_VALUE"""),"- 2,9 %")</f>
        <v>- 2,9 %</v>
      </c>
      <c r="E186" s="1" t="str">
        <f>IFERROR(__xludf.DUMMYFUNCTION("""COMPUTED_VALUE"""),"- 4,9 %")</f>
        <v>- 4,9 %</v>
      </c>
    </row>
    <row r="187">
      <c r="A187" s="2">
        <f>IFERROR(__xludf.DUMMYFUNCTION("""COMPUTED_VALUE"""),40544.0)</f>
        <v>40544</v>
      </c>
      <c r="B187" s="1" t="str">
        <f>IFERROR(__xludf.DUMMYFUNCTION("""COMPUTED_VALUE"""),"2.530 €/m2")</f>
        <v>2.530 €/m2</v>
      </c>
      <c r="C187" s="1" t="str">
        <f>IFERROR(__xludf.DUMMYFUNCTION("""COMPUTED_VALUE"""),"- 0,1 %")</f>
        <v>- 0,1 %</v>
      </c>
      <c r="D187" s="1" t="str">
        <f>IFERROR(__xludf.DUMMYFUNCTION("""COMPUTED_VALUE"""),"- 2,3 %")</f>
        <v>- 2,3 %</v>
      </c>
      <c r="E187" s="1" t="str">
        <f>IFERROR(__xludf.DUMMYFUNCTION("""COMPUTED_VALUE"""),"- 3,4 %")</f>
        <v>- 3,4 %</v>
      </c>
    </row>
    <row r="188">
      <c r="A188" s="2">
        <f>IFERROR(__xludf.DUMMYFUNCTION("""COMPUTED_VALUE"""),40513.0)</f>
        <v>40513</v>
      </c>
      <c r="B188" s="1" t="str">
        <f>IFERROR(__xludf.DUMMYFUNCTION("""COMPUTED_VALUE"""),"2.532 €/m2")</f>
        <v>2.532 €/m2</v>
      </c>
      <c r="C188" s="1" t="str">
        <f>IFERROR(__xludf.DUMMYFUNCTION("""COMPUTED_VALUE"""),"- 1,5 %")</f>
        <v>- 1,5 %</v>
      </c>
      <c r="D188" s="1" t="str">
        <f>IFERROR(__xludf.DUMMYFUNCTION("""COMPUTED_VALUE"""),"- 2,0 %")</f>
        <v>- 2,0 %</v>
      </c>
      <c r="E188" s="1" t="str">
        <f>IFERROR(__xludf.DUMMYFUNCTION("""COMPUTED_VALUE"""),"- 6,0 %")</f>
        <v>- 6,0 %</v>
      </c>
    </row>
    <row r="189">
      <c r="A189" s="2">
        <f>IFERROR(__xludf.DUMMYFUNCTION("""COMPUTED_VALUE"""),40483.0)</f>
        <v>40483</v>
      </c>
      <c r="B189" s="1" t="str">
        <f>IFERROR(__xludf.DUMMYFUNCTION("""COMPUTED_VALUE"""),"2.569 €/m2")</f>
        <v>2.569 €/m2</v>
      </c>
      <c r="C189" s="1" t="str">
        <f>IFERROR(__xludf.DUMMYFUNCTION("""COMPUTED_VALUE"""),"- 0,8 %")</f>
        <v>- 0,8 %</v>
      </c>
      <c r="D189" s="1" t="str">
        <f>IFERROR(__xludf.DUMMYFUNCTION("""COMPUTED_VALUE"""),"+ 0,3 %")</f>
        <v>+ 0,3 %</v>
      </c>
      <c r="E189" s="1" t="str">
        <f>IFERROR(__xludf.DUMMYFUNCTION("""COMPUTED_VALUE"""),"- 5,9 %")</f>
        <v>- 5,9 %</v>
      </c>
    </row>
    <row r="190">
      <c r="A190" s="2">
        <f>IFERROR(__xludf.DUMMYFUNCTION("""COMPUTED_VALUE"""),40452.0)</f>
        <v>40452</v>
      </c>
      <c r="B190" s="1" t="str">
        <f>IFERROR(__xludf.DUMMYFUNCTION("""COMPUTED_VALUE"""),"2.589 €/m2")</f>
        <v>2.589 €/m2</v>
      </c>
      <c r="C190" s="1" t="str">
        <f>IFERROR(__xludf.DUMMYFUNCTION("""COMPUTED_VALUE"""),"+ 0,2 %")</f>
        <v>+ 0,2 %</v>
      </c>
      <c r="D190" s="1" t="str">
        <f>IFERROR(__xludf.DUMMYFUNCTION("""COMPUTED_VALUE"""),"- 0,8 %")</f>
        <v>- 0,8 %</v>
      </c>
      <c r="E190" s="1" t="str">
        <f>IFERROR(__xludf.DUMMYFUNCTION("""COMPUTED_VALUE"""),"- 5,4 %")</f>
        <v>- 5,4 %</v>
      </c>
    </row>
    <row r="191">
      <c r="A191" s="2">
        <f>IFERROR(__xludf.DUMMYFUNCTION("""COMPUTED_VALUE"""),40422.0)</f>
        <v>40422</v>
      </c>
      <c r="B191" s="1" t="str">
        <f>IFERROR(__xludf.DUMMYFUNCTION("""COMPUTED_VALUE"""),"2.583 €/m2")</f>
        <v>2.583 €/m2</v>
      </c>
      <c r="C191" s="1" t="str">
        <f>IFERROR(__xludf.DUMMYFUNCTION("""COMPUTED_VALUE"""),"+ 0,8 %")</f>
        <v>+ 0,8 %</v>
      </c>
      <c r="D191" s="1" t="str">
        <f>IFERROR(__xludf.DUMMYFUNCTION("""COMPUTED_VALUE"""),"- 3,2 %")</f>
        <v>- 3,2 %</v>
      </c>
      <c r="E191" s="1" t="str">
        <f>IFERROR(__xludf.DUMMYFUNCTION("""COMPUTED_VALUE"""),"- 4,6 %")</f>
        <v>- 4,6 %</v>
      </c>
    </row>
    <row r="192">
      <c r="A192" s="2">
        <f>IFERROR(__xludf.DUMMYFUNCTION("""COMPUTED_VALUE"""),40391.0)</f>
        <v>40391</v>
      </c>
      <c r="B192" s="1" t="str">
        <f>IFERROR(__xludf.DUMMYFUNCTION("""COMPUTED_VALUE"""),"2.562 €/m2")</f>
        <v>2.562 €/m2</v>
      </c>
      <c r="C192" s="1" t="str">
        <f>IFERROR(__xludf.DUMMYFUNCTION("""COMPUTED_VALUE"""),"- 1,8 %")</f>
        <v>- 1,8 %</v>
      </c>
      <c r="D192" s="1" t="str">
        <f>IFERROR(__xludf.DUMMYFUNCTION("""COMPUTED_VALUE"""),"- 5,2 %")</f>
        <v>- 5,2 %</v>
      </c>
      <c r="E192" s="1" t="str">
        <f>IFERROR(__xludf.DUMMYFUNCTION("""COMPUTED_VALUE"""),"- 3,9 %")</f>
        <v>- 3,9 %</v>
      </c>
    </row>
    <row r="193">
      <c r="A193" s="2">
        <f>IFERROR(__xludf.DUMMYFUNCTION("""COMPUTED_VALUE"""),40360.0)</f>
        <v>40360</v>
      </c>
      <c r="B193" s="1" t="str">
        <f>IFERROR(__xludf.DUMMYFUNCTION("""COMPUTED_VALUE"""),"2.610 €/m2")</f>
        <v>2.610 €/m2</v>
      </c>
      <c r="C193" s="1" t="str">
        <f>IFERROR(__xludf.DUMMYFUNCTION("""COMPUTED_VALUE"""),"- 2,2 %")</f>
        <v>- 2,2 %</v>
      </c>
      <c r="D193" s="1" t="str">
        <f>IFERROR(__xludf.DUMMYFUNCTION("""COMPUTED_VALUE"""),"- 4,4 %")</f>
        <v>- 4,4 %</v>
      </c>
      <c r="E193" s="1" t="str">
        <f>IFERROR(__xludf.DUMMYFUNCTION("""COMPUTED_VALUE"""),"- 2,5 %")</f>
        <v>- 2,5 %</v>
      </c>
    </row>
    <row r="194">
      <c r="A194" s="2">
        <f>IFERROR(__xludf.DUMMYFUNCTION("""COMPUTED_VALUE"""),40330.0)</f>
        <v>40330</v>
      </c>
      <c r="B194" s="1" t="str">
        <f>IFERROR(__xludf.DUMMYFUNCTION("""COMPUTED_VALUE"""),"2.670 €/m2")</f>
        <v>2.670 €/m2</v>
      </c>
      <c r="C194" s="1" t="str">
        <f>IFERROR(__xludf.DUMMYFUNCTION("""COMPUTED_VALUE"""),"- 1,2 %")</f>
        <v>- 1,2 %</v>
      </c>
      <c r="D194" s="1" t="str">
        <f>IFERROR(__xludf.DUMMYFUNCTION("""COMPUTED_VALUE"""),"+ 0,4 %")</f>
        <v>+ 0,4 %</v>
      </c>
      <c r="E194" s="1" t="str">
        <f>IFERROR(__xludf.DUMMYFUNCTION("""COMPUTED_VALUE"""),"- 2,0 %")</f>
        <v>- 2,0 %</v>
      </c>
    </row>
    <row r="195">
      <c r="A195" s="2">
        <f>IFERROR(__xludf.DUMMYFUNCTION("""COMPUTED_VALUE"""),40299.0)</f>
        <v>40299</v>
      </c>
      <c r="B195" s="1" t="str">
        <f>IFERROR(__xludf.DUMMYFUNCTION("""COMPUTED_VALUE"""),"2.702 €/m2")</f>
        <v>2.702 €/m2</v>
      </c>
      <c r="C195" s="1" t="str">
        <f>IFERROR(__xludf.DUMMYFUNCTION("""COMPUTED_VALUE"""),"- 1,0 %")</f>
        <v>- 1,0 %</v>
      </c>
      <c r="D195" s="1" t="str">
        <f>IFERROR(__xludf.DUMMYFUNCTION("""COMPUTED_VALUE"""),"+ 3,0 %")</f>
        <v>+ 3,0 %</v>
      </c>
      <c r="E195" s="1" t="str">
        <f>IFERROR(__xludf.DUMMYFUNCTION("""COMPUTED_VALUE"""),"- 1,8 %")</f>
        <v>- 1,8 %</v>
      </c>
    </row>
    <row r="196">
      <c r="A196" s="2">
        <f>IFERROR(__xludf.DUMMYFUNCTION("""COMPUTED_VALUE"""),40269.0)</f>
        <v>40269</v>
      </c>
      <c r="B196" s="1" t="str">
        <f>IFERROR(__xludf.DUMMYFUNCTION("""COMPUTED_VALUE"""),"2.729 €/m2")</f>
        <v>2.729 €/m2</v>
      </c>
      <c r="C196" s="1" t="str">
        <f>IFERROR(__xludf.DUMMYFUNCTION("""COMPUTED_VALUE"""),"+ 2,6 %")</f>
        <v>+ 2,6 %</v>
      </c>
      <c r="D196" s="1" t="str">
        <f>IFERROR(__xludf.DUMMYFUNCTION("""COMPUTED_VALUE"""),"+ 4,2 %")</f>
        <v>+ 4,2 %</v>
      </c>
      <c r="E196" s="1" t="str">
        <f>IFERROR(__xludf.DUMMYFUNCTION("""COMPUTED_VALUE"""),"- 1,7 %")</f>
        <v>- 1,7 %</v>
      </c>
    </row>
    <row r="197">
      <c r="A197" s="2">
        <f>IFERROR(__xludf.DUMMYFUNCTION("""COMPUTED_VALUE"""),40238.0)</f>
        <v>40238</v>
      </c>
      <c r="B197" s="1" t="str">
        <f>IFERROR(__xludf.DUMMYFUNCTION("""COMPUTED_VALUE"""),"2.660 €/m2")</f>
        <v>2.660 €/m2</v>
      </c>
      <c r="C197" s="1" t="str">
        <f>IFERROR(__xludf.DUMMYFUNCTION("""COMPUTED_VALUE"""),"+ 1,4 %")</f>
        <v>+ 1,4 %</v>
      </c>
      <c r="D197" s="1" t="str">
        <f>IFERROR(__xludf.DUMMYFUNCTION("""COMPUTED_VALUE"""),"- 1,2 %")</f>
        <v>- 1,2 %</v>
      </c>
      <c r="E197" s="1" t="str">
        <f>IFERROR(__xludf.DUMMYFUNCTION("""COMPUTED_VALUE"""),"- 5,7 %")</f>
        <v>- 5,7 %</v>
      </c>
    </row>
    <row r="198">
      <c r="A198" s="2">
        <f>IFERROR(__xludf.DUMMYFUNCTION("""COMPUTED_VALUE"""),40210.0)</f>
        <v>40210</v>
      </c>
      <c r="B198" s="1" t="str">
        <f>IFERROR(__xludf.DUMMYFUNCTION("""COMPUTED_VALUE"""),"2.623 €/m2")</f>
        <v>2.623 €/m2</v>
      </c>
      <c r="C198" s="1" t="str">
        <f>IFERROR(__xludf.DUMMYFUNCTION("""COMPUTED_VALUE"""),"+ 0,1 %")</f>
        <v>+ 0,1 %</v>
      </c>
      <c r="D198" s="1" t="str">
        <f>IFERROR(__xludf.DUMMYFUNCTION("""COMPUTED_VALUE"""),"- 3,9 %")</f>
        <v>- 3,9 %</v>
      </c>
      <c r="E198" s="1" t="str">
        <f>IFERROR(__xludf.DUMMYFUNCTION("""COMPUTED_VALUE"""),"- 6,8 %")</f>
        <v>- 6,8 %</v>
      </c>
    </row>
    <row r="199">
      <c r="A199" s="2">
        <f>IFERROR(__xludf.DUMMYFUNCTION("""COMPUTED_VALUE"""),40179.0)</f>
        <v>40179</v>
      </c>
      <c r="B199" s="1" t="str">
        <f>IFERROR(__xludf.DUMMYFUNCTION("""COMPUTED_VALUE"""),"2.620 €/m2")</f>
        <v>2.620 €/m2</v>
      </c>
      <c r="C199" s="1" t="str">
        <f>IFERROR(__xludf.DUMMYFUNCTION("""COMPUTED_VALUE"""),"- 2,7 %")</f>
        <v>- 2,7 %</v>
      </c>
      <c r="D199" s="1" t="str">
        <f>IFERROR(__xludf.DUMMYFUNCTION("""COMPUTED_VALUE"""),"- 4,3 %")</f>
        <v>- 4,3 %</v>
      </c>
      <c r="E199" s="1" t="str">
        <f>IFERROR(__xludf.DUMMYFUNCTION("""COMPUTED_VALUE"""),"- 7,3 %")</f>
        <v>- 7,3 %</v>
      </c>
    </row>
    <row r="200">
      <c r="A200" s="2">
        <f>IFERROR(__xludf.DUMMYFUNCTION("""COMPUTED_VALUE"""),40148.0)</f>
        <v>40148</v>
      </c>
      <c r="B200" s="1" t="str">
        <f>IFERROR(__xludf.DUMMYFUNCTION("""COMPUTED_VALUE"""),"2.693 €/m2")</f>
        <v>2.693 €/m2</v>
      </c>
      <c r="C200" s="1" t="str">
        <f>IFERROR(__xludf.DUMMYFUNCTION("""COMPUTED_VALUE"""),"- 1,3 %")</f>
        <v>- 1,3 %</v>
      </c>
      <c r="D200" s="1" t="str">
        <f>IFERROR(__xludf.DUMMYFUNCTION("""COMPUTED_VALUE"""),"- 0,5 %")</f>
        <v>- 0,5 %</v>
      </c>
      <c r="E200" s="1" t="str">
        <f>IFERROR(__xludf.DUMMYFUNCTION("""COMPUTED_VALUE"""),"- 4,7 %")</f>
        <v>- 4,7 %</v>
      </c>
    </row>
    <row r="201">
      <c r="A201" s="2">
        <f>IFERROR(__xludf.DUMMYFUNCTION("""COMPUTED_VALUE"""),40118.0)</f>
        <v>40118</v>
      </c>
      <c r="B201" s="1" t="str">
        <f>IFERROR(__xludf.DUMMYFUNCTION("""COMPUTED_VALUE"""),"2.729 €/m2")</f>
        <v>2.729 €/m2</v>
      </c>
      <c r="C201" s="1" t="str">
        <f>IFERROR(__xludf.DUMMYFUNCTION("""COMPUTED_VALUE"""),"- 0,3 %")</f>
        <v>- 0,3 %</v>
      </c>
      <c r="D201" s="1" t="str">
        <f>IFERROR(__xludf.DUMMYFUNCTION("""COMPUTED_VALUE"""),"+ 2,4 %")</f>
        <v>+ 2,4 %</v>
      </c>
      <c r="E201" s="1" t="str">
        <f>IFERROR(__xludf.DUMMYFUNCTION("""COMPUTED_VALUE"""),"- 6,1 %")</f>
        <v>- 6,1 %</v>
      </c>
    </row>
    <row r="202">
      <c r="A202" s="2">
        <f>IFERROR(__xludf.DUMMYFUNCTION("""COMPUTED_VALUE"""),40087.0)</f>
        <v>40087</v>
      </c>
      <c r="B202" s="1" t="str">
        <f>IFERROR(__xludf.DUMMYFUNCTION("""COMPUTED_VALUE"""),"2.737 €/m2")</f>
        <v>2.737 €/m2</v>
      </c>
      <c r="C202" s="1" t="str">
        <f>IFERROR(__xludf.DUMMYFUNCTION("""COMPUTED_VALUE"""),"+ 1,1 %")</f>
        <v>+ 1,1 %</v>
      </c>
      <c r="D202" s="1" t="str">
        <f>IFERROR(__xludf.DUMMYFUNCTION("""COMPUTED_VALUE"""),"+ 2,3 %")</f>
        <v>+ 2,3 %</v>
      </c>
      <c r="E202" s="1" t="str">
        <f>IFERROR(__xludf.DUMMYFUNCTION("""COMPUTED_VALUE"""),"- 3,0 %")</f>
        <v>- 3,0 %</v>
      </c>
    </row>
    <row r="203">
      <c r="A203" s="2">
        <f>IFERROR(__xludf.DUMMYFUNCTION("""COMPUTED_VALUE"""),40057.0)</f>
        <v>40057</v>
      </c>
      <c r="B203" s="1" t="str">
        <f>IFERROR(__xludf.DUMMYFUNCTION("""COMPUTED_VALUE"""),"2.707 €/m2")</f>
        <v>2.707 €/m2</v>
      </c>
      <c r="C203" s="1" t="str">
        <f>IFERROR(__xludf.DUMMYFUNCTION("""COMPUTED_VALUE"""),"+ 1,5 %")</f>
        <v>+ 1,5 %</v>
      </c>
      <c r="D203" s="1" t="str">
        <f>IFERROR(__xludf.DUMMYFUNCTION("""COMPUTED_VALUE"""),"- 0,6 %")</f>
        <v>- 0,6 %</v>
      </c>
      <c r="E203" s="1" t="str">
        <f>IFERROR(__xludf.DUMMYFUNCTION("""COMPUTED_VALUE"""),"- 4,3 %")</f>
        <v>- 4,3 %</v>
      </c>
    </row>
    <row r="204">
      <c r="A204" s="2">
        <f>IFERROR(__xludf.DUMMYFUNCTION("""COMPUTED_VALUE"""),40026.0)</f>
        <v>40026</v>
      </c>
      <c r="B204" s="1" t="str">
        <f>IFERROR(__xludf.DUMMYFUNCTION("""COMPUTED_VALUE"""),"2.666 €/m2")</f>
        <v>2.666 €/m2</v>
      </c>
      <c r="C204" s="1" t="str">
        <f>IFERROR(__xludf.DUMMYFUNCTION("""COMPUTED_VALUE"""),"- 0,4 %")</f>
        <v>- 0,4 %</v>
      </c>
      <c r="D204" s="1" t="str">
        <f>IFERROR(__xludf.DUMMYFUNCTION("""COMPUTED_VALUE"""),"- 3,1 %")</f>
        <v>- 3,1 %</v>
      </c>
      <c r="E204" s="1" t="str">
        <f>IFERROR(__xludf.DUMMYFUNCTION("""COMPUTED_VALUE"""),"- 4,8 %")</f>
        <v>- 4,8 %</v>
      </c>
    </row>
    <row r="205">
      <c r="A205" s="2">
        <f>IFERROR(__xludf.DUMMYFUNCTION("""COMPUTED_VALUE"""),39995.0)</f>
        <v>39995</v>
      </c>
      <c r="B205" s="1" t="str">
        <f>IFERROR(__xludf.DUMMYFUNCTION("""COMPUTED_VALUE"""),"2.676 €/m2")</f>
        <v>2.676 €/m2</v>
      </c>
      <c r="C205" s="1" t="str">
        <f>IFERROR(__xludf.DUMMYFUNCTION("""COMPUTED_VALUE"""),"- 1,8 %")</f>
        <v>- 1,8 %</v>
      </c>
      <c r="D205" s="1" t="str">
        <f>IFERROR(__xludf.DUMMYFUNCTION("""COMPUTED_VALUE"""),"- 3,6 %")</f>
        <v>- 3,6 %</v>
      </c>
      <c r="E205" s="1" t="str">
        <f>IFERROR(__xludf.DUMMYFUNCTION("""COMPUTED_VALUE"""),"- 5,5 %")</f>
        <v>- 5,5 %</v>
      </c>
    </row>
    <row r="206">
      <c r="A206" s="2">
        <f>IFERROR(__xludf.DUMMYFUNCTION("""COMPUTED_VALUE"""),39965.0)</f>
        <v>39965</v>
      </c>
      <c r="B206" s="1" t="str">
        <f>IFERROR(__xludf.DUMMYFUNCTION("""COMPUTED_VALUE"""),"2.725 €/m2")</f>
        <v>2.725 €/m2</v>
      </c>
      <c r="C206" s="1" t="str">
        <f>IFERROR(__xludf.DUMMYFUNCTION("""COMPUTED_VALUE"""),"- 0,9 %")</f>
        <v>- 0,9 %</v>
      </c>
      <c r="D206" s="1" t="str">
        <f>IFERROR(__xludf.DUMMYFUNCTION("""COMPUTED_VALUE"""),"- 3,4 %")</f>
        <v>- 3,4 %</v>
      </c>
      <c r="E206" s="1" t="str">
        <f>IFERROR(__xludf.DUMMYFUNCTION("""COMPUTED_VALUE"""),"- 6,7 %")</f>
        <v>- 6,7 %</v>
      </c>
    </row>
    <row r="207">
      <c r="A207" s="2">
        <f>IFERROR(__xludf.DUMMYFUNCTION("""COMPUTED_VALUE"""),39934.0)</f>
        <v>39934</v>
      </c>
      <c r="B207" s="1" t="str">
        <f>IFERROR(__xludf.DUMMYFUNCTION("""COMPUTED_VALUE"""),"2.750 €/m2")</f>
        <v>2.750 €/m2</v>
      </c>
      <c r="C207" s="1" t="str">
        <f>IFERROR(__xludf.DUMMYFUNCTION("""COMPUTED_VALUE"""),"- 1,0 %")</f>
        <v>- 1,0 %</v>
      </c>
      <c r="D207" s="1" t="str">
        <f>IFERROR(__xludf.DUMMYFUNCTION("""COMPUTED_VALUE"""),"- 2,2 %")</f>
        <v>- 2,2 %</v>
      </c>
      <c r="E207" s="1" t="str">
        <f>IFERROR(__xludf.DUMMYFUNCTION("""COMPUTED_VALUE"""),"- 5,0 %")</f>
        <v>- 5,0 %</v>
      </c>
    </row>
    <row r="208">
      <c r="A208" s="2">
        <f>IFERROR(__xludf.DUMMYFUNCTION("""COMPUTED_VALUE"""),39904.0)</f>
        <v>39904</v>
      </c>
      <c r="B208" s="1" t="str">
        <f>IFERROR(__xludf.DUMMYFUNCTION("""COMPUTED_VALUE"""),"2.777 €/m2")</f>
        <v>2.777 €/m2</v>
      </c>
      <c r="C208" s="1" t="str">
        <f>IFERROR(__xludf.DUMMYFUNCTION("""COMPUTED_VALUE"""),"- 1,5 %")</f>
        <v>- 1,5 %</v>
      </c>
      <c r="D208" s="1" t="str">
        <f>IFERROR(__xludf.DUMMYFUNCTION("""COMPUTED_VALUE"""),"- 1,7 %")</f>
        <v>- 1,7 %</v>
      </c>
      <c r="E208" s="1" t="str">
        <f>IFERROR(__xludf.DUMMYFUNCTION("""COMPUTED_VALUE"""),"- 6,2 %")</f>
        <v>- 6,2 %</v>
      </c>
    </row>
    <row r="209">
      <c r="A209" s="2">
        <f>IFERROR(__xludf.DUMMYFUNCTION("""COMPUTED_VALUE"""),39873.0)</f>
        <v>39873</v>
      </c>
      <c r="B209" s="1" t="str">
        <f>IFERROR(__xludf.DUMMYFUNCTION("""COMPUTED_VALUE"""),"2.820 €/m2")</f>
        <v>2.820 €/m2</v>
      </c>
      <c r="C209" s="1" t="str">
        <f>IFERROR(__xludf.DUMMYFUNCTION("""COMPUTED_VALUE"""),"+ 0,3 %")</f>
        <v>+ 0,3 %</v>
      </c>
      <c r="D209" s="1" t="str">
        <f>IFERROR(__xludf.DUMMYFUNCTION("""COMPUTED_VALUE"""),"- 0,2 %")</f>
        <v>- 0,2 %</v>
      </c>
      <c r="E209" s="1" t="str">
        <f>IFERROR(__xludf.DUMMYFUNCTION("""COMPUTED_VALUE"""),"- 3,6 %")</f>
        <v>- 3,6 %</v>
      </c>
    </row>
    <row r="210">
      <c r="A210" s="2">
        <f>IFERROR(__xludf.DUMMYFUNCTION("""COMPUTED_VALUE"""),39845.0)</f>
        <v>39845</v>
      </c>
      <c r="B210" s="1" t="str">
        <f>IFERROR(__xludf.DUMMYFUNCTION("""COMPUTED_VALUE"""),"2.813 €/m2")</f>
        <v>2.813 €/m2</v>
      </c>
      <c r="C210" s="1" t="str">
        <f>IFERROR(__xludf.DUMMYFUNCTION("""COMPUTED_VALUE"""),"- 0,5 %")</f>
        <v>- 0,5 %</v>
      </c>
      <c r="D210" s="1" t="str">
        <f>IFERROR(__xludf.DUMMYFUNCTION("""COMPUTED_VALUE"""),"- 3,3 %")</f>
        <v>- 3,3 %</v>
      </c>
      <c r="E210" s="1" t="str">
        <f>IFERROR(__xludf.DUMMYFUNCTION("""COMPUTED_VALUE"""),"- 4,6 %")</f>
        <v>- 4,6 %</v>
      </c>
    </row>
    <row r="211">
      <c r="A211" s="2">
        <f>IFERROR(__xludf.DUMMYFUNCTION("""COMPUTED_VALUE"""),39814.0)</f>
        <v>39814</v>
      </c>
      <c r="B211" s="1" t="str">
        <f>IFERROR(__xludf.DUMMYFUNCTION("""COMPUTED_VALUE"""),"2.826 €/m2")</f>
        <v>2.826 €/m2</v>
      </c>
      <c r="C211" s="1" t="str">
        <f>IFERROR(__xludf.DUMMYFUNCTION("""COMPUTED_VALUE"""),"0,0 %")</f>
        <v>0,0 %</v>
      </c>
      <c r="D211" s="1" t="str">
        <f>IFERROR(__xludf.DUMMYFUNCTION("""COMPUTED_VALUE"""),"+ 0,1 %")</f>
        <v>+ 0,1 %</v>
      </c>
      <c r="E211" s="1" t="str">
        <f>IFERROR(__xludf.DUMMYFUNCTION("""COMPUTED_VALUE"""),"- 2,8 %")</f>
        <v>- 2,8 %</v>
      </c>
    </row>
    <row r="212">
      <c r="A212" s="2">
        <f>IFERROR(__xludf.DUMMYFUNCTION("""COMPUTED_VALUE"""),39783.0)</f>
        <v>39783</v>
      </c>
      <c r="B212" s="1" t="str">
        <f>IFERROR(__xludf.DUMMYFUNCTION("""COMPUTED_VALUE"""),"2.826 €/m2")</f>
        <v>2.826 €/m2</v>
      </c>
      <c r="C212" s="1" t="str">
        <f>IFERROR(__xludf.DUMMYFUNCTION("""COMPUTED_VALUE"""),"- 2,8 %")</f>
        <v>- 2,8 %</v>
      </c>
      <c r="D212" s="1" t="str">
        <f>IFERROR(__xludf.DUMMYFUNCTION("""COMPUTED_VALUE"""),"- 0,1 %")</f>
        <v>- 0,1 %</v>
      </c>
      <c r="E212" s="1" t="str">
        <f>IFERROR(__xludf.DUMMYFUNCTION("""COMPUTED_VALUE"""),"- 5,5 %")</f>
        <v>- 5,5 %</v>
      </c>
    </row>
    <row r="213">
      <c r="A213" s="2">
        <f>IFERROR(__xludf.DUMMYFUNCTION("""COMPUTED_VALUE"""),39753.0)</f>
        <v>39753</v>
      </c>
      <c r="B213" s="1" t="str">
        <f>IFERROR(__xludf.DUMMYFUNCTION("""COMPUTED_VALUE"""),"2.908 €/m2")</f>
        <v>2.908 €/m2</v>
      </c>
      <c r="C213" s="1" t="str">
        <f>IFERROR(__xludf.DUMMYFUNCTION("""COMPUTED_VALUE"""),"+ 3,0 %")</f>
        <v>+ 3,0 %</v>
      </c>
      <c r="D213" s="1" t="str">
        <f>IFERROR(__xludf.DUMMYFUNCTION("""COMPUTED_VALUE"""),"+ 3,8 %")</f>
        <v>+ 3,8 %</v>
      </c>
      <c r="E213" s="1" t="str">
        <f>IFERROR(__xludf.DUMMYFUNCTION("""COMPUTED_VALUE"""),"- 4,0 %")</f>
        <v>- 4,0 %</v>
      </c>
    </row>
    <row r="214">
      <c r="A214" s="2">
        <f>IFERROR(__xludf.DUMMYFUNCTION("""COMPUTED_VALUE"""),39722.0)</f>
        <v>39722</v>
      </c>
      <c r="B214" s="1" t="str">
        <f>IFERROR(__xludf.DUMMYFUNCTION("""COMPUTED_VALUE"""),"2.824 €/m2")</f>
        <v>2.824 €/m2</v>
      </c>
      <c r="C214" s="1" t="str">
        <f>IFERROR(__xludf.DUMMYFUNCTION("""COMPUTED_VALUE"""),"- 0,2 %")</f>
        <v>- 0,2 %</v>
      </c>
      <c r="D214" s="1" t="str">
        <f>IFERROR(__xludf.DUMMYFUNCTION("""COMPUTED_VALUE"""),"- 0,3 %")</f>
        <v>- 0,3 %</v>
      </c>
      <c r="E214" s="1" t="str">
        <f>IFERROR(__xludf.DUMMYFUNCTION("""COMPUTED_VALUE"""),"- 2,7 %")</f>
        <v>- 2,7 %</v>
      </c>
    </row>
    <row r="215">
      <c r="A215" s="2">
        <f>IFERROR(__xludf.DUMMYFUNCTION("""COMPUTED_VALUE"""),39692.0)</f>
        <v>39692</v>
      </c>
      <c r="B215" s="1" t="str">
        <f>IFERROR(__xludf.DUMMYFUNCTION("""COMPUTED_VALUE"""),"2.829 €/m2")</f>
        <v>2.829 €/m2</v>
      </c>
      <c r="C215" s="1" t="str">
        <f>IFERROR(__xludf.DUMMYFUNCTION("""COMPUTED_VALUE"""),"+ 1,0 %")</f>
        <v>+ 1,0 %</v>
      </c>
      <c r="D215" s="1" t="str">
        <f>IFERROR(__xludf.DUMMYFUNCTION("""COMPUTED_VALUE"""),"- 3,1 %")</f>
        <v>- 3,1 %</v>
      </c>
      <c r="E215" s="1" t="str">
        <f>IFERROR(__xludf.DUMMYFUNCTION("""COMPUTED_VALUE"""),"- 0,5 %")</f>
        <v>- 0,5 %</v>
      </c>
    </row>
    <row r="216">
      <c r="A216" s="2">
        <f>IFERROR(__xludf.DUMMYFUNCTION("""COMPUTED_VALUE"""),39661.0)</f>
        <v>39661</v>
      </c>
      <c r="B216" s="1" t="str">
        <f>IFERROR(__xludf.DUMMYFUNCTION("""COMPUTED_VALUE"""),"2.801 €/m2")</f>
        <v>2.801 €/m2</v>
      </c>
      <c r="C216" s="1" t="str">
        <f>IFERROR(__xludf.DUMMYFUNCTION("""COMPUTED_VALUE"""),"- 1,1 %")</f>
        <v>- 1,1 %</v>
      </c>
      <c r="D216" s="1" t="str">
        <f>IFERROR(__xludf.DUMMYFUNCTION("""COMPUTED_VALUE"""),"- 3,2 %")</f>
        <v>- 3,2 %</v>
      </c>
      <c r="E216" s="1" t="str">
        <f>IFERROR(__xludf.DUMMYFUNCTION("""COMPUTED_VALUE"""),"- 3,2 %")</f>
        <v>- 3,2 %</v>
      </c>
    </row>
    <row r="217">
      <c r="A217" s="2">
        <f>IFERROR(__xludf.DUMMYFUNCTION("""COMPUTED_VALUE"""),39630.0)</f>
        <v>39630</v>
      </c>
      <c r="B217" s="1" t="str">
        <f>IFERROR(__xludf.DUMMYFUNCTION("""COMPUTED_VALUE"""),"2.831 €/m2")</f>
        <v>2.831 €/m2</v>
      </c>
      <c r="C217" s="1" t="str">
        <f>IFERROR(__xludf.DUMMYFUNCTION("""COMPUTED_VALUE"""),"- 3,0 %")</f>
        <v>- 3,0 %</v>
      </c>
      <c r="D217" s="1" t="str">
        <f>IFERROR(__xludf.DUMMYFUNCTION("""COMPUTED_VALUE"""),"- 4,4 %")</f>
        <v>- 4,4 %</v>
      </c>
      <c r="E217" s="1" t="str">
        <f>IFERROR(__xludf.DUMMYFUNCTION("""COMPUTED_VALUE"""),"- 10,6 %")</f>
        <v>- 10,6 %</v>
      </c>
    </row>
    <row r="218">
      <c r="A218" s="2">
        <f>IFERROR(__xludf.DUMMYFUNCTION("""COMPUTED_VALUE"""),39600.0)</f>
        <v>39600</v>
      </c>
      <c r="B218" s="1" t="str">
        <f>IFERROR(__xludf.DUMMYFUNCTION("""COMPUTED_VALUE"""),"2.919 €/m2")</f>
        <v>2.919 €/m2</v>
      </c>
      <c r="C218" s="1" t="str">
        <f>IFERROR(__xludf.DUMMYFUNCTION("""COMPUTED_VALUE"""),"+ 0,9 %")</f>
        <v>+ 0,9 %</v>
      </c>
      <c r="D218" s="1" t="str">
        <f>IFERROR(__xludf.DUMMYFUNCTION("""COMPUTED_VALUE"""),"- 0,2 %")</f>
        <v>- 0,2 %</v>
      </c>
      <c r="E218" s="1" t="str">
        <f>IFERROR(__xludf.DUMMYFUNCTION("""COMPUTED_VALUE"""),"- 8,0 %")</f>
        <v>- 8,0 %</v>
      </c>
    </row>
    <row r="219">
      <c r="A219" s="2">
        <f>IFERROR(__xludf.DUMMYFUNCTION("""COMPUTED_VALUE"""),39569.0)</f>
        <v>39569</v>
      </c>
      <c r="B219" s="1" t="str">
        <f>IFERROR(__xludf.DUMMYFUNCTION("""COMPUTED_VALUE"""),"2.894 €/m2")</f>
        <v>2.894 €/m2</v>
      </c>
      <c r="C219" s="1" t="str">
        <f>IFERROR(__xludf.DUMMYFUNCTION("""COMPUTED_VALUE"""),"- 2,3 %")</f>
        <v>- 2,3 %</v>
      </c>
      <c r="D219" s="1" t="str">
        <f>IFERROR(__xludf.DUMMYFUNCTION("""COMPUTED_VALUE"""),"- 1,8 %")</f>
        <v>- 1,8 %</v>
      </c>
      <c r="E219" s="1" t="str">
        <f>IFERROR(__xludf.DUMMYFUNCTION("""COMPUTED_VALUE"""),"- 7,3 %")</f>
        <v>- 7,3 %</v>
      </c>
    </row>
    <row r="220">
      <c r="A220" s="2">
        <f>IFERROR(__xludf.DUMMYFUNCTION("""COMPUTED_VALUE"""),39539.0)</f>
        <v>39539</v>
      </c>
      <c r="B220" s="1" t="str">
        <f>IFERROR(__xludf.DUMMYFUNCTION("""COMPUTED_VALUE"""),"2.962 €/m2")</f>
        <v>2.962 €/m2</v>
      </c>
      <c r="C220" s="1" t="str">
        <f>IFERROR(__xludf.DUMMYFUNCTION("""COMPUTED_VALUE"""),"+ 1,2 %")</f>
        <v>+ 1,2 %</v>
      </c>
      <c r="D220" s="1" t="str">
        <f>IFERROR(__xludf.DUMMYFUNCTION("""COMPUTED_VALUE"""),"+ 1,9 %")</f>
        <v>+ 1,9 %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IFERROR(__xludf.DUMMYFUNCTION("""COMPUTED_VALUE"""),"2.927 €/m2")</f>
        <v>2.927 €/m2</v>
      </c>
      <c r="C221" s="1" t="str">
        <f>IFERROR(__xludf.DUMMYFUNCTION("""COMPUTED_VALUE"""),"- 0,7 %")</f>
        <v>- 0,7 %</v>
      </c>
      <c r="D221" s="1" t="str">
        <f>IFERROR(__xludf.DUMMYFUNCTION("""COMPUTED_VALUE"""),"- 2,2 %")</f>
        <v>- 2,2 %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IFERROR(__xludf.DUMMYFUNCTION("""COMPUTED_VALUE"""),"2.948 €/m2")</f>
        <v>2.948 €/m2</v>
      </c>
      <c r="C222" s="1" t="str">
        <f>IFERROR(__xludf.DUMMYFUNCTION("""COMPUTED_VALUE"""),"+ 1,4 %")</f>
        <v>+ 1,4 %</v>
      </c>
      <c r="D222" s="1" t="str">
        <f>IFERROR(__xludf.DUMMYFUNCTION("""COMPUTED_VALUE"""),"- 2,6 %")</f>
        <v>- 2,6 %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IFERROR(__xludf.DUMMYFUNCTION("""COMPUTED_VALUE"""),"2.908 €/m2")</f>
        <v>2.908 €/m2</v>
      </c>
      <c r="C223" s="1" t="str">
        <f>IFERROR(__xludf.DUMMYFUNCTION("""COMPUTED_VALUE"""),"- 2,8 %")</f>
        <v>- 2,8 %</v>
      </c>
      <c r="D223" s="1" t="str">
        <f>IFERROR(__xludf.DUMMYFUNCTION("""COMPUTED_VALUE"""),"+ 0,3 %")</f>
        <v>+ 0,3 %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IFERROR(__xludf.DUMMYFUNCTION("""COMPUTED_VALUE"""),"2.992 €/m2")</f>
        <v>2.992 €/m2</v>
      </c>
      <c r="C224" s="1" t="str">
        <f>IFERROR(__xludf.DUMMYFUNCTION("""COMPUTED_VALUE"""),"- 1,2 %")</f>
        <v>- 1,2 %</v>
      </c>
      <c r="D224" s="1" t="str">
        <f>IFERROR(__xludf.DUMMYFUNCTION("""COMPUTED_VALUE"""),"+ 5,2 %")</f>
        <v>+ 5,2 %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IFERROR(__xludf.DUMMYFUNCTION("""COMPUTED_VALUE"""),"3.028 €/m2")</f>
        <v>3.028 €/m2</v>
      </c>
      <c r="C225" s="1" t="str">
        <f>IFERROR(__xludf.DUMMYFUNCTION("""COMPUTED_VALUE"""),"+ 4,4 %")</f>
        <v>+ 4,4 %</v>
      </c>
      <c r="D225" s="1" t="str">
        <f>IFERROR(__xludf.DUMMYFUNCTION("""COMPUTED_VALUE"""),"+ 4,6 %")</f>
        <v>+ 4,6 %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IFERROR(__xludf.DUMMYFUNCTION("""COMPUTED_VALUE"""),"2.901 €/m2")</f>
        <v>2.901 €/m2</v>
      </c>
      <c r="C226" s="1" t="str">
        <f>IFERROR(__xludf.DUMMYFUNCTION("""COMPUTED_VALUE"""),"+ 2,0 %")</f>
        <v>+ 2,0 %</v>
      </c>
      <c r="D226" s="1" t="str">
        <f>IFERROR(__xludf.DUMMYFUNCTION("""COMPUTED_VALUE"""),"- 8,4 %")</f>
        <v>- 8,4 %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IFERROR(__xludf.DUMMYFUNCTION("""COMPUTED_VALUE"""),"2.843 €/m2")</f>
        <v>2.843 €/m2</v>
      </c>
      <c r="C227" s="1" t="str">
        <f>IFERROR(__xludf.DUMMYFUNCTION("""COMPUTED_VALUE"""),"- 1,8 %")</f>
        <v>- 1,8 %</v>
      </c>
      <c r="D227" s="1" t="str">
        <f>IFERROR(__xludf.DUMMYFUNCTION("""COMPUTED_VALUE"""),"- 10,4 %")</f>
        <v>- 10,4 %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IFERROR(__xludf.DUMMYFUNCTION("""COMPUTED_VALUE"""),"2.894 €/m2")</f>
        <v>2.894 €/m2</v>
      </c>
      <c r="C228" s="1" t="str">
        <f>IFERROR(__xludf.DUMMYFUNCTION("""COMPUTED_VALUE"""),"- 8,6 %")</f>
        <v>- 8,6 %</v>
      </c>
      <c r="D228" s="1" t="str">
        <f>IFERROR(__xludf.DUMMYFUNCTION("""COMPUTED_VALUE"""),"- 7,3 %")</f>
        <v>- 7,3 %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IFERROR(__xludf.DUMMYFUNCTION("""COMPUTED_VALUE"""),"3.167 €/m2")</f>
        <v>3.167 €/m2</v>
      </c>
      <c r="C229" s="1" t="str">
        <f>IFERROR(__xludf.DUMMYFUNCTION("""COMPUTED_VALUE"""),"- 0,2 %")</f>
        <v>- 0,2 %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IFERROR(__xludf.DUMMYFUNCTION("""COMPUTED_VALUE"""),"3.173 €/m2")</f>
        <v>3.173 €/m2</v>
      </c>
      <c r="C230" s="1" t="str">
        <f>IFERROR(__xludf.DUMMYFUNCTION("""COMPUTED_VALUE"""),"+ 1,7 %")</f>
        <v>+ 1,7 %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IFERROR(__xludf.DUMMYFUNCTION("""COMPUTED_VALUE"""),"3.121 €/m2")</f>
        <v>3.121 €/m2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IFERROR(__xludf.DUMMYFUNCTION("IMPORTHTML(""https://www.idealista.com/sala-de-prensa/informes-precio-vivienda/venta/madrid-comunidad/madrid-provincia/madrid/centro/historico/"",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IFERROR(__xludf.DUMMYFUNCTION("""COMPUTED_VALUE"""),"7.636 €/m2")</f>
        <v>7.636 €/m2</v>
      </c>
      <c r="C2" s="1" t="str">
        <f>IFERROR(__xludf.DUMMYFUNCTION("""COMPUTED_VALUE"""),"+ 0,6 %")</f>
        <v>+ 0,6 %</v>
      </c>
      <c r="D2" s="1" t="str">
        <f>IFERROR(__xludf.DUMMYFUNCTION("""COMPUTED_VALUE"""),"+ 1,5 %")</f>
        <v>+ 1,5 %</v>
      </c>
      <c r="E2" s="1" t="str">
        <f>IFERROR(__xludf.DUMMYFUNCTION("""COMPUTED_VALUE"""),"+ 5,3 %")</f>
        <v>+ 5,3 %</v>
      </c>
    </row>
    <row r="3">
      <c r="A3" s="2">
        <f>IFERROR(__xludf.DUMMYFUNCTION("""COMPUTED_VALUE"""),46143.0)</f>
        <v>46143</v>
      </c>
      <c r="B3" s="1" t="str">
        <f>IFERROR(__xludf.DUMMYFUNCTION("""COMPUTED_VALUE"""),"7.588 €/m2")</f>
        <v>7.588 €/m2</v>
      </c>
      <c r="C3" s="1" t="str">
        <f>IFERROR(__xludf.DUMMYFUNCTION("""COMPUTED_VALUE"""),"+ 0,3 %")</f>
        <v>+ 0,3 %</v>
      </c>
      <c r="D3" s="1" t="str">
        <f>IFERROR(__xludf.DUMMYFUNCTION("""COMPUTED_VALUE"""),"+ 3,0 %")</f>
        <v>+ 3,0 %</v>
      </c>
      <c r="E3" s="1" t="str">
        <f>IFERROR(__xludf.DUMMYFUNCTION("""COMPUTED_VALUE"""),"+ 5,4 %")</f>
        <v>+ 5,4 %</v>
      </c>
    </row>
    <row r="4">
      <c r="A4" s="2">
        <f>IFERROR(__xludf.DUMMYFUNCTION("""COMPUTED_VALUE"""),46113.0)</f>
        <v>46113</v>
      </c>
      <c r="B4" s="1" t="str">
        <f>IFERROR(__xludf.DUMMYFUNCTION("""COMPUTED_VALUE"""),"7.566 €/m2")</f>
        <v>7.566 €/m2</v>
      </c>
      <c r="C4" s="1" t="str">
        <f>IFERROR(__xludf.DUMMYFUNCTION("""COMPUTED_VALUE"""),"+ 0,6 %")</f>
        <v>+ 0,6 %</v>
      </c>
      <c r="D4" s="1" t="str">
        <f>IFERROR(__xludf.DUMMYFUNCTION("""COMPUTED_VALUE"""),"+ 3,3 %")</f>
        <v>+ 3,3 %</v>
      </c>
      <c r="E4" s="1" t="str">
        <f>IFERROR(__xludf.DUMMYFUNCTION("""COMPUTED_VALUE"""),"+ 8,2 %")</f>
        <v>+ 8,2 %</v>
      </c>
    </row>
    <row r="5">
      <c r="A5" s="2">
        <f>IFERROR(__xludf.DUMMYFUNCTION("""COMPUTED_VALUE"""),46082.0)</f>
        <v>46082</v>
      </c>
      <c r="B5" s="1" t="str">
        <f>IFERROR(__xludf.DUMMYFUNCTION("""COMPUTED_VALUE"""),"7.524 €/m2")</f>
        <v>7.524 €/m2</v>
      </c>
      <c r="C5" s="1" t="str">
        <f>IFERROR(__xludf.DUMMYFUNCTION("""COMPUTED_VALUE"""),"+ 2,1 %")</f>
        <v>+ 2,1 %</v>
      </c>
      <c r="D5" s="1" t="str">
        <f>IFERROR(__xludf.DUMMYFUNCTION("""COMPUTED_VALUE"""),"+ 2,1 %")</f>
        <v>+ 2,1 %</v>
      </c>
      <c r="E5" s="1" t="str">
        <f>IFERROR(__xludf.DUMMYFUNCTION("""COMPUTED_VALUE"""),"+ 10,4 %")</f>
        <v>+ 10,4 %</v>
      </c>
    </row>
    <row r="6">
      <c r="A6" s="2">
        <f>IFERROR(__xludf.DUMMYFUNCTION("""COMPUTED_VALUE"""),46054.0)</f>
        <v>46054</v>
      </c>
      <c r="B6" s="1" t="str">
        <f>IFERROR(__xludf.DUMMYFUNCTION("""COMPUTED_VALUE"""),"7.368 €/m2")</f>
        <v>7.368 €/m2</v>
      </c>
      <c r="C6" s="1" t="str">
        <f>IFERROR(__xludf.DUMMYFUNCTION("""COMPUTED_VALUE"""),"+ 0,6 %")</f>
        <v>+ 0,6 %</v>
      </c>
      <c r="D6" s="1" t="str">
        <f>IFERROR(__xludf.DUMMYFUNCTION("""COMPUTED_VALUE"""),"+ 0,5 %")</f>
        <v>+ 0,5 %</v>
      </c>
      <c r="E6" s="1" t="str">
        <f>IFERROR(__xludf.DUMMYFUNCTION("""COMPUTED_VALUE"""),"+ 9,2 %")</f>
        <v>+ 9,2 %</v>
      </c>
    </row>
    <row r="7">
      <c r="A7" s="2">
        <f>IFERROR(__xludf.DUMMYFUNCTION("""COMPUTED_VALUE"""),46023.0)</f>
        <v>46023</v>
      </c>
      <c r="B7" s="1" t="str">
        <f>IFERROR(__xludf.DUMMYFUNCTION("""COMPUTED_VALUE"""),"7.322 €/m2")</f>
        <v>7.322 €/m2</v>
      </c>
      <c r="C7" s="1" t="str">
        <f>IFERROR(__xludf.DUMMYFUNCTION("""COMPUTED_VALUE"""),"- 0,6 %")</f>
        <v>- 0,6 %</v>
      </c>
      <c r="D7" s="1" t="str">
        <f>IFERROR(__xludf.DUMMYFUNCTION("""COMPUTED_VALUE"""),"+ 1,5 %")</f>
        <v>+ 1,5 %</v>
      </c>
      <c r="E7" s="1" t="str">
        <f>IFERROR(__xludf.DUMMYFUNCTION("""COMPUTED_VALUE"""),"+ 8,6 %")</f>
        <v>+ 8,6 %</v>
      </c>
    </row>
    <row r="8">
      <c r="A8" s="2">
        <f>IFERROR(__xludf.DUMMYFUNCTION("""COMPUTED_VALUE"""),45992.0)</f>
        <v>45992</v>
      </c>
      <c r="B8" s="1" t="str">
        <f>IFERROR(__xludf.DUMMYFUNCTION("""COMPUTED_VALUE"""),"7.366 €/m2")</f>
        <v>7.366 €/m2</v>
      </c>
      <c r="C8" s="1" t="str">
        <f>IFERROR(__xludf.DUMMYFUNCTION("""COMPUTED_VALUE"""),"+ 0,5 %")</f>
        <v>+ 0,5 %</v>
      </c>
      <c r="D8" s="1" t="str">
        <f>IFERROR(__xludf.DUMMYFUNCTION("""COMPUTED_VALUE"""),"+ 1,6 %")</f>
        <v>+ 1,6 %</v>
      </c>
      <c r="E8" s="1" t="str">
        <f>IFERROR(__xludf.DUMMYFUNCTION("""COMPUTED_VALUE"""),"+ 11,3 %")</f>
        <v>+ 11,3 %</v>
      </c>
    </row>
    <row r="9">
      <c r="A9" s="2">
        <f>IFERROR(__xludf.DUMMYFUNCTION("""COMPUTED_VALUE"""),45962.0)</f>
        <v>45962</v>
      </c>
      <c r="B9" s="1" t="str">
        <f>IFERROR(__xludf.DUMMYFUNCTION("""COMPUTED_VALUE"""),"7.332 €/m2")</f>
        <v>7.332 €/m2</v>
      </c>
      <c r="C9" s="1" t="str">
        <f>IFERROR(__xludf.DUMMYFUNCTION("""COMPUTED_VALUE"""),"+ 1,6 %")</f>
        <v>+ 1,6 %</v>
      </c>
      <c r="D9" s="1" t="str">
        <f>IFERROR(__xludf.DUMMYFUNCTION("""COMPUTED_VALUE"""),"+ 0,7 %")</f>
        <v>+ 0,7 %</v>
      </c>
      <c r="E9" s="1" t="str">
        <f>IFERROR(__xludf.DUMMYFUNCTION("""COMPUTED_VALUE"""),"+ 11,2 %")</f>
        <v>+ 11,2 %</v>
      </c>
    </row>
    <row r="10">
      <c r="A10" s="2">
        <f>IFERROR(__xludf.DUMMYFUNCTION("""COMPUTED_VALUE"""),45931.0)</f>
        <v>45931</v>
      </c>
      <c r="B10" s="1" t="str">
        <f>IFERROR(__xludf.DUMMYFUNCTION("""COMPUTED_VALUE"""),"7.214 €/m2")</f>
        <v>7.214 €/m2</v>
      </c>
      <c r="C10" s="1" t="str">
        <f>IFERROR(__xludf.DUMMYFUNCTION("""COMPUTED_VALUE"""),"- 0,5 %")</f>
        <v>- 0,5 %</v>
      </c>
      <c r="D10" s="1" t="str">
        <f>IFERROR(__xludf.DUMMYFUNCTION("""COMPUTED_VALUE"""),"- 1,4 %")</f>
        <v>- 1,4 %</v>
      </c>
      <c r="E10" s="1" t="str">
        <f>IFERROR(__xludf.DUMMYFUNCTION("""COMPUTED_VALUE"""),"+ 10,2 %")</f>
        <v>+ 10,2 %</v>
      </c>
    </row>
    <row r="11">
      <c r="A11" s="2">
        <f>IFERROR(__xludf.DUMMYFUNCTION("""COMPUTED_VALUE"""),45901.0)</f>
        <v>45901</v>
      </c>
      <c r="B11" s="1" t="str">
        <f>IFERROR(__xludf.DUMMYFUNCTION("""COMPUTED_VALUE"""),"7.251 €/m2")</f>
        <v>7.251 €/m2</v>
      </c>
      <c r="C11" s="1" t="str">
        <f>IFERROR(__xludf.DUMMYFUNCTION("""COMPUTED_VALUE"""),"- 0,4 %")</f>
        <v>- 0,4 %</v>
      </c>
      <c r="D11" s="1" t="str">
        <f>IFERROR(__xludf.DUMMYFUNCTION("""COMPUTED_VALUE"""),"0,0 %")</f>
        <v>0,0 %</v>
      </c>
      <c r="E11" s="1" t="str">
        <f>IFERROR(__xludf.DUMMYFUNCTION("""COMPUTED_VALUE"""),"+ 13,3 %")</f>
        <v>+ 13,3 %</v>
      </c>
    </row>
    <row r="12">
      <c r="A12" s="2">
        <f>IFERROR(__xludf.DUMMYFUNCTION("""COMPUTED_VALUE"""),45870.0)</f>
        <v>45870</v>
      </c>
      <c r="B12" s="1" t="str">
        <f>IFERROR(__xludf.DUMMYFUNCTION("""COMPUTED_VALUE"""),"7.281 €/m2")</f>
        <v>7.281 €/m2</v>
      </c>
      <c r="C12" s="1" t="str">
        <f>IFERROR(__xludf.DUMMYFUNCTION("""COMPUTED_VALUE"""),"- 0,4 %")</f>
        <v>- 0,4 %</v>
      </c>
      <c r="D12" s="1" t="str">
        <f>IFERROR(__xludf.DUMMYFUNCTION("""COMPUTED_VALUE"""),"+ 1,2 %")</f>
        <v>+ 1,2 %</v>
      </c>
      <c r="E12" s="1" t="str">
        <f>IFERROR(__xludf.DUMMYFUNCTION("""COMPUTED_VALUE"""),"+ 15,7 %")</f>
        <v>+ 15,7 %</v>
      </c>
    </row>
    <row r="13">
      <c r="A13" s="2">
        <f>IFERROR(__xludf.DUMMYFUNCTION("""COMPUTED_VALUE"""),45839.0)</f>
        <v>45839</v>
      </c>
      <c r="B13" s="1" t="str">
        <f>IFERROR(__xludf.DUMMYFUNCTION("""COMPUTED_VALUE"""),"7.314 €/m2")</f>
        <v>7.314 €/m2</v>
      </c>
      <c r="C13" s="1" t="str">
        <f>IFERROR(__xludf.DUMMYFUNCTION("""COMPUTED_VALUE"""),"+ 0,8 %")</f>
        <v>+ 0,8 %</v>
      </c>
      <c r="D13" s="1" t="str">
        <f>IFERROR(__xludf.DUMMYFUNCTION("""COMPUTED_VALUE"""),"+ 4,6 %")</f>
        <v>+ 4,6 %</v>
      </c>
      <c r="E13" s="1" t="str">
        <f>IFERROR(__xludf.DUMMYFUNCTION("""COMPUTED_VALUE"""),"+ 17,5 %")</f>
        <v>+ 17,5 %</v>
      </c>
    </row>
    <row r="14">
      <c r="A14" s="2">
        <f>IFERROR(__xludf.DUMMYFUNCTION("""COMPUTED_VALUE"""),45809.0)</f>
        <v>45809</v>
      </c>
      <c r="B14" s="1" t="str">
        <f>IFERROR(__xludf.DUMMYFUNCTION("""COMPUTED_VALUE"""),"7.253 €/m2")</f>
        <v>7.253 €/m2</v>
      </c>
      <c r="C14" s="1" t="str">
        <f>IFERROR(__xludf.DUMMYFUNCTION("""COMPUTED_VALUE"""),"+ 0,8 %")</f>
        <v>+ 0,8 %</v>
      </c>
      <c r="D14" s="1" t="str">
        <f>IFERROR(__xludf.DUMMYFUNCTION("""COMPUTED_VALUE"""),"+ 6,4 %")</f>
        <v>+ 6,4 %</v>
      </c>
      <c r="E14" s="1" t="str">
        <f>IFERROR(__xludf.DUMMYFUNCTION("""COMPUTED_VALUE"""),"+ 17,6 %")</f>
        <v>+ 17,6 %</v>
      </c>
    </row>
    <row r="15">
      <c r="A15" s="2">
        <f>IFERROR(__xludf.DUMMYFUNCTION("""COMPUTED_VALUE"""),45778.0)</f>
        <v>45778</v>
      </c>
      <c r="B15" s="1" t="str">
        <f>IFERROR(__xludf.DUMMYFUNCTION("""COMPUTED_VALUE"""),"7.198 €/m2")</f>
        <v>7.198 €/m2</v>
      </c>
      <c r="C15" s="1" t="str">
        <f>IFERROR(__xludf.DUMMYFUNCTION("""COMPUTED_VALUE"""),"+ 2,9 %")</f>
        <v>+ 2,9 %</v>
      </c>
      <c r="D15" s="1" t="str">
        <f>IFERROR(__xludf.DUMMYFUNCTION("""COMPUTED_VALUE"""),"+ 6,6 %")</f>
        <v>+ 6,6 %</v>
      </c>
      <c r="E15" s="1" t="str">
        <f>IFERROR(__xludf.DUMMYFUNCTION("""COMPUTED_VALUE"""),"+ 16,0 %")</f>
        <v>+ 16,0 %</v>
      </c>
    </row>
    <row r="16">
      <c r="A16" s="2">
        <f>IFERROR(__xludf.DUMMYFUNCTION("""COMPUTED_VALUE"""),45748.0)</f>
        <v>45748</v>
      </c>
      <c r="B16" s="1" t="str">
        <f>IFERROR(__xludf.DUMMYFUNCTION("""COMPUTED_VALUE"""),"6.994 €/m2")</f>
        <v>6.994 €/m2</v>
      </c>
      <c r="C16" s="1" t="str">
        <f>IFERROR(__xludf.DUMMYFUNCTION("""COMPUTED_VALUE"""),"+ 2,6 %")</f>
        <v>+ 2,6 %</v>
      </c>
      <c r="D16" s="1" t="str">
        <f>IFERROR(__xludf.DUMMYFUNCTION("""COMPUTED_VALUE"""),"+ 3,8 %")</f>
        <v>+ 3,8 %</v>
      </c>
      <c r="E16" s="1" t="str">
        <f>IFERROR(__xludf.DUMMYFUNCTION("""COMPUTED_VALUE"""),"+ 12,4 %")</f>
        <v>+ 12,4 %</v>
      </c>
    </row>
    <row r="17">
      <c r="A17" s="2">
        <f>IFERROR(__xludf.DUMMYFUNCTION("""COMPUTED_VALUE"""),45717.0)</f>
        <v>45717</v>
      </c>
      <c r="B17" s="1" t="str">
        <f>IFERROR(__xludf.DUMMYFUNCTION("""COMPUTED_VALUE"""),"6.816 €/m2")</f>
        <v>6.816 €/m2</v>
      </c>
      <c r="C17" s="1" t="str">
        <f>IFERROR(__xludf.DUMMYFUNCTION("""COMPUTED_VALUE"""),"+ 1,0 %")</f>
        <v>+ 1,0 %</v>
      </c>
      <c r="D17" s="1" t="str">
        <f>IFERROR(__xludf.DUMMYFUNCTION("""COMPUTED_VALUE"""),"+ 3,0 %")</f>
        <v>+ 3,0 %</v>
      </c>
      <c r="E17" s="1" t="str">
        <f>IFERROR(__xludf.DUMMYFUNCTION("""COMPUTED_VALUE"""),"+ 10,9 %")</f>
        <v>+ 10,9 %</v>
      </c>
    </row>
    <row r="18">
      <c r="A18" s="2">
        <f>IFERROR(__xludf.DUMMYFUNCTION("""COMPUTED_VALUE"""),45689.0)</f>
        <v>45689</v>
      </c>
      <c r="B18" s="1" t="str">
        <f>IFERROR(__xludf.DUMMYFUNCTION("""COMPUTED_VALUE"""),"6.749 €/m2")</f>
        <v>6.749 €/m2</v>
      </c>
      <c r="C18" s="1" t="str">
        <f>IFERROR(__xludf.DUMMYFUNCTION("""COMPUTED_VALUE"""),"+ 0,1 %")</f>
        <v>+ 0,1 %</v>
      </c>
      <c r="D18" s="1" t="str">
        <f>IFERROR(__xludf.DUMMYFUNCTION("""COMPUTED_VALUE"""),"+ 2,4 %")</f>
        <v>+ 2,4 %</v>
      </c>
      <c r="E18" s="1" t="str">
        <f>IFERROR(__xludf.DUMMYFUNCTION("""COMPUTED_VALUE"""),"+ 10,8 %")</f>
        <v>+ 10,8 %</v>
      </c>
    </row>
    <row r="19">
      <c r="A19" s="2">
        <f>IFERROR(__xludf.DUMMYFUNCTION("""COMPUTED_VALUE"""),45658.0)</f>
        <v>45658</v>
      </c>
      <c r="B19" s="1" t="str">
        <f>IFERROR(__xludf.DUMMYFUNCTION("""COMPUTED_VALUE"""),"6.739 €/m2")</f>
        <v>6.739 €/m2</v>
      </c>
      <c r="C19" s="1" t="str">
        <f>IFERROR(__xludf.DUMMYFUNCTION("""COMPUTED_VALUE"""),"+ 1,8 %")</f>
        <v>+ 1,8 %</v>
      </c>
      <c r="D19" s="1" t="str">
        <f>IFERROR(__xludf.DUMMYFUNCTION("""COMPUTED_VALUE"""),"+ 3,0 %")</f>
        <v>+ 3,0 %</v>
      </c>
      <c r="E19" s="1" t="str">
        <f>IFERROR(__xludf.DUMMYFUNCTION("""COMPUTED_VALUE"""),"+ 12,6 %")</f>
        <v>+ 12,6 %</v>
      </c>
    </row>
    <row r="20">
      <c r="A20" s="2">
        <f>IFERROR(__xludf.DUMMYFUNCTION("""COMPUTED_VALUE"""),45627.0)</f>
        <v>45627</v>
      </c>
      <c r="B20" s="1" t="str">
        <f>IFERROR(__xludf.DUMMYFUNCTION("""COMPUTED_VALUE"""),"6.619 €/m2")</f>
        <v>6.619 €/m2</v>
      </c>
      <c r="C20" s="1" t="str">
        <f>IFERROR(__xludf.DUMMYFUNCTION("""COMPUTED_VALUE"""),"+ 0,4 %")</f>
        <v>+ 0,4 %</v>
      </c>
      <c r="D20" s="1" t="str">
        <f>IFERROR(__xludf.DUMMYFUNCTION("""COMPUTED_VALUE"""),"+ 3,5 %")</f>
        <v>+ 3,5 %</v>
      </c>
      <c r="E20" s="1" t="str">
        <f>IFERROR(__xludf.DUMMYFUNCTION("""COMPUTED_VALUE"""),"+ 12,6 %")</f>
        <v>+ 12,6 %</v>
      </c>
    </row>
    <row r="21">
      <c r="A21" s="2">
        <f>IFERROR(__xludf.DUMMYFUNCTION("""COMPUTED_VALUE"""),45597.0)</f>
        <v>45597</v>
      </c>
      <c r="B21" s="1" t="str">
        <f>IFERROR(__xludf.DUMMYFUNCTION("""COMPUTED_VALUE"""),"6.594 €/m2")</f>
        <v>6.594 €/m2</v>
      </c>
      <c r="C21" s="1" t="str">
        <f>IFERROR(__xludf.DUMMYFUNCTION("""COMPUTED_VALUE"""),"+ 0,7 %")</f>
        <v>+ 0,7 %</v>
      </c>
      <c r="D21" s="1" t="str">
        <f>IFERROR(__xludf.DUMMYFUNCTION("""COMPUTED_VALUE"""),"+ 4,8 %")</f>
        <v>+ 4,8 %</v>
      </c>
      <c r="E21" s="1" t="str">
        <f>IFERROR(__xludf.DUMMYFUNCTION("""COMPUTED_VALUE"""),"+ 15,3 %")</f>
        <v>+ 15,3 %</v>
      </c>
    </row>
    <row r="22">
      <c r="A22" s="2">
        <f>IFERROR(__xludf.DUMMYFUNCTION("""COMPUTED_VALUE"""),45566.0)</f>
        <v>45566</v>
      </c>
      <c r="B22" s="1" t="str">
        <f>IFERROR(__xludf.DUMMYFUNCTION("""COMPUTED_VALUE"""),"6.546 €/m2")</f>
        <v>6.546 €/m2</v>
      </c>
      <c r="C22" s="1" t="str">
        <f>IFERROR(__xludf.DUMMYFUNCTION("""COMPUTED_VALUE"""),"+ 2,3 %")</f>
        <v>+ 2,3 %</v>
      </c>
      <c r="D22" s="1" t="str">
        <f>IFERROR(__xludf.DUMMYFUNCTION("""COMPUTED_VALUE"""),"+ 5,2 %")</f>
        <v>+ 5,2 %</v>
      </c>
      <c r="E22" s="1" t="str">
        <f>IFERROR(__xludf.DUMMYFUNCTION("""COMPUTED_VALUE"""),"+ 17,0 %")</f>
        <v>+ 17,0 %</v>
      </c>
    </row>
    <row r="23">
      <c r="A23" s="2">
        <f>IFERROR(__xludf.DUMMYFUNCTION("""COMPUTED_VALUE"""),45536.0)</f>
        <v>45536</v>
      </c>
      <c r="B23" s="1" t="str">
        <f>IFERROR(__xludf.DUMMYFUNCTION("""COMPUTED_VALUE"""),"6.397 €/m2")</f>
        <v>6.397 €/m2</v>
      </c>
      <c r="C23" s="1" t="str">
        <f>IFERROR(__xludf.DUMMYFUNCTION("""COMPUTED_VALUE"""),"+ 1,6 %")</f>
        <v>+ 1,6 %</v>
      </c>
      <c r="D23" s="1" t="str">
        <f>IFERROR(__xludf.DUMMYFUNCTION("""COMPUTED_VALUE"""),"+ 3,7 %")</f>
        <v>+ 3,7 %</v>
      </c>
      <c r="E23" s="1" t="str">
        <f>IFERROR(__xludf.DUMMYFUNCTION("""COMPUTED_VALUE"""),"+ 16,6 %")</f>
        <v>+ 16,6 %</v>
      </c>
    </row>
    <row r="24">
      <c r="A24" s="2">
        <f>IFERROR(__xludf.DUMMYFUNCTION("""COMPUTED_VALUE"""),45505.0)</f>
        <v>45505</v>
      </c>
      <c r="B24" s="1" t="str">
        <f>IFERROR(__xludf.DUMMYFUNCTION("""COMPUTED_VALUE"""),"6.294 €/m2")</f>
        <v>6.294 €/m2</v>
      </c>
      <c r="C24" s="1" t="str">
        <f>IFERROR(__xludf.DUMMYFUNCTION("""COMPUTED_VALUE"""),"+ 1,1 %")</f>
        <v>+ 1,1 %</v>
      </c>
      <c r="D24" s="1" t="str">
        <f>IFERROR(__xludf.DUMMYFUNCTION("""COMPUTED_VALUE"""),"+ 1,4 %")</f>
        <v>+ 1,4 %</v>
      </c>
      <c r="E24" s="1" t="str">
        <f>IFERROR(__xludf.DUMMYFUNCTION("""COMPUTED_VALUE"""),"+ 17,0 %")</f>
        <v>+ 17,0 %</v>
      </c>
    </row>
    <row r="25">
      <c r="A25" s="2">
        <f>IFERROR(__xludf.DUMMYFUNCTION("""COMPUTED_VALUE"""),45474.0)</f>
        <v>45474</v>
      </c>
      <c r="B25" s="1" t="str">
        <f>IFERROR(__xludf.DUMMYFUNCTION("""COMPUTED_VALUE"""),"6.223 €/m2")</f>
        <v>6.223 €/m2</v>
      </c>
      <c r="C25" s="1" t="str">
        <f>IFERROR(__xludf.DUMMYFUNCTION("""COMPUTED_VALUE"""),"+ 0,9 %")</f>
        <v>+ 0,9 %</v>
      </c>
      <c r="D25" s="1" t="str">
        <f>IFERROR(__xludf.DUMMYFUNCTION("""COMPUTED_VALUE"""),"0,0 %")</f>
        <v>0,0 %</v>
      </c>
      <c r="E25" s="1" t="str">
        <f>IFERROR(__xludf.DUMMYFUNCTION("""COMPUTED_VALUE"""),"+ 16,1 %")</f>
        <v>+ 16,1 %</v>
      </c>
    </row>
    <row r="26">
      <c r="A26" s="2">
        <f>IFERROR(__xludf.DUMMYFUNCTION("""COMPUTED_VALUE"""),45444.0)</f>
        <v>45444</v>
      </c>
      <c r="B26" s="1" t="str">
        <f>IFERROR(__xludf.DUMMYFUNCTION("""COMPUTED_VALUE"""),"6.170 €/m2")</f>
        <v>6.170 €/m2</v>
      </c>
      <c r="C26" s="1" t="str">
        <f>IFERROR(__xludf.DUMMYFUNCTION("""COMPUTED_VALUE"""),"- 0,6 %")</f>
        <v>- 0,6 %</v>
      </c>
      <c r="D26" s="1" t="str">
        <f>IFERROR(__xludf.DUMMYFUNCTION("""COMPUTED_VALUE"""),"+ 0,4 %")</f>
        <v>+ 0,4 %</v>
      </c>
      <c r="E26" s="1" t="str">
        <f>IFERROR(__xludf.DUMMYFUNCTION("""COMPUTED_VALUE"""),"+ 14,9 %")</f>
        <v>+ 14,9 %</v>
      </c>
    </row>
    <row r="27">
      <c r="A27" s="2">
        <f>IFERROR(__xludf.DUMMYFUNCTION("""COMPUTED_VALUE"""),45413.0)</f>
        <v>45413</v>
      </c>
      <c r="B27" s="1" t="str">
        <f>IFERROR(__xludf.DUMMYFUNCTION("""COMPUTED_VALUE"""),"6.205 €/m2")</f>
        <v>6.205 €/m2</v>
      </c>
      <c r="C27" s="1" t="str">
        <f>IFERROR(__xludf.DUMMYFUNCTION("""COMPUTED_VALUE"""),"- 0,3 %")</f>
        <v>- 0,3 %</v>
      </c>
      <c r="D27" s="1" t="str">
        <f>IFERROR(__xludf.DUMMYFUNCTION("""COMPUTED_VALUE"""),"+ 1,9 %")</f>
        <v>+ 1,9 %</v>
      </c>
      <c r="E27" s="1" t="str">
        <f>IFERROR(__xludf.DUMMYFUNCTION("""COMPUTED_VALUE"""),"+ 15,8 %")</f>
        <v>+ 15,8 %</v>
      </c>
    </row>
    <row r="28">
      <c r="A28" s="2">
        <f>IFERROR(__xludf.DUMMYFUNCTION("""COMPUTED_VALUE"""),45383.0)</f>
        <v>45383</v>
      </c>
      <c r="B28" s="1" t="str">
        <f>IFERROR(__xludf.DUMMYFUNCTION("""COMPUTED_VALUE"""),"6.221 €/m2")</f>
        <v>6.221 €/m2</v>
      </c>
      <c r="C28" s="1" t="str">
        <f>IFERROR(__xludf.DUMMYFUNCTION("""COMPUTED_VALUE"""),"+ 1,2 %")</f>
        <v>+ 1,2 %</v>
      </c>
      <c r="D28" s="1" t="str">
        <f>IFERROR(__xludf.DUMMYFUNCTION("""COMPUTED_VALUE"""),"+ 3,9 %")</f>
        <v>+ 3,9 %</v>
      </c>
      <c r="E28" s="1" t="str">
        <f>IFERROR(__xludf.DUMMYFUNCTION("""COMPUTED_VALUE"""),"+ 17,5 %")</f>
        <v>+ 17,5 %</v>
      </c>
    </row>
    <row r="29">
      <c r="A29" s="2">
        <f>IFERROR(__xludf.DUMMYFUNCTION("""COMPUTED_VALUE"""),45352.0)</f>
        <v>45352</v>
      </c>
      <c r="B29" s="1" t="str">
        <f>IFERROR(__xludf.DUMMYFUNCTION("""COMPUTED_VALUE"""),"6.144 €/m2")</f>
        <v>6.144 €/m2</v>
      </c>
      <c r="C29" s="1" t="str">
        <f>IFERROR(__xludf.DUMMYFUNCTION("""COMPUTED_VALUE"""),"+ 0,9 %")</f>
        <v>+ 0,9 %</v>
      </c>
      <c r="D29" s="1" t="str">
        <f>IFERROR(__xludf.DUMMYFUNCTION("""COMPUTED_VALUE"""),"+ 4,5 %")</f>
        <v>+ 4,5 %</v>
      </c>
      <c r="E29" s="1" t="str">
        <f>IFERROR(__xludf.DUMMYFUNCTION("""COMPUTED_VALUE"""),"+ 17,1 %")</f>
        <v>+ 17,1 %</v>
      </c>
    </row>
    <row r="30">
      <c r="A30" s="2">
        <f>IFERROR(__xludf.DUMMYFUNCTION("""COMPUTED_VALUE"""),45323.0)</f>
        <v>45323</v>
      </c>
      <c r="B30" s="1" t="str">
        <f>IFERROR(__xludf.DUMMYFUNCTION("""COMPUTED_VALUE"""),"6.091 €/m2")</f>
        <v>6.091 €/m2</v>
      </c>
      <c r="C30" s="1" t="str">
        <f>IFERROR(__xludf.DUMMYFUNCTION("""COMPUTED_VALUE"""),"+ 1,7 %")</f>
        <v>+ 1,7 %</v>
      </c>
      <c r="D30" s="1" t="str">
        <f>IFERROR(__xludf.DUMMYFUNCTION("""COMPUTED_VALUE"""),"+ 6,5 %")</f>
        <v>+ 6,5 %</v>
      </c>
      <c r="E30" s="1" t="str">
        <f>IFERROR(__xludf.DUMMYFUNCTION("""COMPUTED_VALUE"""),"+ 18,2 %")</f>
        <v>+ 18,2 %</v>
      </c>
    </row>
    <row r="31">
      <c r="A31" s="2">
        <f>IFERROR(__xludf.DUMMYFUNCTION("""COMPUTED_VALUE"""),45292.0)</f>
        <v>45292</v>
      </c>
      <c r="B31" s="1" t="str">
        <f>IFERROR(__xludf.DUMMYFUNCTION("""COMPUTED_VALUE"""),"5.986 €/m2")</f>
        <v>5.986 €/m2</v>
      </c>
      <c r="C31" s="1" t="str">
        <f>IFERROR(__xludf.DUMMYFUNCTION("""COMPUTED_VALUE"""),"+ 1,8 %")</f>
        <v>+ 1,8 %</v>
      </c>
      <c r="D31" s="1" t="str">
        <f>IFERROR(__xludf.DUMMYFUNCTION("""COMPUTED_VALUE"""),"+ 7,0 %")</f>
        <v>+ 7,0 %</v>
      </c>
      <c r="E31" s="1" t="str">
        <f>IFERROR(__xludf.DUMMYFUNCTION("""COMPUTED_VALUE"""),"+ 16,5 %")</f>
        <v>+ 16,5 %</v>
      </c>
    </row>
    <row r="32">
      <c r="A32" s="2">
        <f>IFERROR(__xludf.DUMMYFUNCTION("""COMPUTED_VALUE"""),45261.0)</f>
        <v>45261</v>
      </c>
      <c r="B32" s="1" t="str">
        <f>IFERROR(__xludf.DUMMYFUNCTION("""COMPUTED_VALUE"""),"5.877 €/m2")</f>
        <v>5.877 €/m2</v>
      </c>
      <c r="C32" s="1" t="str">
        <f>IFERROR(__xludf.DUMMYFUNCTION("""COMPUTED_VALUE"""),"+ 2,8 %")</f>
        <v>+ 2,8 %</v>
      </c>
      <c r="D32" s="1" t="str">
        <f>IFERROR(__xludf.DUMMYFUNCTION("""COMPUTED_VALUE"""),"+ 7,1 %")</f>
        <v>+ 7,1 %</v>
      </c>
      <c r="E32" s="1" t="str">
        <f>IFERROR(__xludf.DUMMYFUNCTION("""COMPUTED_VALUE"""),"+ 15,2 %")</f>
        <v>+ 15,2 %</v>
      </c>
    </row>
    <row r="33">
      <c r="A33" s="2">
        <f>IFERROR(__xludf.DUMMYFUNCTION("""COMPUTED_VALUE"""),45231.0)</f>
        <v>45231</v>
      </c>
      <c r="B33" s="1" t="str">
        <f>IFERROR(__xludf.DUMMYFUNCTION("""COMPUTED_VALUE"""),"5.719 €/m2")</f>
        <v>5.719 €/m2</v>
      </c>
      <c r="C33" s="1" t="str">
        <f>IFERROR(__xludf.DUMMYFUNCTION("""COMPUTED_VALUE"""),"+ 2,2 %")</f>
        <v>+ 2,2 %</v>
      </c>
      <c r="D33" s="1" t="str">
        <f>IFERROR(__xludf.DUMMYFUNCTION("""COMPUTED_VALUE"""),"+ 6,3 %")</f>
        <v>+ 6,3 %</v>
      </c>
      <c r="E33" s="1" t="str">
        <f>IFERROR(__xludf.DUMMYFUNCTION("""COMPUTED_VALUE"""),"+ 11,3 %")</f>
        <v>+ 11,3 %</v>
      </c>
    </row>
    <row r="34">
      <c r="A34" s="2">
        <f>IFERROR(__xludf.DUMMYFUNCTION("""COMPUTED_VALUE"""),45200.0)</f>
        <v>45200</v>
      </c>
      <c r="B34" s="1" t="str">
        <f>IFERROR(__xludf.DUMMYFUNCTION("""COMPUTED_VALUE"""),"5.595 €/m2")</f>
        <v>5.595 €/m2</v>
      </c>
      <c r="C34" s="1" t="str">
        <f>IFERROR(__xludf.DUMMYFUNCTION("""COMPUTED_VALUE"""),"+ 2,0 %")</f>
        <v>+ 2,0 %</v>
      </c>
      <c r="D34" s="1" t="str">
        <f>IFERROR(__xludf.DUMMYFUNCTION("""COMPUTED_VALUE"""),"+ 4,4 %")</f>
        <v>+ 4,4 %</v>
      </c>
      <c r="E34" s="1" t="str">
        <f>IFERROR(__xludf.DUMMYFUNCTION("""COMPUTED_VALUE"""),"+ 9,1 %")</f>
        <v>+ 9,1 %</v>
      </c>
    </row>
    <row r="35">
      <c r="A35" s="2">
        <f>IFERROR(__xludf.DUMMYFUNCTION("""COMPUTED_VALUE"""),45170.0)</f>
        <v>45170</v>
      </c>
      <c r="B35" s="1" t="str">
        <f>IFERROR(__xludf.DUMMYFUNCTION("""COMPUTED_VALUE"""),"5.488 €/m2")</f>
        <v>5.488 €/m2</v>
      </c>
      <c r="C35" s="1" t="str">
        <f>IFERROR(__xludf.DUMMYFUNCTION("""COMPUTED_VALUE"""),"+ 2,0 %")</f>
        <v>+ 2,0 %</v>
      </c>
      <c r="D35" s="1" t="str">
        <f>IFERROR(__xludf.DUMMYFUNCTION("""COMPUTED_VALUE"""),"+ 2,2 %")</f>
        <v>+ 2,2 %</v>
      </c>
      <c r="E35" s="1" t="str">
        <f>IFERROR(__xludf.DUMMYFUNCTION("""COMPUTED_VALUE"""),"+ 7,3 %")</f>
        <v>+ 7,3 %</v>
      </c>
    </row>
    <row r="36">
      <c r="A36" s="2">
        <f>IFERROR(__xludf.DUMMYFUNCTION("""COMPUTED_VALUE"""),45139.0)</f>
        <v>45139</v>
      </c>
      <c r="B36" s="1" t="str">
        <f>IFERROR(__xludf.DUMMYFUNCTION("""COMPUTED_VALUE"""),"5.381 €/m2")</f>
        <v>5.381 €/m2</v>
      </c>
      <c r="C36" s="1" t="str">
        <f>IFERROR(__xludf.DUMMYFUNCTION("""COMPUTED_VALUE"""),"+ 0,4 %")</f>
        <v>+ 0,4 %</v>
      </c>
      <c r="D36" s="1" t="str">
        <f>IFERROR(__xludf.DUMMYFUNCTION("""COMPUTED_VALUE"""),"+ 0,4 %")</f>
        <v>+ 0,4 %</v>
      </c>
      <c r="E36" s="1" t="str">
        <f>IFERROR(__xludf.DUMMYFUNCTION("""COMPUTED_VALUE"""),"+ 5,3 %")</f>
        <v>+ 5,3 %</v>
      </c>
    </row>
    <row r="37">
      <c r="A37" s="2">
        <f>IFERROR(__xludf.DUMMYFUNCTION("""COMPUTED_VALUE"""),45108.0)</f>
        <v>45108</v>
      </c>
      <c r="B37" s="1" t="str">
        <f>IFERROR(__xludf.DUMMYFUNCTION("""COMPUTED_VALUE"""),"5.361 €/m2")</f>
        <v>5.361 €/m2</v>
      </c>
      <c r="C37" s="1" t="str">
        <f>IFERROR(__xludf.DUMMYFUNCTION("""COMPUTED_VALUE"""),"- 0,1 %")</f>
        <v>- 0,1 %</v>
      </c>
      <c r="D37" s="1" t="str">
        <f>IFERROR(__xludf.DUMMYFUNCTION("""COMPUTED_VALUE"""),"+ 1,3 %")</f>
        <v>+ 1,3 %</v>
      </c>
      <c r="E37" s="1" t="str">
        <f>IFERROR(__xludf.DUMMYFUNCTION("""COMPUTED_VALUE"""),"+ 4,5 %")</f>
        <v>+ 4,5 %</v>
      </c>
    </row>
    <row r="38">
      <c r="A38" s="2">
        <f>IFERROR(__xludf.DUMMYFUNCTION("""COMPUTED_VALUE"""),45078.0)</f>
        <v>45078</v>
      </c>
      <c r="B38" s="1" t="str">
        <f>IFERROR(__xludf.DUMMYFUNCTION("""COMPUTED_VALUE"""),"5.368 €/m2")</f>
        <v>5.368 €/m2</v>
      </c>
      <c r="C38" s="1" t="str">
        <f>IFERROR(__xludf.DUMMYFUNCTION("""COMPUTED_VALUE"""),"+ 0,2 %")</f>
        <v>+ 0,2 %</v>
      </c>
      <c r="D38" s="1" t="str">
        <f>IFERROR(__xludf.DUMMYFUNCTION("""COMPUTED_VALUE"""),"+ 2,3 %")</f>
        <v>+ 2,3 %</v>
      </c>
      <c r="E38" s="1" t="str">
        <f>IFERROR(__xludf.DUMMYFUNCTION("""COMPUTED_VALUE"""),"+ 5,4 %")</f>
        <v>+ 5,4 %</v>
      </c>
    </row>
    <row r="39">
      <c r="A39" s="2">
        <f>IFERROR(__xludf.DUMMYFUNCTION("""COMPUTED_VALUE"""),45047.0)</f>
        <v>45047</v>
      </c>
      <c r="B39" s="1" t="str">
        <f>IFERROR(__xludf.DUMMYFUNCTION("""COMPUTED_VALUE"""),"5.357 €/m2")</f>
        <v>5.357 €/m2</v>
      </c>
      <c r="C39" s="1" t="str">
        <f>IFERROR(__xludf.DUMMYFUNCTION("""COMPUTED_VALUE"""),"+ 1,2 %")</f>
        <v>+ 1,2 %</v>
      </c>
      <c r="D39" s="1" t="str">
        <f>IFERROR(__xludf.DUMMYFUNCTION("""COMPUTED_VALUE"""),"+ 4,0 %")</f>
        <v>+ 4,0 %</v>
      </c>
      <c r="E39" s="1" t="str">
        <f>IFERROR(__xludf.DUMMYFUNCTION("""COMPUTED_VALUE"""),"+ 6,3 %")</f>
        <v>+ 6,3 %</v>
      </c>
    </row>
    <row r="40">
      <c r="A40" s="2">
        <f>IFERROR(__xludf.DUMMYFUNCTION("""COMPUTED_VALUE"""),45017.0)</f>
        <v>45017</v>
      </c>
      <c r="B40" s="1" t="str">
        <f>IFERROR(__xludf.DUMMYFUNCTION("""COMPUTED_VALUE"""),"5.292 €/m2")</f>
        <v>5.292 €/m2</v>
      </c>
      <c r="C40" s="1" t="str">
        <f>IFERROR(__xludf.DUMMYFUNCTION("""COMPUTED_VALUE"""),"+ 0,9 %")</f>
        <v>+ 0,9 %</v>
      </c>
      <c r="D40" s="1" t="str">
        <f>IFERROR(__xludf.DUMMYFUNCTION("""COMPUTED_VALUE"""),"+ 3,0 %")</f>
        <v>+ 3,0 %</v>
      </c>
      <c r="E40" s="1" t="str">
        <f>IFERROR(__xludf.DUMMYFUNCTION("""COMPUTED_VALUE"""),"+ 6,0 %")</f>
        <v>+ 6,0 %</v>
      </c>
    </row>
    <row r="41">
      <c r="A41" s="2">
        <f>IFERROR(__xludf.DUMMYFUNCTION("""COMPUTED_VALUE"""),44986.0)</f>
        <v>44986</v>
      </c>
      <c r="B41" s="1" t="str">
        <f>IFERROR(__xludf.DUMMYFUNCTION("""COMPUTED_VALUE"""),"5.247 €/m2")</f>
        <v>5.247 €/m2</v>
      </c>
      <c r="C41" s="1" t="str">
        <f>IFERROR(__xludf.DUMMYFUNCTION("""COMPUTED_VALUE"""),"+ 1,9 %")</f>
        <v>+ 1,9 %</v>
      </c>
      <c r="D41" s="1" t="str">
        <f>IFERROR(__xludf.DUMMYFUNCTION("""COMPUTED_VALUE"""),"+ 2,9 %")</f>
        <v>+ 2,9 %</v>
      </c>
      <c r="E41" s="1" t="str">
        <f>IFERROR(__xludf.DUMMYFUNCTION("""COMPUTED_VALUE"""),"+ 5,1 %")</f>
        <v>+ 5,1 %</v>
      </c>
    </row>
    <row r="42">
      <c r="A42" s="2">
        <f>IFERROR(__xludf.DUMMYFUNCTION("""COMPUTED_VALUE"""),44958.0)</f>
        <v>44958</v>
      </c>
      <c r="B42" s="1" t="str">
        <f>IFERROR(__xludf.DUMMYFUNCTION("""COMPUTED_VALUE"""),"5.152 €/m2")</f>
        <v>5.152 €/m2</v>
      </c>
      <c r="C42" s="1" t="str">
        <f>IFERROR(__xludf.DUMMYFUNCTION("""COMPUTED_VALUE"""),"+ 0,3 %")</f>
        <v>+ 0,3 %</v>
      </c>
      <c r="D42" s="1" t="str">
        <f>IFERROR(__xludf.DUMMYFUNCTION("""COMPUTED_VALUE"""),"+ 0,3 %")</f>
        <v>+ 0,3 %</v>
      </c>
      <c r="E42" s="1" t="str">
        <f>IFERROR(__xludf.DUMMYFUNCTION("""COMPUTED_VALUE"""),"+ 4,4 %")</f>
        <v>+ 4,4 %</v>
      </c>
    </row>
    <row r="43">
      <c r="A43" s="2">
        <f>IFERROR(__xludf.DUMMYFUNCTION("""COMPUTED_VALUE"""),44927.0)</f>
        <v>44927</v>
      </c>
      <c r="B43" s="1" t="str">
        <f>IFERROR(__xludf.DUMMYFUNCTION("""COMPUTED_VALUE"""),"5.137 €/m2")</f>
        <v>5.137 €/m2</v>
      </c>
      <c r="C43" s="1" t="str">
        <f>IFERROR(__xludf.DUMMYFUNCTION("""COMPUTED_VALUE"""),"+ 0,7 %")</f>
        <v>+ 0,7 %</v>
      </c>
      <c r="D43" s="1" t="str">
        <f>IFERROR(__xludf.DUMMYFUNCTION("""COMPUTED_VALUE"""),"+ 0,1 %")</f>
        <v>+ 0,1 %</v>
      </c>
      <c r="E43" s="1" t="str">
        <f>IFERROR(__xludf.DUMMYFUNCTION("""COMPUTED_VALUE"""),"+ 5,7 %")</f>
        <v>+ 5,7 %</v>
      </c>
    </row>
    <row r="44">
      <c r="A44" s="2">
        <f>IFERROR(__xludf.DUMMYFUNCTION("""COMPUTED_VALUE"""),44896.0)</f>
        <v>44896</v>
      </c>
      <c r="B44" s="1" t="str">
        <f>IFERROR(__xludf.DUMMYFUNCTION("""COMPUTED_VALUE"""),"5.101 €/m2")</f>
        <v>5.101 €/m2</v>
      </c>
      <c r="C44" s="1" t="str">
        <f>IFERROR(__xludf.DUMMYFUNCTION("""COMPUTED_VALUE"""),"- 0,7 %")</f>
        <v>- 0,7 %</v>
      </c>
      <c r="D44" s="1" t="str">
        <f>IFERROR(__xludf.DUMMYFUNCTION("""COMPUTED_VALUE"""),"- 0,3 %")</f>
        <v>- 0,3 %</v>
      </c>
      <c r="E44" s="1" t="str">
        <f>IFERROR(__xludf.DUMMYFUNCTION("""COMPUTED_VALUE"""),"+ 5,7 %")</f>
        <v>+ 5,7 %</v>
      </c>
    </row>
    <row r="45">
      <c r="A45" s="2">
        <f>IFERROR(__xludf.DUMMYFUNCTION("""COMPUTED_VALUE"""),44866.0)</f>
        <v>44866</v>
      </c>
      <c r="B45" s="1" t="str">
        <f>IFERROR(__xludf.DUMMYFUNCTION("""COMPUTED_VALUE"""),"5.136 €/m2")</f>
        <v>5.136 €/m2</v>
      </c>
      <c r="C45" s="1" t="str">
        <f>IFERROR(__xludf.DUMMYFUNCTION("""COMPUTED_VALUE"""),"+ 0,1 %")</f>
        <v>+ 0,1 %</v>
      </c>
      <c r="D45" s="1" t="str">
        <f>IFERROR(__xludf.DUMMYFUNCTION("""COMPUTED_VALUE"""),"+ 0,5 %")</f>
        <v>+ 0,5 %</v>
      </c>
      <c r="E45" s="1" t="str">
        <f>IFERROR(__xludf.DUMMYFUNCTION("""COMPUTED_VALUE"""),"+ 6,5 %")</f>
        <v>+ 6,5 %</v>
      </c>
    </row>
    <row r="46">
      <c r="A46" s="2">
        <f>IFERROR(__xludf.DUMMYFUNCTION("""COMPUTED_VALUE"""),44835.0)</f>
        <v>44835</v>
      </c>
      <c r="B46" s="1" t="str">
        <f>IFERROR(__xludf.DUMMYFUNCTION("""COMPUTED_VALUE"""),"5.130 €/m2")</f>
        <v>5.130 €/m2</v>
      </c>
      <c r="C46" s="1" t="str">
        <f>IFERROR(__xludf.DUMMYFUNCTION("""COMPUTED_VALUE"""),"+ 0,3 %")</f>
        <v>+ 0,3 %</v>
      </c>
      <c r="D46" s="1" t="str">
        <f>IFERROR(__xludf.DUMMYFUNCTION("""COMPUTED_VALUE"""),"0,0 %")</f>
        <v>0,0 %</v>
      </c>
      <c r="E46" s="1" t="str">
        <f>IFERROR(__xludf.DUMMYFUNCTION("""COMPUTED_VALUE"""),"+ 7,0 %")</f>
        <v>+ 7,0 %</v>
      </c>
    </row>
    <row r="47">
      <c r="A47" s="2">
        <f>IFERROR(__xludf.DUMMYFUNCTION("""COMPUTED_VALUE"""),44805.0)</f>
        <v>44805</v>
      </c>
      <c r="B47" s="1" t="str">
        <f>IFERROR(__xludf.DUMMYFUNCTION("""COMPUTED_VALUE"""),"5.115 €/m2")</f>
        <v>5.115 €/m2</v>
      </c>
      <c r="C47" s="1" t="str">
        <f>IFERROR(__xludf.DUMMYFUNCTION("""COMPUTED_VALUE"""),"+ 0,1 %")</f>
        <v>+ 0,1 %</v>
      </c>
      <c r="D47" s="1" t="str">
        <f>IFERROR(__xludf.DUMMYFUNCTION("""COMPUTED_VALUE"""),"+ 0,5 %")</f>
        <v>+ 0,5 %</v>
      </c>
      <c r="E47" s="1" t="str">
        <f>IFERROR(__xludf.DUMMYFUNCTION("""COMPUTED_VALUE"""),"+ 6,7 %")</f>
        <v>+ 6,7 %</v>
      </c>
    </row>
    <row r="48">
      <c r="A48" s="2">
        <f>IFERROR(__xludf.DUMMYFUNCTION("""COMPUTED_VALUE"""),44774.0)</f>
        <v>44774</v>
      </c>
      <c r="B48" s="1" t="str">
        <f>IFERROR(__xludf.DUMMYFUNCTION("""COMPUTED_VALUE"""),"5.111 €/m2")</f>
        <v>5.111 €/m2</v>
      </c>
      <c r="C48" s="1" t="str">
        <f>IFERROR(__xludf.DUMMYFUNCTION("""COMPUTED_VALUE"""),"- 0,3 %")</f>
        <v>- 0,3 %</v>
      </c>
      <c r="D48" s="1" t="str">
        <f>IFERROR(__xludf.DUMMYFUNCTION("""COMPUTED_VALUE"""),"+ 1,4 %")</f>
        <v>+ 1,4 %</v>
      </c>
      <c r="E48" s="1" t="str">
        <f>IFERROR(__xludf.DUMMYFUNCTION("""COMPUTED_VALUE"""),"+ 6,8 %")</f>
        <v>+ 6,8 %</v>
      </c>
    </row>
    <row r="49">
      <c r="A49" s="2">
        <f>IFERROR(__xludf.DUMMYFUNCTION("""COMPUTED_VALUE"""),44743.0)</f>
        <v>44743</v>
      </c>
      <c r="B49" s="1" t="str">
        <f>IFERROR(__xludf.DUMMYFUNCTION("""COMPUTED_VALUE"""),"5.128 €/m2")</f>
        <v>5.128 €/m2</v>
      </c>
      <c r="C49" s="1" t="str">
        <f>IFERROR(__xludf.DUMMYFUNCTION("""COMPUTED_VALUE"""),"+ 0,7 %")</f>
        <v>+ 0,7 %</v>
      </c>
      <c r="D49" s="1" t="str">
        <f>IFERROR(__xludf.DUMMYFUNCTION("""COMPUTED_VALUE"""),"+ 2,7 %")</f>
        <v>+ 2,7 %</v>
      </c>
      <c r="E49" s="1" t="str">
        <f>IFERROR(__xludf.DUMMYFUNCTION("""COMPUTED_VALUE"""),"+ 8,0 %")</f>
        <v>+ 8,0 %</v>
      </c>
    </row>
    <row r="50">
      <c r="A50" s="2">
        <f>IFERROR(__xludf.DUMMYFUNCTION("""COMPUTED_VALUE"""),44713.0)</f>
        <v>44713</v>
      </c>
      <c r="B50" s="1" t="str">
        <f>IFERROR(__xludf.DUMMYFUNCTION("""COMPUTED_VALUE"""),"5.092 €/m2")</f>
        <v>5.092 €/m2</v>
      </c>
      <c r="C50" s="1" t="str">
        <f>IFERROR(__xludf.DUMMYFUNCTION("""COMPUTED_VALUE"""),"+ 1,0 %")</f>
        <v>+ 1,0 %</v>
      </c>
      <c r="D50" s="1" t="str">
        <f>IFERROR(__xludf.DUMMYFUNCTION("""COMPUTED_VALUE"""),"+ 2,0 %")</f>
        <v>+ 2,0 %</v>
      </c>
      <c r="E50" s="1" t="str">
        <f>IFERROR(__xludf.DUMMYFUNCTION("""COMPUTED_VALUE"""),"+ 7,9 %")</f>
        <v>+ 7,9 %</v>
      </c>
    </row>
    <row r="51">
      <c r="A51" s="2">
        <f>IFERROR(__xludf.DUMMYFUNCTION("""COMPUTED_VALUE"""),44682.0)</f>
        <v>44682</v>
      </c>
      <c r="B51" s="1" t="str">
        <f>IFERROR(__xludf.DUMMYFUNCTION("""COMPUTED_VALUE"""),"5.040 €/m2")</f>
        <v>5.040 €/m2</v>
      </c>
      <c r="C51" s="1" t="str">
        <f>IFERROR(__xludf.DUMMYFUNCTION("""COMPUTED_VALUE"""),"+ 1,0 %")</f>
        <v>+ 1,0 %</v>
      </c>
      <c r="D51" s="1" t="str">
        <f>IFERROR(__xludf.DUMMYFUNCTION("""COMPUTED_VALUE"""),"+ 2,1 %")</f>
        <v>+ 2,1 %</v>
      </c>
      <c r="E51" s="1" t="str">
        <f>IFERROR(__xludf.DUMMYFUNCTION("""COMPUTED_VALUE"""),"+ 6,6 %")</f>
        <v>+ 6,6 %</v>
      </c>
    </row>
    <row r="52">
      <c r="A52" s="2">
        <f>IFERROR(__xludf.DUMMYFUNCTION("""COMPUTED_VALUE"""),44652.0)</f>
        <v>44652</v>
      </c>
      <c r="B52" s="1" t="str">
        <f>IFERROR(__xludf.DUMMYFUNCTION("""COMPUTED_VALUE"""),"4.992 €/m2")</f>
        <v>4.992 €/m2</v>
      </c>
      <c r="C52" s="1" t="str">
        <f>IFERROR(__xludf.DUMMYFUNCTION("""COMPUTED_VALUE"""),"0,0 %")</f>
        <v>0,0 %</v>
      </c>
      <c r="D52" s="1" t="str">
        <f>IFERROR(__xludf.DUMMYFUNCTION("""COMPUTED_VALUE"""),"+ 2,7 %")</f>
        <v>+ 2,7 %</v>
      </c>
      <c r="E52" s="1" t="str">
        <f>IFERROR(__xludf.DUMMYFUNCTION("""COMPUTED_VALUE"""),"+ 5,7 %")</f>
        <v>+ 5,7 %</v>
      </c>
    </row>
    <row r="53">
      <c r="A53" s="2">
        <f>IFERROR(__xludf.DUMMYFUNCTION("""COMPUTED_VALUE"""),44621.0)</f>
        <v>44621</v>
      </c>
      <c r="B53" s="1" t="str">
        <f>IFERROR(__xludf.DUMMYFUNCTION("""COMPUTED_VALUE"""),"4.994 €/m2")</f>
        <v>4.994 €/m2</v>
      </c>
      <c r="C53" s="1" t="str">
        <f>IFERROR(__xludf.DUMMYFUNCTION("""COMPUTED_VALUE"""),"+ 1,2 %")</f>
        <v>+ 1,2 %</v>
      </c>
      <c r="D53" s="1" t="str">
        <f>IFERROR(__xludf.DUMMYFUNCTION("""COMPUTED_VALUE"""),"+ 3,5 %")</f>
        <v>+ 3,5 %</v>
      </c>
      <c r="E53" s="1" t="str">
        <f>IFERROR(__xludf.DUMMYFUNCTION("""COMPUTED_VALUE"""),"+ 5,2 %")</f>
        <v>+ 5,2 %</v>
      </c>
    </row>
    <row r="54">
      <c r="A54" s="2">
        <f>IFERROR(__xludf.DUMMYFUNCTION("""COMPUTED_VALUE"""),44593.0)</f>
        <v>44593</v>
      </c>
      <c r="B54" s="1" t="str">
        <f>IFERROR(__xludf.DUMMYFUNCTION("""COMPUTED_VALUE"""),"4.935 €/m2")</f>
        <v>4.935 €/m2</v>
      </c>
      <c r="C54" s="1" t="str">
        <f>IFERROR(__xludf.DUMMYFUNCTION("""COMPUTED_VALUE"""),"+ 1,5 %")</f>
        <v>+ 1,5 %</v>
      </c>
      <c r="D54" s="1" t="str">
        <f>IFERROR(__xludf.DUMMYFUNCTION("""COMPUTED_VALUE"""),"+ 2,3 %")</f>
        <v>+ 2,3 %</v>
      </c>
      <c r="E54" s="1" t="str">
        <f>IFERROR(__xludf.DUMMYFUNCTION("""COMPUTED_VALUE"""),"+ 4,0 %")</f>
        <v>+ 4,0 %</v>
      </c>
    </row>
    <row r="55">
      <c r="A55" s="2">
        <f>IFERROR(__xludf.DUMMYFUNCTION("""COMPUTED_VALUE"""),44562.0)</f>
        <v>44562</v>
      </c>
      <c r="B55" s="1" t="str">
        <f>IFERROR(__xludf.DUMMYFUNCTION("""COMPUTED_VALUE"""),"4.860 €/m2")</f>
        <v>4.860 €/m2</v>
      </c>
      <c r="C55" s="1" t="str">
        <f>IFERROR(__xludf.DUMMYFUNCTION("""COMPUTED_VALUE"""),"+ 0,7 %")</f>
        <v>+ 0,7 %</v>
      </c>
      <c r="D55" s="1" t="str">
        <f>IFERROR(__xludf.DUMMYFUNCTION("""COMPUTED_VALUE"""),"+ 1,3 %")</f>
        <v>+ 1,3 %</v>
      </c>
      <c r="E55" s="1" t="str">
        <f>IFERROR(__xludf.DUMMYFUNCTION("""COMPUTED_VALUE"""),"+ 3,0 %")</f>
        <v>+ 3,0 %</v>
      </c>
    </row>
    <row r="56">
      <c r="A56" s="2">
        <f>IFERROR(__xludf.DUMMYFUNCTION("""COMPUTED_VALUE"""),44531.0)</f>
        <v>44531</v>
      </c>
      <c r="B56" s="1" t="str">
        <f>IFERROR(__xludf.DUMMYFUNCTION("""COMPUTED_VALUE"""),"4.826 €/m2")</f>
        <v>4.826 €/m2</v>
      </c>
      <c r="C56" s="1" t="str">
        <f>IFERROR(__xludf.DUMMYFUNCTION("""COMPUTED_VALUE"""),"+ 0,1 %")</f>
        <v>+ 0,1 %</v>
      </c>
      <c r="D56" s="1" t="str">
        <f>IFERROR(__xludf.DUMMYFUNCTION("""COMPUTED_VALUE"""),"+ 0,7 %")</f>
        <v>+ 0,7 %</v>
      </c>
      <c r="E56" s="1" t="str">
        <f>IFERROR(__xludf.DUMMYFUNCTION("""COMPUTED_VALUE"""),"+ 2,1 %")</f>
        <v>+ 2,1 %</v>
      </c>
    </row>
    <row r="57">
      <c r="A57" s="2">
        <f>IFERROR(__xludf.DUMMYFUNCTION("""COMPUTED_VALUE"""),44501.0)</f>
        <v>44501</v>
      </c>
      <c r="B57" s="1" t="str">
        <f>IFERROR(__xludf.DUMMYFUNCTION("""COMPUTED_VALUE"""),"4.822 €/m2")</f>
        <v>4.822 €/m2</v>
      </c>
      <c r="C57" s="1" t="str">
        <f>IFERROR(__xludf.DUMMYFUNCTION("""COMPUTED_VALUE"""),"+ 0,5 %")</f>
        <v>+ 0,5 %</v>
      </c>
      <c r="D57" s="1" t="str">
        <f>IFERROR(__xludf.DUMMYFUNCTION("""COMPUTED_VALUE"""),"+ 0,7 %")</f>
        <v>+ 0,7 %</v>
      </c>
      <c r="E57" s="1" t="str">
        <f>IFERROR(__xludf.DUMMYFUNCTION("""COMPUTED_VALUE"""),"+ 1,1 %")</f>
        <v>+ 1,1 %</v>
      </c>
    </row>
    <row r="58">
      <c r="A58" s="2">
        <f>IFERROR(__xludf.DUMMYFUNCTION("""COMPUTED_VALUE"""),44470.0)</f>
        <v>44470</v>
      </c>
      <c r="B58" s="1" t="str">
        <f>IFERROR(__xludf.DUMMYFUNCTION("""COMPUTED_VALUE"""),"4.796 €/m2")</f>
        <v>4.796 €/m2</v>
      </c>
      <c r="C58" s="1" t="str">
        <f>IFERROR(__xludf.DUMMYFUNCTION("""COMPUTED_VALUE"""),"+ 0,1 %")</f>
        <v>+ 0,1 %</v>
      </c>
      <c r="D58" s="1" t="str">
        <f>IFERROR(__xludf.DUMMYFUNCTION("""COMPUTED_VALUE"""),"+ 1,0 %")</f>
        <v>+ 1,0 %</v>
      </c>
      <c r="E58" s="1" t="str">
        <f>IFERROR(__xludf.DUMMYFUNCTION("""COMPUTED_VALUE"""),"- 0,4 %")</f>
        <v>- 0,4 %</v>
      </c>
    </row>
    <row r="59">
      <c r="A59" s="2">
        <f>IFERROR(__xludf.DUMMYFUNCTION("""COMPUTED_VALUE"""),44440.0)</f>
        <v>44440</v>
      </c>
      <c r="B59" s="1" t="str">
        <f>IFERROR(__xludf.DUMMYFUNCTION("""COMPUTED_VALUE"""),"4.793 €/m2")</f>
        <v>4.793 €/m2</v>
      </c>
      <c r="C59" s="1" t="str">
        <f>IFERROR(__xludf.DUMMYFUNCTION("""COMPUTED_VALUE"""),"+ 0,2 %")</f>
        <v>+ 0,2 %</v>
      </c>
      <c r="D59" s="1" t="str">
        <f>IFERROR(__xludf.DUMMYFUNCTION("""COMPUTED_VALUE"""),"+ 1,5 %")</f>
        <v>+ 1,5 %</v>
      </c>
      <c r="E59" s="1" t="str">
        <f>IFERROR(__xludf.DUMMYFUNCTION("""COMPUTED_VALUE"""),"- 1,1 %")</f>
        <v>- 1,1 %</v>
      </c>
    </row>
    <row r="60">
      <c r="A60" s="2">
        <f>IFERROR(__xludf.DUMMYFUNCTION("""COMPUTED_VALUE"""),44409.0)</f>
        <v>44409</v>
      </c>
      <c r="B60" s="1" t="str">
        <f>IFERROR(__xludf.DUMMYFUNCTION("""COMPUTED_VALUE"""),"4.786 €/m2")</f>
        <v>4.786 €/m2</v>
      </c>
      <c r="C60" s="1" t="str">
        <f>IFERROR(__xludf.DUMMYFUNCTION("""COMPUTED_VALUE"""),"+ 0,8 %")</f>
        <v>+ 0,8 %</v>
      </c>
      <c r="D60" s="1" t="str">
        <f>IFERROR(__xludf.DUMMYFUNCTION("""COMPUTED_VALUE"""),"+ 1,2 %")</f>
        <v>+ 1,2 %</v>
      </c>
      <c r="E60" s="1" t="str">
        <f>IFERROR(__xludf.DUMMYFUNCTION("""COMPUTED_VALUE"""),"- 1,8 %")</f>
        <v>- 1,8 %</v>
      </c>
    </row>
    <row r="61">
      <c r="A61" s="2">
        <f>IFERROR(__xludf.DUMMYFUNCTION("""COMPUTED_VALUE"""),44378.0)</f>
        <v>44378</v>
      </c>
      <c r="B61" s="1" t="str">
        <f>IFERROR(__xludf.DUMMYFUNCTION("""COMPUTED_VALUE"""),"4.748 €/m2")</f>
        <v>4.748 €/m2</v>
      </c>
      <c r="C61" s="1" t="str">
        <f>IFERROR(__xludf.DUMMYFUNCTION("""COMPUTED_VALUE"""),"+ 0,6 %")</f>
        <v>+ 0,6 %</v>
      </c>
      <c r="D61" s="1" t="str">
        <f>IFERROR(__xludf.DUMMYFUNCTION("""COMPUTED_VALUE"""),"+ 0,6 %")</f>
        <v>+ 0,6 %</v>
      </c>
      <c r="E61" s="1" t="str">
        <f>IFERROR(__xludf.DUMMYFUNCTION("""COMPUTED_VALUE"""),"- 2,9 %")</f>
        <v>- 2,9 %</v>
      </c>
    </row>
    <row r="62">
      <c r="A62" s="2">
        <f>IFERROR(__xludf.DUMMYFUNCTION("""COMPUTED_VALUE"""),44348.0)</f>
        <v>44348</v>
      </c>
      <c r="B62" s="1" t="str">
        <f>IFERROR(__xludf.DUMMYFUNCTION("""COMPUTED_VALUE"""),"4.721 €/m2")</f>
        <v>4.721 €/m2</v>
      </c>
      <c r="C62" s="1" t="str">
        <f>IFERROR(__xludf.DUMMYFUNCTION("""COMPUTED_VALUE"""),"- 0,2 %")</f>
        <v>- 0,2 %</v>
      </c>
      <c r="D62" s="1" t="str">
        <f>IFERROR(__xludf.DUMMYFUNCTION("""COMPUTED_VALUE"""),"- 0,5 %")</f>
        <v>- 0,5 %</v>
      </c>
      <c r="E62" s="1" t="str">
        <f>IFERROR(__xludf.DUMMYFUNCTION("""COMPUTED_VALUE"""),"- 4,7 %")</f>
        <v>- 4,7 %</v>
      </c>
    </row>
    <row r="63">
      <c r="A63" s="2">
        <f>IFERROR(__xludf.DUMMYFUNCTION("""COMPUTED_VALUE"""),44317.0)</f>
        <v>44317</v>
      </c>
      <c r="B63" s="1" t="str">
        <f>IFERROR(__xludf.DUMMYFUNCTION("""COMPUTED_VALUE"""),"4.730 €/m2")</f>
        <v>4.730 €/m2</v>
      </c>
      <c r="C63" s="1" t="str">
        <f>IFERROR(__xludf.DUMMYFUNCTION("""COMPUTED_VALUE"""),"+ 0,2 %")</f>
        <v>+ 0,2 %</v>
      </c>
      <c r="D63" s="1" t="str">
        <f>IFERROR(__xludf.DUMMYFUNCTION("""COMPUTED_VALUE"""),"- 0,4 %")</f>
        <v>- 0,4 %</v>
      </c>
      <c r="E63" s="1" t="str">
        <f>IFERROR(__xludf.DUMMYFUNCTION("""COMPUTED_VALUE"""),"- 5,3 %")</f>
        <v>- 5,3 %</v>
      </c>
    </row>
    <row r="64">
      <c r="A64" s="2">
        <f>IFERROR(__xludf.DUMMYFUNCTION("""COMPUTED_VALUE"""),44287.0)</f>
        <v>44287</v>
      </c>
      <c r="B64" s="1" t="str">
        <f>IFERROR(__xludf.DUMMYFUNCTION("""COMPUTED_VALUE"""),"4.721 €/m2")</f>
        <v>4.721 €/m2</v>
      </c>
      <c r="C64" s="1" t="str">
        <f>IFERROR(__xludf.DUMMYFUNCTION("""COMPUTED_VALUE"""),"- 0,5 %")</f>
        <v>- 0,5 %</v>
      </c>
      <c r="D64" s="1" t="str">
        <f>IFERROR(__xludf.DUMMYFUNCTION("""COMPUTED_VALUE"""),"+ 0,1 %")</f>
        <v>+ 0,1 %</v>
      </c>
      <c r="E64" s="1" t="str">
        <f>IFERROR(__xludf.DUMMYFUNCTION("""COMPUTED_VALUE"""),"- 5,5 %")</f>
        <v>- 5,5 %</v>
      </c>
    </row>
    <row r="65">
      <c r="A65" s="2">
        <f>IFERROR(__xludf.DUMMYFUNCTION("""COMPUTED_VALUE"""),44256.0)</f>
        <v>44256</v>
      </c>
      <c r="B65" s="1" t="str">
        <f>IFERROR(__xludf.DUMMYFUNCTION("""COMPUTED_VALUE"""),"4.747 €/m2")</f>
        <v>4.747 €/m2</v>
      </c>
      <c r="C65" s="1" t="str">
        <f>IFERROR(__xludf.DUMMYFUNCTION("""COMPUTED_VALUE"""),"0,0 %")</f>
        <v>0,0 %</v>
      </c>
      <c r="D65" s="1" t="str">
        <f>IFERROR(__xludf.DUMMYFUNCTION("""COMPUTED_VALUE"""),"+ 0,5 %")</f>
        <v>+ 0,5 %</v>
      </c>
      <c r="E65" s="1" t="str">
        <f>IFERROR(__xludf.DUMMYFUNCTION("""COMPUTED_VALUE"""),"- 4,9 %")</f>
        <v>- 4,9 %</v>
      </c>
    </row>
    <row r="66">
      <c r="A66" s="2">
        <f>IFERROR(__xludf.DUMMYFUNCTION("""COMPUTED_VALUE"""),44228.0)</f>
        <v>44228</v>
      </c>
      <c r="B66" s="1" t="str">
        <f>IFERROR(__xludf.DUMMYFUNCTION("""COMPUTED_VALUE"""),"4.747 €/m2")</f>
        <v>4.747 €/m2</v>
      </c>
      <c r="C66" s="1" t="str">
        <f>IFERROR(__xludf.DUMMYFUNCTION("""COMPUTED_VALUE"""),"+ 0,6 %")</f>
        <v>+ 0,6 %</v>
      </c>
      <c r="D66" s="1" t="str">
        <f>IFERROR(__xludf.DUMMYFUNCTION("""COMPUTED_VALUE"""),"- 0,5 %")</f>
        <v>- 0,5 %</v>
      </c>
      <c r="E66" s="1" t="str">
        <f>IFERROR(__xludf.DUMMYFUNCTION("""COMPUTED_VALUE"""),"- 5,0 %")</f>
        <v>- 5,0 %</v>
      </c>
    </row>
    <row r="67">
      <c r="A67" s="2">
        <f>IFERROR(__xludf.DUMMYFUNCTION("""COMPUTED_VALUE"""),44197.0)</f>
        <v>44197</v>
      </c>
      <c r="B67" s="1" t="str">
        <f>IFERROR(__xludf.DUMMYFUNCTION("""COMPUTED_VALUE"""),"4.717 €/m2")</f>
        <v>4.717 €/m2</v>
      </c>
      <c r="C67" s="1" t="str">
        <f>IFERROR(__xludf.DUMMYFUNCTION("""COMPUTED_VALUE"""),"- 0,2 %")</f>
        <v>- 0,2 %</v>
      </c>
      <c r="D67" s="1" t="str">
        <f>IFERROR(__xludf.DUMMYFUNCTION("""COMPUTED_VALUE"""),"- 2,1 %")</f>
        <v>- 2,1 %</v>
      </c>
      <c r="E67" s="1" t="str">
        <f>IFERROR(__xludf.DUMMYFUNCTION("""COMPUTED_VALUE"""),"- 6,2 %")</f>
        <v>- 6,2 %</v>
      </c>
    </row>
    <row r="68">
      <c r="A68" s="2">
        <f>IFERROR(__xludf.DUMMYFUNCTION("""COMPUTED_VALUE"""),44166.0)</f>
        <v>44166</v>
      </c>
      <c r="B68" s="1" t="str">
        <f>IFERROR(__xludf.DUMMYFUNCTION("""COMPUTED_VALUE"""),"4.725 €/m2")</f>
        <v>4.725 €/m2</v>
      </c>
      <c r="C68" s="1" t="str">
        <f>IFERROR(__xludf.DUMMYFUNCTION("""COMPUTED_VALUE"""),"- 0,9 %")</f>
        <v>- 0,9 %</v>
      </c>
      <c r="D68" s="1" t="str">
        <f>IFERROR(__xludf.DUMMYFUNCTION("""COMPUTED_VALUE"""),"- 2,5 %")</f>
        <v>- 2,5 %</v>
      </c>
      <c r="E68" s="1" t="str">
        <f>IFERROR(__xludf.DUMMYFUNCTION("""COMPUTED_VALUE"""),"- 6,0 %")</f>
        <v>- 6,0 %</v>
      </c>
    </row>
    <row r="69">
      <c r="A69" s="2">
        <f>IFERROR(__xludf.DUMMYFUNCTION("""COMPUTED_VALUE"""),44136.0)</f>
        <v>44136</v>
      </c>
      <c r="B69" s="1" t="str">
        <f>IFERROR(__xludf.DUMMYFUNCTION("""COMPUTED_VALUE"""),"4.769 €/m2")</f>
        <v>4.769 €/m2</v>
      </c>
      <c r="C69" s="1" t="str">
        <f>IFERROR(__xludf.DUMMYFUNCTION("""COMPUTED_VALUE"""),"- 1,0 %")</f>
        <v>- 1,0 %</v>
      </c>
      <c r="D69" s="1" t="str">
        <f>IFERROR(__xludf.DUMMYFUNCTION("""COMPUTED_VALUE"""),"- 2,1 %")</f>
        <v>- 2,1 %</v>
      </c>
      <c r="E69" s="1" t="str">
        <f>IFERROR(__xludf.DUMMYFUNCTION("""COMPUTED_VALUE"""),"- 4,9 %")</f>
        <v>- 4,9 %</v>
      </c>
    </row>
    <row r="70">
      <c r="A70" s="2">
        <f>IFERROR(__xludf.DUMMYFUNCTION("""COMPUTED_VALUE"""),44105.0)</f>
        <v>44105</v>
      </c>
      <c r="B70" s="1" t="str">
        <f>IFERROR(__xludf.DUMMYFUNCTION("""COMPUTED_VALUE"""),"4.816 €/m2")</f>
        <v>4.816 €/m2</v>
      </c>
      <c r="C70" s="1" t="str">
        <f>IFERROR(__xludf.DUMMYFUNCTION("""COMPUTED_VALUE"""),"- 0,6 %")</f>
        <v>- 0,6 %</v>
      </c>
      <c r="D70" s="1" t="str">
        <f>IFERROR(__xludf.DUMMYFUNCTION("""COMPUTED_VALUE"""),"- 1,5 %")</f>
        <v>- 1,5 %</v>
      </c>
      <c r="E70" s="1" t="str">
        <f>IFERROR(__xludf.DUMMYFUNCTION("""COMPUTED_VALUE"""),"- 3,9 %")</f>
        <v>- 3,9 %</v>
      </c>
    </row>
    <row r="71">
      <c r="A71" s="2">
        <f>IFERROR(__xludf.DUMMYFUNCTION("""COMPUTED_VALUE"""),44075.0)</f>
        <v>44075</v>
      </c>
      <c r="B71" s="1" t="str">
        <f>IFERROR(__xludf.DUMMYFUNCTION("""COMPUTED_VALUE"""),"4.847 €/m2")</f>
        <v>4.847 €/m2</v>
      </c>
      <c r="C71" s="1" t="str">
        <f>IFERROR(__xludf.DUMMYFUNCTION("""COMPUTED_VALUE"""),"- 0,6 %")</f>
        <v>- 0,6 %</v>
      </c>
      <c r="D71" s="1" t="str">
        <f>IFERROR(__xludf.DUMMYFUNCTION("""COMPUTED_VALUE"""),"- 2,2 %")</f>
        <v>- 2,2 %</v>
      </c>
      <c r="E71" s="1" t="str">
        <f>IFERROR(__xludf.DUMMYFUNCTION("""COMPUTED_VALUE"""),"- 2,9 %")</f>
        <v>- 2,9 %</v>
      </c>
    </row>
    <row r="72">
      <c r="A72" s="2">
        <f>IFERROR(__xludf.DUMMYFUNCTION("""COMPUTED_VALUE"""),44044.0)</f>
        <v>44044</v>
      </c>
      <c r="B72" s="1" t="str">
        <f>IFERROR(__xludf.DUMMYFUNCTION("""COMPUTED_VALUE"""),"4.874 €/m2")</f>
        <v>4.874 €/m2</v>
      </c>
      <c r="C72" s="1" t="str">
        <f>IFERROR(__xludf.DUMMYFUNCTION("""COMPUTED_VALUE"""),"- 0,3 %")</f>
        <v>- 0,3 %</v>
      </c>
      <c r="D72" s="1" t="str">
        <f>IFERROR(__xludf.DUMMYFUNCTION("""COMPUTED_VALUE"""),"- 2,4 %")</f>
        <v>- 2,4 %</v>
      </c>
      <c r="E72" s="1" t="str">
        <f>IFERROR(__xludf.DUMMYFUNCTION("""COMPUTED_VALUE"""),"- 2,3 %")</f>
        <v>- 2,3 %</v>
      </c>
    </row>
    <row r="73">
      <c r="A73" s="2">
        <f>IFERROR(__xludf.DUMMYFUNCTION("""COMPUTED_VALUE"""),44013.0)</f>
        <v>44013</v>
      </c>
      <c r="B73" s="1" t="str">
        <f>IFERROR(__xludf.DUMMYFUNCTION("""COMPUTED_VALUE"""),"4.890 €/m2")</f>
        <v>4.890 €/m2</v>
      </c>
      <c r="C73" s="1" t="str">
        <f>IFERROR(__xludf.DUMMYFUNCTION("""COMPUTED_VALUE"""),"- 1,3 %")</f>
        <v>- 1,3 %</v>
      </c>
      <c r="D73" s="1" t="str">
        <f>IFERROR(__xludf.DUMMYFUNCTION("""COMPUTED_VALUE"""),"- 2,1 %")</f>
        <v>- 2,1 %</v>
      </c>
      <c r="E73" s="1" t="str">
        <f>IFERROR(__xludf.DUMMYFUNCTION("""COMPUTED_VALUE"""),"- 2,0 %")</f>
        <v>- 2,0 %</v>
      </c>
    </row>
    <row r="74">
      <c r="A74" s="2">
        <f>IFERROR(__xludf.DUMMYFUNCTION("""COMPUTED_VALUE"""),43983.0)</f>
        <v>43983</v>
      </c>
      <c r="B74" s="1" t="str">
        <f>IFERROR(__xludf.DUMMYFUNCTION("""COMPUTED_VALUE"""),"4.955 €/m2")</f>
        <v>4.955 €/m2</v>
      </c>
      <c r="C74" s="1" t="str">
        <f>IFERROR(__xludf.DUMMYFUNCTION("""COMPUTED_VALUE"""),"- 0,8 %")</f>
        <v>- 0,8 %</v>
      </c>
      <c r="D74" s="1" t="str">
        <f>IFERROR(__xludf.DUMMYFUNCTION("""COMPUTED_VALUE"""),"- 0,8 %")</f>
        <v>- 0,8 %</v>
      </c>
      <c r="E74" s="1" t="str">
        <f>IFERROR(__xludf.DUMMYFUNCTION("""COMPUTED_VALUE"""),"- 0,8 %")</f>
        <v>- 0,8 %</v>
      </c>
    </row>
    <row r="75">
      <c r="A75" s="2">
        <f>IFERROR(__xludf.DUMMYFUNCTION("""COMPUTED_VALUE"""),43952.0)</f>
        <v>43952</v>
      </c>
      <c r="B75" s="1" t="str">
        <f>IFERROR(__xludf.DUMMYFUNCTION("""COMPUTED_VALUE"""),"4.993 €/m2")</f>
        <v>4.993 €/m2</v>
      </c>
      <c r="C75" s="1" t="str">
        <f>IFERROR(__xludf.DUMMYFUNCTION("""COMPUTED_VALUE"""),"0,0 %")</f>
        <v>0,0 %</v>
      </c>
      <c r="D75" s="1" t="str">
        <f>IFERROR(__xludf.DUMMYFUNCTION("""COMPUTED_VALUE"""),"- 0,1 %")</f>
        <v>- 0,1 %</v>
      </c>
      <c r="E75" s="1" t="str">
        <f>IFERROR(__xludf.DUMMYFUNCTION("""COMPUTED_VALUE"""),"+ 0,1 %")</f>
        <v>+ 0,1 %</v>
      </c>
    </row>
    <row r="76">
      <c r="A76" s="2">
        <f>IFERROR(__xludf.DUMMYFUNCTION("""COMPUTED_VALUE"""),43922.0)</f>
        <v>43922</v>
      </c>
      <c r="B76" s="1" t="str">
        <f>IFERROR(__xludf.DUMMYFUNCTION("""COMPUTED_VALUE"""),"4.994 €/m2")</f>
        <v>4.994 €/m2</v>
      </c>
      <c r="C76" s="1" t="str">
        <f>IFERROR(__xludf.DUMMYFUNCTION("""COMPUTED_VALUE"""),"0,0 %")</f>
        <v>0,0 %</v>
      </c>
      <c r="D76" s="1" t="str">
        <f>IFERROR(__xludf.DUMMYFUNCTION("""COMPUTED_VALUE"""),"- 0,7 %")</f>
        <v>- 0,7 %</v>
      </c>
      <c r="E76" s="1" t="str">
        <f>IFERROR(__xludf.DUMMYFUNCTION("""COMPUTED_VALUE"""),"+ 0,1 %")</f>
        <v>+ 0,1 %</v>
      </c>
    </row>
    <row r="77">
      <c r="A77" s="2">
        <f>IFERROR(__xludf.DUMMYFUNCTION("""COMPUTED_VALUE"""),43891.0)</f>
        <v>43891</v>
      </c>
      <c r="B77" s="1" t="str">
        <f>IFERROR(__xludf.DUMMYFUNCTION("""COMPUTED_VALUE"""),"4.993 €/m2")</f>
        <v>4.993 €/m2</v>
      </c>
      <c r="C77" s="1" t="str">
        <f>IFERROR(__xludf.DUMMYFUNCTION("""COMPUTED_VALUE"""),"- 0,1 %")</f>
        <v>- 0,1 %</v>
      </c>
      <c r="D77" s="1" t="str">
        <f>IFERROR(__xludf.DUMMYFUNCTION("""COMPUTED_VALUE"""),"- 0,7 %")</f>
        <v>- 0,7 %</v>
      </c>
      <c r="E77" s="1" t="str">
        <f>IFERROR(__xludf.DUMMYFUNCTION("""COMPUTED_VALUE"""),"+ 0,1 %")</f>
        <v>+ 0,1 %</v>
      </c>
    </row>
    <row r="78">
      <c r="A78" s="2">
        <f>IFERROR(__xludf.DUMMYFUNCTION("""COMPUTED_VALUE"""),43862.0)</f>
        <v>43862</v>
      </c>
      <c r="B78" s="1" t="str">
        <f>IFERROR(__xludf.DUMMYFUNCTION("""COMPUTED_VALUE"""),"4.996 €/m2")</f>
        <v>4.996 €/m2</v>
      </c>
      <c r="C78" s="1" t="str">
        <f>IFERROR(__xludf.DUMMYFUNCTION("""COMPUTED_VALUE"""),"- 0,6 %")</f>
        <v>- 0,6 %</v>
      </c>
      <c r="D78" s="1" t="str">
        <f>IFERROR(__xludf.DUMMYFUNCTION("""COMPUTED_VALUE"""),"- 0,3 %")</f>
        <v>- 0,3 %</v>
      </c>
      <c r="E78" s="1" t="str">
        <f>IFERROR(__xludf.DUMMYFUNCTION("""COMPUTED_VALUE"""),"+ 0,1 %")</f>
        <v>+ 0,1 %</v>
      </c>
    </row>
    <row r="79">
      <c r="A79" s="2">
        <f>IFERROR(__xludf.DUMMYFUNCTION("""COMPUTED_VALUE"""),43831.0)</f>
        <v>43831</v>
      </c>
      <c r="B79" s="1" t="str">
        <f>IFERROR(__xludf.DUMMYFUNCTION("""COMPUTED_VALUE"""),"5.028 €/m2")</f>
        <v>5.028 €/m2</v>
      </c>
      <c r="C79" s="1" t="str">
        <f>IFERROR(__xludf.DUMMYFUNCTION("""COMPUTED_VALUE"""),"0,0 %")</f>
        <v>0,0 %</v>
      </c>
      <c r="D79" s="1" t="str">
        <f>IFERROR(__xludf.DUMMYFUNCTION("""COMPUTED_VALUE"""),"+ 0,3 %")</f>
        <v>+ 0,3 %</v>
      </c>
      <c r="E79" s="1" t="str">
        <f>IFERROR(__xludf.DUMMYFUNCTION("""COMPUTED_VALUE"""),"+ 1,4 %")</f>
        <v>+ 1,4 %</v>
      </c>
    </row>
    <row r="80">
      <c r="A80" s="2">
        <f>IFERROR(__xludf.DUMMYFUNCTION("""COMPUTED_VALUE"""),43800.0)</f>
        <v>43800</v>
      </c>
      <c r="B80" s="1" t="str">
        <f>IFERROR(__xludf.DUMMYFUNCTION("""COMPUTED_VALUE"""),"5.027 €/m2")</f>
        <v>5.027 €/m2</v>
      </c>
      <c r="C80" s="1" t="str">
        <f>IFERROR(__xludf.DUMMYFUNCTION("""COMPUTED_VALUE"""),"+ 0,3 %")</f>
        <v>+ 0,3 %</v>
      </c>
      <c r="D80" s="1" t="str">
        <f>IFERROR(__xludf.DUMMYFUNCTION("""COMPUTED_VALUE"""),"+ 0,7 %")</f>
        <v>+ 0,7 %</v>
      </c>
      <c r="E80" s="1" t="str">
        <f>IFERROR(__xludf.DUMMYFUNCTION("""COMPUTED_VALUE"""),"+ 1,5 %")</f>
        <v>+ 1,5 %</v>
      </c>
    </row>
    <row r="81">
      <c r="A81" s="2">
        <f>IFERROR(__xludf.DUMMYFUNCTION("""COMPUTED_VALUE"""),43770.0)</f>
        <v>43770</v>
      </c>
      <c r="B81" s="1" t="str">
        <f>IFERROR(__xludf.DUMMYFUNCTION("""COMPUTED_VALUE"""),"5.013 €/m2")</f>
        <v>5.013 €/m2</v>
      </c>
      <c r="C81" s="1" t="str">
        <f>IFERROR(__xludf.DUMMYFUNCTION("""COMPUTED_VALUE"""),"0,0 %")</f>
        <v>0,0 %</v>
      </c>
      <c r="D81" s="1" t="str">
        <f>IFERROR(__xludf.DUMMYFUNCTION("""COMPUTED_VALUE"""),"+ 0,5 %")</f>
        <v>+ 0,5 %</v>
      </c>
      <c r="E81" s="1" t="str">
        <f>IFERROR(__xludf.DUMMYFUNCTION("""COMPUTED_VALUE"""),"+ 1,6 %")</f>
        <v>+ 1,6 %</v>
      </c>
    </row>
    <row r="82">
      <c r="A82" s="2">
        <f>IFERROR(__xludf.DUMMYFUNCTION("""COMPUTED_VALUE"""),43739.0)</f>
        <v>43739</v>
      </c>
      <c r="B82" s="1" t="str">
        <f>IFERROR(__xludf.DUMMYFUNCTION("""COMPUTED_VALUE"""),"5.012 €/m2")</f>
        <v>5.012 €/m2</v>
      </c>
      <c r="C82" s="1" t="str">
        <f>IFERROR(__xludf.DUMMYFUNCTION("""COMPUTED_VALUE"""),"+ 0,4 %")</f>
        <v>+ 0,4 %</v>
      </c>
      <c r="D82" s="1" t="str">
        <f>IFERROR(__xludf.DUMMYFUNCTION("""COMPUTED_VALUE"""),"+ 0,5 %")</f>
        <v>+ 0,5 %</v>
      </c>
      <c r="E82" s="1" t="str">
        <f>IFERROR(__xludf.DUMMYFUNCTION("""COMPUTED_VALUE"""),"+ 2,3 %")</f>
        <v>+ 2,3 %</v>
      </c>
    </row>
    <row r="83">
      <c r="A83" s="2">
        <f>IFERROR(__xludf.DUMMYFUNCTION("""COMPUTED_VALUE"""),43709.0)</f>
        <v>43709</v>
      </c>
      <c r="B83" s="1" t="str">
        <f>IFERROR(__xludf.DUMMYFUNCTION("""COMPUTED_VALUE"""),"4.992 €/m2")</f>
        <v>4.992 €/m2</v>
      </c>
      <c r="C83" s="1" t="str">
        <f>IFERROR(__xludf.DUMMYFUNCTION("""COMPUTED_VALUE"""),"0,0 %")</f>
        <v>0,0 %</v>
      </c>
      <c r="D83" s="1" t="str">
        <f>IFERROR(__xludf.DUMMYFUNCTION("""COMPUTED_VALUE"""),"0,0 %")</f>
        <v>0,0 %</v>
      </c>
      <c r="E83" s="1" t="str">
        <f>IFERROR(__xludf.DUMMYFUNCTION("""COMPUTED_VALUE"""),"+ 1,3 %")</f>
        <v>+ 1,3 %</v>
      </c>
    </row>
    <row r="84">
      <c r="A84" s="2">
        <f>IFERROR(__xludf.DUMMYFUNCTION("""COMPUTED_VALUE"""),43678.0)</f>
        <v>43678</v>
      </c>
      <c r="B84" s="1" t="str">
        <f>IFERROR(__xludf.DUMMYFUNCTION("""COMPUTED_VALUE"""),"4.990 €/m2")</f>
        <v>4.990 €/m2</v>
      </c>
      <c r="C84" s="1" t="str">
        <f>IFERROR(__xludf.DUMMYFUNCTION("""COMPUTED_VALUE"""),"0,0 %")</f>
        <v>0,0 %</v>
      </c>
      <c r="D84" s="1" t="str">
        <f>IFERROR(__xludf.DUMMYFUNCTION("""COMPUTED_VALUE"""),"0,0 %")</f>
        <v>0,0 %</v>
      </c>
      <c r="E84" s="1" t="str">
        <f>IFERROR(__xludf.DUMMYFUNCTION("""COMPUTED_VALUE"""),"+ 0,5 %")</f>
        <v>+ 0,5 %</v>
      </c>
    </row>
    <row r="85">
      <c r="A85" s="2">
        <f>IFERROR(__xludf.DUMMYFUNCTION("""COMPUTED_VALUE"""),43647.0)</f>
        <v>43647</v>
      </c>
      <c r="B85" s="1" t="str">
        <f>IFERROR(__xludf.DUMMYFUNCTION("""COMPUTED_VALUE"""),"4.990 €/m2")</f>
        <v>4.990 €/m2</v>
      </c>
      <c r="C85" s="1" t="str">
        <f>IFERROR(__xludf.DUMMYFUNCTION("""COMPUTED_VALUE"""),"- 0,1 %")</f>
        <v>- 0,1 %</v>
      </c>
      <c r="D85" s="1" t="str">
        <f>IFERROR(__xludf.DUMMYFUNCTION("""COMPUTED_VALUE"""),"0,0 %")</f>
        <v>0,0 %</v>
      </c>
      <c r="E85" s="1" t="str">
        <f>IFERROR(__xludf.DUMMYFUNCTION("""COMPUTED_VALUE"""),"+ 0,6 %")</f>
        <v>+ 0,6 %</v>
      </c>
    </row>
    <row r="86">
      <c r="A86" s="2">
        <f>IFERROR(__xludf.DUMMYFUNCTION("""COMPUTED_VALUE"""),43617.0)</f>
        <v>43617</v>
      </c>
      <c r="B86" s="1" t="str">
        <f>IFERROR(__xludf.DUMMYFUNCTION("""COMPUTED_VALUE"""),"4.993 €/m2")</f>
        <v>4.993 €/m2</v>
      </c>
      <c r="C86" s="1" t="str">
        <f>IFERROR(__xludf.DUMMYFUNCTION("""COMPUTED_VALUE"""),"+ 0,1 %")</f>
        <v>+ 0,1 %</v>
      </c>
      <c r="D86" s="1" t="str">
        <f>IFERROR(__xludf.DUMMYFUNCTION("""COMPUTED_VALUE"""),"0,0 %")</f>
        <v>0,0 %</v>
      </c>
      <c r="E86" s="1" t="str">
        <f>IFERROR(__xludf.DUMMYFUNCTION("""COMPUTED_VALUE"""),"+ 2,0 %")</f>
        <v>+ 2,0 %</v>
      </c>
    </row>
    <row r="87">
      <c r="A87" s="2">
        <f>IFERROR(__xludf.DUMMYFUNCTION("""COMPUTED_VALUE"""),43586.0)</f>
        <v>43586</v>
      </c>
      <c r="B87" s="1" t="str">
        <f>IFERROR(__xludf.DUMMYFUNCTION("""COMPUTED_VALUE"""),"4.988 €/m2")</f>
        <v>4.988 €/m2</v>
      </c>
      <c r="C87" s="1" t="str">
        <f>IFERROR(__xludf.DUMMYFUNCTION("""COMPUTED_VALUE"""),"0,0 %")</f>
        <v>0,0 %</v>
      </c>
      <c r="D87" s="1" t="str">
        <f>IFERROR(__xludf.DUMMYFUNCTION("""COMPUTED_VALUE"""),"0,0 %")</f>
        <v>0,0 %</v>
      </c>
      <c r="E87" s="1" t="str">
        <f>IFERROR(__xludf.DUMMYFUNCTION("""COMPUTED_VALUE"""),"+ 2,8 %")</f>
        <v>+ 2,8 %</v>
      </c>
    </row>
    <row r="88">
      <c r="A88" s="2">
        <f>IFERROR(__xludf.DUMMYFUNCTION("""COMPUTED_VALUE"""),43556.0)</f>
        <v>43556</v>
      </c>
      <c r="B88" s="1" t="str">
        <f>IFERROR(__xludf.DUMMYFUNCTION("""COMPUTED_VALUE"""),"4.989 €/m2")</f>
        <v>4.989 €/m2</v>
      </c>
      <c r="C88" s="1" t="str">
        <f>IFERROR(__xludf.DUMMYFUNCTION("""COMPUTED_VALUE"""),"0,0 %")</f>
        <v>0,0 %</v>
      </c>
      <c r="D88" s="1" t="str">
        <f>IFERROR(__xludf.DUMMYFUNCTION("""COMPUTED_VALUE"""),"+ 0,6 %")</f>
        <v>+ 0,6 %</v>
      </c>
      <c r="E88" s="1" t="str">
        <f>IFERROR(__xludf.DUMMYFUNCTION("""COMPUTED_VALUE"""),"+ 4,3 %")</f>
        <v>+ 4,3 %</v>
      </c>
    </row>
    <row r="89">
      <c r="A89" s="2">
        <f>IFERROR(__xludf.DUMMYFUNCTION("""COMPUTED_VALUE"""),43525.0)</f>
        <v>43525</v>
      </c>
      <c r="B89" s="1" t="str">
        <f>IFERROR(__xludf.DUMMYFUNCTION("""COMPUTED_VALUE"""),"4.990 €/m2")</f>
        <v>4.990 €/m2</v>
      </c>
      <c r="C89" s="1" t="str">
        <f>IFERROR(__xludf.DUMMYFUNCTION("""COMPUTED_VALUE"""),"0,0 %")</f>
        <v>0,0 %</v>
      </c>
      <c r="D89" s="1" t="str">
        <f>IFERROR(__xludf.DUMMYFUNCTION("""COMPUTED_VALUE"""),"+ 0,7 %")</f>
        <v>+ 0,7 %</v>
      </c>
      <c r="E89" s="1" t="str">
        <f>IFERROR(__xludf.DUMMYFUNCTION("""COMPUTED_VALUE"""),"+ 6,1 %")</f>
        <v>+ 6,1 %</v>
      </c>
    </row>
    <row r="90">
      <c r="A90" s="2">
        <f>IFERROR(__xludf.DUMMYFUNCTION("""COMPUTED_VALUE"""),43497.0)</f>
        <v>43497</v>
      </c>
      <c r="B90" s="1" t="str">
        <f>IFERROR(__xludf.DUMMYFUNCTION("""COMPUTED_VALUE"""),"4.990 €/m2")</f>
        <v>4.990 €/m2</v>
      </c>
      <c r="C90" s="1" t="str">
        <f>IFERROR(__xludf.DUMMYFUNCTION("""COMPUTED_VALUE"""),"+ 0,6 %")</f>
        <v>+ 0,6 %</v>
      </c>
      <c r="D90" s="1" t="str">
        <f>IFERROR(__xludf.DUMMYFUNCTION("""COMPUTED_VALUE"""),"+ 1,1 %")</f>
        <v>+ 1,1 %</v>
      </c>
      <c r="E90" s="1" t="str">
        <f>IFERROR(__xludf.DUMMYFUNCTION("""COMPUTED_VALUE"""),"+ 7,7 %")</f>
        <v>+ 7,7 %</v>
      </c>
    </row>
    <row r="91">
      <c r="A91" s="2">
        <f>IFERROR(__xludf.DUMMYFUNCTION("""COMPUTED_VALUE"""),43466.0)</f>
        <v>43466</v>
      </c>
      <c r="B91" s="1" t="str">
        <f>IFERROR(__xludf.DUMMYFUNCTION("""COMPUTED_VALUE"""),"4.959 €/m2")</f>
        <v>4.959 €/m2</v>
      </c>
      <c r="C91" s="1" t="str">
        <f>IFERROR(__xludf.DUMMYFUNCTION("""COMPUTED_VALUE"""),"+ 0,1 %")</f>
        <v>+ 0,1 %</v>
      </c>
      <c r="D91" s="1" t="str">
        <f>IFERROR(__xludf.DUMMYFUNCTION("""COMPUTED_VALUE"""),"+ 1,2 %")</f>
        <v>+ 1,2 %</v>
      </c>
      <c r="E91" s="1" t="str">
        <f>IFERROR(__xludf.DUMMYFUNCTION("""COMPUTED_VALUE"""),"+ 9,5 %")</f>
        <v>+ 9,5 %</v>
      </c>
    </row>
    <row r="92">
      <c r="A92" s="2">
        <f>IFERROR(__xludf.DUMMYFUNCTION("""COMPUTED_VALUE"""),43435.0)</f>
        <v>43435</v>
      </c>
      <c r="B92" s="1" t="str">
        <f>IFERROR(__xludf.DUMMYFUNCTION("""COMPUTED_VALUE"""),"4.953 €/m2")</f>
        <v>4.953 €/m2</v>
      </c>
      <c r="C92" s="1" t="str">
        <f>IFERROR(__xludf.DUMMYFUNCTION("""COMPUTED_VALUE"""),"+ 0,4 %")</f>
        <v>+ 0,4 %</v>
      </c>
      <c r="D92" s="1" t="str">
        <f>IFERROR(__xludf.DUMMYFUNCTION("""COMPUTED_VALUE"""),"+ 0,5 %")</f>
        <v>+ 0,5 %</v>
      </c>
      <c r="E92" s="1" t="str">
        <f>IFERROR(__xludf.DUMMYFUNCTION("""COMPUTED_VALUE"""),"+ 10,4 %")</f>
        <v>+ 10,4 %</v>
      </c>
    </row>
    <row r="93">
      <c r="A93" s="2">
        <f>IFERROR(__xludf.DUMMYFUNCTION("""COMPUTED_VALUE"""),43405.0)</f>
        <v>43405</v>
      </c>
      <c r="B93" s="1" t="str">
        <f>IFERROR(__xludf.DUMMYFUNCTION("""COMPUTED_VALUE"""),"4.934 €/m2")</f>
        <v>4.934 €/m2</v>
      </c>
      <c r="C93" s="1" t="str">
        <f>IFERROR(__xludf.DUMMYFUNCTION("""COMPUTED_VALUE"""),"+ 0,7 %")</f>
        <v>+ 0,7 %</v>
      </c>
      <c r="D93" s="1" t="str">
        <f>IFERROR(__xludf.DUMMYFUNCTION("""COMPUTED_VALUE"""),"- 0,7 %")</f>
        <v>- 0,7 %</v>
      </c>
      <c r="E93" s="1" t="str">
        <f>IFERROR(__xludf.DUMMYFUNCTION("""COMPUTED_VALUE"""),"+ 11,5 %")</f>
        <v>+ 11,5 %</v>
      </c>
    </row>
    <row r="94">
      <c r="A94" s="2">
        <f>IFERROR(__xludf.DUMMYFUNCTION("""COMPUTED_VALUE"""),43374.0)</f>
        <v>43374</v>
      </c>
      <c r="B94" s="1" t="str">
        <f>IFERROR(__xludf.DUMMYFUNCTION("""COMPUTED_VALUE"""),"4.901 €/m2")</f>
        <v>4.901 €/m2</v>
      </c>
      <c r="C94" s="1" t="str">
        <f>IFERROR(__xludf.DUMMYFUNCTION("""COMPUTED_VALUE"""),"- 0,6 %")</f>
        <v>- 0,6 %</v>
      </c>
      <c r="D94" s="1" t="str">
        <f>IFERROR(__xludf.DUMMYFUNCTION("""COMPUTED_VALUE"""),"- 1,1 %")</f>
        <v>- 1,1 %</v>
      </c>
      <c r="E94" s="1" t="str">
        <f>IFERROR(__xludf.DUMMYFUNCTION("""COMPUTED_VALUE"""),"+ 12,4 %")</f>
        <v>+ 12,4 %</v>
      </c>
    </row>
    <row r="95">
      <c r="A95" s="2">
        <f>IFERROR(__xludf.DUMMYFUNCTION("""COMPUTED_VALUE"""),43344.0)</f>
        <v>43344</v>
      </c>
      <c r="B95" s="1" t="str">
        <f>IFERROR(__xludf.DUMMYFUNCTION("""COMPUTED_VALUE"""),"4.929 €/m2")</f>
        <v>4.929 €/m2</v>
      </c>
      <c r="C95" s="1" t="str">
        <f>IFERROR(__xludf.DUMMYFUNCTION("""COMPUTED_VALUE"""),"- 0,8 %")</f>
        <v>- 0,8 %</v>
      </c>
      <c r="D95" s="1" t="str">
        <f>IFERROR(__xludf.DUMMYFUNCTION("""COMPUTED_VALUE"""),"+ 0,7 %")</f>
        <v>+ 0,7 %</v>
      </c>
      <c r="E95" s="1" t="str">
        <f>IFERROR(__xludf.DUMMYFUNCTION("""COMPUTED_VALUE"""),"+ 14,8 %")</f>
        <v>+ 14,8 %</v>
      </c>
    </row>
    <row r="96">
      <c r="A96" s="2">
        <f>IFERROR(__xludf.DUMMYFUNCTION("""COMPUTED_VALUE"""),43313.0)</f>
        <v>43313</v>
      </c>
      <c r="B96" s="1" t="str">
        <f>IFERROR(__xludf.DUMMYFUNCTION("""COMPUTED_VALUE"""),"4.967 €/m2")</f>
        <v>4.967 €/m2</v>
      </c>
      <c r="C96" s="1" t="str">
        <f>IFERROR(__xludf.DUMMYFUNCTION("""COMPUTED_VALUE"""),"+ 0,2 %")</f>
        <v>+ 0,2 %</v>
      </c>
      <c r="D96" s="1" t="str">
        <f>IFERROR(__xludf.DUMMYFUNCTION("""COMPUTED_VALUE"""),"+ 2,3 %")</f>
        <v>+ 2,3 %</v>
      </c>
      <c r="E96" s="1" t="str">
        <f>IFERROR(__xludf.DUMMYFUNCTION("""COMPUTED_VALUE"""),"+ 16,6 %")</f>
        <v>+ 16,6 %</v>
      </c>
    </row>
    <row r="97">
      <c r="A97" s="2">
        <f>IFERROR(__xludf.DUMMYFUNCTION("""COMPUTED_VALUE"""),43282.0)</f>
        <v>43282</v>
      </c>
      <c r="B97" s="1" t="str">
        <f>IFERROR(__xludf.DUMMYFUNCTION("""COMPUTED_VALUE"""),"4.957 €/m2")</f>
        <v>4.957 €/m2</v>
      </c>
      <c r="C97" s="1" t="str">
        <f>IFERROR(__xludf.DUMMYFUNCTION("""COMPUTED_VALUE"""),"+ 1,3 %")</f>
        <v>+ 1,3 %</v>
      </c>
      <c r="D97" s="1" t="str">
        <f>IFERROR(__xludf.DUMMYFUNCTION("""COMPUTED_VALUE"""),"+ 3,6 %")</f>
        <v>+ 3,6 %</v>
      </c>
      <c r="E97" s="1" t="str">
        <f>IFERROR(__xludf.DUMMYFUNCTION("""COMPUTED_VALUE"""),"+ 18,4 %")</f>
        <v>+ 18,4 %</v>
      </c>
    </row>
    <row r="98">
      <c r="A98" s="2">
        <f>IFERROR(__xludf.DUMMYFUNCTION("""COMPUTED_VALUE"""),43252.0)</f>
        <v>43252</v>
      </c>
      <c r="B98" s="1" t="str">
        <f>IFERROR(__xludf.DUMMYFUNCTION("""COMPUTED_VALUE"""),"4.893 €/m2")</f>
        <v>4.893 €/m2</v>
      </c>
      <c r="C98" s="1" t="str">
        <f>IFERROR(__xludf.DUMMYFUNCTION("""COMPUTED_VALUE"""),"+ 0,8 %")</f>
        <v>+ 0,8 %</v>
      </c>
      <c r="D98" s="1" t="str">
        <f>IFERROR(__xludf.DUMMYFUNCTION("""COMPUTED_VALUE"""),"+ 4,0 %")</f>
        <v>+ 4,0 %</v>
      </c>
      <c r="E98" s="1" t="str">
        <f>IFERROR(__xludf.DUMMYFUNCTION("""COMPUTED_VALUE"""),"+ 20,0 %")</f>
        <v>+ 20,0 %</v>
      </c>
    </row>
    <row r="99">
      <c r="A99" s="2">
        <f>IFERROR(__xludf.DUMMYFUNCTION("""COMPUTED_VALUE"""),43221.0)</f>
        <v>43221</v>
      </c>
      <c r="B99" s="1" t="str">
        <f>IFERROR(__xludf.DUMMYFUNCTION("""COMPUTED_VALUE"""),"4.853 €/m2")</f>
        <v>4.853 €/m2</v>
      </c>
      <c r="C99" s="1" t="str">
        <f>IFERROR(__xludf.DUMMYFUNCTION("""COMPUTED_VALUE"""),"+ 1,4 %")</f>
        <v>+ 1,4 %</v>
      </c>
      <c r="D99" s="1" t="str">
        <f>IFERROR(__xludf.DUMMYFUNCTION("""COMPUTED_VALUE"""),"+ 4,7 %")</f>
        <v>+ 4,7 %</v>
      </c>
      <c r="E99" s="1" t="str">
        <f>IFERROR(__xludf.DUMMYFUNCTION("""COMPUTED_VALUE"""),"+ 21,4 %")</f>
        <v>+ 21,4 %</v>
      </c>
    </row>
    <row r="100">
      <c r="A100" s="2">
        <f>IFERROR(__xludf.DUMMYFUNCTION("""COMPUTED_VALUE"""),43191.0)</f>
        <v>43191</v>
      </c>
      <c r="B100" s="1" t="str">
        <f>IFERROR(__xludf.DUMMYFUNCTION("""COMPUTED_VALUE"""),"4.785 €/m2")</f>
        <v>4.785 €/m2</v>
      </c>
      <c r="C100" s="1" t="str">
        <f>IFERROR(__xludf.DUMMYFUNCTION("""COMPUTED_VALUE"""),"+ 1,7 %")</f>
        <v>+ 1,7 %</v>
      </c>
      <c r="D100" s="1" t="str">
        <f>IFERROR(__xludf.DUMMYFUNCTION("""COMPUTED_VALUE"""),"+ 5,6 %")</f>
        <v>+ 5,6 %</v>
      </c>
      <c r="E100" s="1" t="str">
        <f>IFERROR(__xludf.DUMMYFUNCTION("""COMPUTED_VALUE"""),"+ 22,0 %")</f>
        <v>+ 22,0 %</v>
      </c>
    </row>
    <row r="101">
      <c r="A101" s="2">
        <f>IFERROR(__xludf.DUMMYFUNCTION("""COMPUTED_VALUE"""),43160.0)</f>
        <v>43160</v>
      </c>
      <c r="B101" s="1" t="str">
        <f>IFERROR(__xludf.DUMMYFUNCTION("""COMPUTED_VALUE"""),"4.703 €/m2")</f>
        <v>4.703 €/m2</v>
      </c>
      <c r="C101" s="1" t="str">
        <f>IFERROR(__xludf.DUMMYFUNCTION("""COMPUTED_VALUE"""),"+ 1,5 %")</f>
        <v>+ 1,5 %</v>
      </c>
      <c r="D101" s="1" t="str">
        <f>IFERROR(__xludf.DUMMYFUNCTION("""COMPUTED_VALUE"""),"+ 4,8 %")</f>
        <v>+ 4,8 %</v>
      </c>
      <c r="E101" s="1" t="str">
        <f>IFERROR(__xludf.DUMMYFUNCTION("""COMPUTED_VALUE"""),"+ 21,9 %")</f>
        <v>+ 21,9 %</v>
      </c>
    </row>
    <row r="102">
      <c r="A102" s="2">
        <f>IFERROR(__xludf.DUMMYFUNCTION("""COMPUTED_VALUE"""),43132.0)</f>
        <v>43132</v>
      </c>
      <c r="B102" s="1" t="str">
        <f>IFERROR(__xludf.DUMMYFUNCTION("""COMPUTED_VALUE"""),"4.633 €/m2")</f>
        <v>4.633 €/m2</v>
      </c>
      <c r="C102" s="1" t="str">
        <f>IFERROR(__xludf.DUMMYFUNCTION("""COMPUTED_VALUE"""),"+ 2,3 %")</f>
        <v>+ 2,3 %</v>
      </c>
      <c r="D102" s="1" t="str">
        <f>IFERROR(__xludf.DUMMYFUNCTION("""COMPUTED_VALUE"""),"+ 4,7 %")</f>
        <v>+ 4,7 %</v>
      </c>
      <c r="E102" s="1" t="str">
        <f>IFERROR(__xludf.DUMMYFUNCTION("""COMPUTED_VALUE"""),"+ 22,1 %")</f>
        <v>+ 22,1 %</v>
      </c>
    </row>
    <row r="103">
      <c r="A103" s="2">
        <f>IFERROR(__xludf.DUMMYFUNCTION("""COMPUTED_VALUE"""),43101.0)</f>
        <v>43101</v>
      </c>
      <c r="B103" s="1" t="str">
        <f>IFERROR(__xludf.DUMMYFUNCTION("""COMPUTED_VALUE"""),"4.530 €/m2")</f>
        <v>4.530 €/m2</v>
      </c>
      <c r="C103" s="1" t="str">
        <f>IFERROR(__xludf.DUMMYFUNCTION("""COMPUTED_VALUE"""),"+ 1,0 %")</f>
        <v>+ 1,0 %</v>
      </c>
      <c r="D103" s="1" t="str">
        <f>IFERROR(__xludf.DUMMYFUNCTION("""COMPUTED_VALUE"""),"+ 3,9 %")</f>
        <v>+ 3,9 %</v>
      </c>
      <c r="E103" s="1" t="str">
        <f>IFERROR(__xludf.DUMMYFUNCTION("""COMPUTED_VALUE"""),"+ 20,3 %")</f>
        <v>+ 20,3 %</v>
      </c>
    </row>
    <row r="104">
      <c r="A104" s="2">
        <f>IFERROR(__xludf.DUMMYFUNCTION("""COMPUTED_VALUE"""),43070.0)</f>
        <v>43070</v>
      </c>
      <c r="B104" s="1" t="str">
        <f>IFERROR(__xludf.DUMMYFUNCTION("""COMPUTED_VALUE"""),"4.486 €/m2")</f>
        <v>4.486 €/m2</v>
      </c>
      <c r="C104" s="1" t="str">
        <f>IFERROR(__xludf.DUMMYFUNCTION("""COMPUTED_VALUE"""),"+ 1,4 %")</f>
        <v>+ 1,4 %</v>
      </c>
      <c r="D104" s="1" t="str">
        <f>IFERROR(__xludf.DUMMYFUNCTION("""COMPUTED_VALUE"""),"+ 4,5 %")</f>
        <v>+ 4,5 %</v>
      </c>
      <c r="E104" s="1" t="str">
        <f>IFERROR(__xludf.DUMMYFUNCTION("""COMPUTED_VALUE"""),"+ 18,4 %")</f>
        <v>+ 18,4 %</v>
      </c>
    </row>
    <row r="105">
      <c r="A105" s="2">
        <f>IFERROR(__xludf.DUMMYFUNCTION("""COMPUTED_VALUE"""),43040.0)</f>
        <v>43040</v>
      </c>
      <c r="B105" s="1" t="str">
        <f>IFERROR(__xludf.DUMMYFUNCTION("""COMPUTED_VALUE"""),"4.426 €/m2")</f>
        <v>4.426 €/m2</v>
      </c>
      <c r="C105" s="1" t="str">
        <f>IFERROR(__xludf.DUMMYFUNCTION("""COMPUTED_VALUE"""),"+ 1,5 %")</f>
        <v>+ 1,5 %</v>
      </c>
      <c r="D105" s="1" t="str">
        <f>IFERROR(__xludf.DUMMYFUNCTION("""COMPUTED_VALUE"""),"+ 3,9 %")</f>
        <v>+ 3,9 %</v>
      </c>
      <c r="E105" s="1" t="str">
        <f>IFERROR(__xludf.DUMMYFUNCTION("""COMPUTED_VALUE"""),"+ 16,3 %")</f>
        <v>+ 16,3 %</v>
      </c>
    </row>
    <row r="106">
      <c r="A106" s="2">
        <f>IFERROR(__xludf.DUMMYFUNCTION("""COMPUTED_VALUE"""),43009.0)</f>
        <v>43009</v>
      </c>
      <c r="B106" s="1" t="str">
        <f>IFERROR(__xludf.DUMMYFUNCTION("""COMPUTED_VALUE"""),"4.361 €/m2")</f>
        <v>4.361 €/m2</v>
      </c>
      <c r="C106" s="1" t="str">
        <f>IFERROR(__xludf.DUMMYFUNCTION("""COMPUTED_VALUE"""),"+ 1,6 %")</f>
        <v>+ 1,6 %</v>
      </c>
      <c r="D106" s="1" t="str">
        <f>IFERROR(__xludf.DUMMYFUNCTION("""COMPUTED_VALUE"""),"+ 4,1 %")</f>
        <v>+ 4,1 %</v>
      </c>
      <c r="E106" s="1" t="str">
        <f>IFERROR(__xludf.DUMMYFUNCTION("""COMPUTED_VALUE"""),"+ 16,4 %")</f>
        <v>+ 16,4 %</v>
      </c>
    </row>
    <row r="107">
      <c r="A107" s="2">
        <f>IFERROR(__xludf.DUMMYFUNCTION("""COMPUTED_VALUE"""),42979.0)</f>
        <v>42979</v>
      </c>
      <c r="B107" s="1" t="str">
        <f>IFERROR(__xludf.DUMMYFUNCTION("""COMPUTED_VALUE"""),"4.294 €/m2")</f>
        <v>4.294 €/m2</v>
      </c>
      <c r="C107" s="1" t="str">
        <f>IFERROR(__xludf.DUMMYFUNCTION("""COMPUTED_VALUE"""),"+ 0,8 %")</f>
        <v>+ 0,8 %</v>
      </c>
      <c r="D107" s="1" t="str">
        <f>IFERROR(__xludf.DUMMYFUNCTION("""COMPUTED_VALUE"""),"+ 5,3 %")</f>
        <v>+ 5,3 %</v>
      </c>
      <c r="E107" s="1" t="str">
        <f>IFERROR(__xludf.DUMMYFUNCTION("""COMPUTED_VALUE"""),"+ 15,1 %")</f>
        <v>+ 15,1 %</v>
      </c>
    </row>
    <row r="108">
      <c r="A108" s="2">
        <f>IFERROR(__xludf.DUMMYFUNCTION("""COMPUTED_VALUE"""),42948.0)</f>
        <v>42948</v>
      </c>
      <c r="B108" s="1" t="str">
        <f>IFERROR(__xludf.DUMMYFUNCTION("""COMPUTED_VALUE"""),"4.261 €/m2")</f>
        <v>4.261 €/m2</v>
      </c>
      <c r="C108" s="1" t="str">
        <f>IFERROR(__xludf.DUMMYFUNCTION("""COMPUTED_VALUE"""),"+ 1,7 %")</f>
        <v>+ 1,7 %</v>
      </c>
      <c r="D108" s="1" t="str">
        <f>IFERROR(__xludf.DUMMYFUNCTION("""COMPUTED_VALUE"""),"+ 6,6 %")</f>
        <v>+ 6,6 %</v>
      </c>
      <c r="E108" s="1" t="str">
        <f>IFERROR(__xludf.DUMMYFUNCTION("""COMPUTED_VALUE"""),"+ 15,1 %")</f>
        <v>+ 15,1 %</v>
      </c>
    </row>
    <row r="109">
      <c r="A109" s="2">
        <f>IFERROR(__xludf.DUMMYFUNCTION("""COMPUTED_VALUE"""),42917.0)</f>
        <v>42917</v>
      </c>
      <c r="B109" s="1" t="str">
        <f>IFERROR(__xludf.DUMMYFUNCTION("""COMPUTED_VALUE"""),"4.188 €/m2")</f>
        <v>4.188 €/m2</v>
      </c>
      <c r="C109" s="1" t="str">
        <f>IFERROR(__xludf.DUMMYFUNCTION("""COMPUTED_VALUE"""),"+ 2,7 %")</f>
        <v>+ 2,7 %</v>
      </c>
      <c r="D109" s="1" t="str">
        <f>IFERROR(__xludf.DUMMYFUNCTION("""COMPUTED_VALUE"""),"+ 6,8 %")</f>
        <v>+ 6,8 %</v>
      </c>
      <c r="E109" s="1" t="str">
        <f>IFERROR(__xludf.DUMMYFUNCTION("""COMPUTED_VALUE"""),"+ 14,1 %")</f>
        <v>+ 14,1 %</v>
      </c>
    </row>
    <row r="110">
      <c r="A110" s="2">
        <f>IFERROR(__xludf.DUMMYFUNCTION("""COMPUTED_VALUE"""),42887.0)</f>
        <v>42887</v>
      </c>
      <c r="B110" s="1" t="str">
        <f>IFERROR(__xludf.DUMMYFUNCTION("""COMPUTED_VALUE"""),"4.078 €/m2")</f>
        <v>4.078 €/m2</v>
      </c>
      <c r="C110" s="1" t="str">
        <f>IFERROR(__xludf.DUMMYFUNCTION("""COMPUTED_VALUE"""),"+ 2,0 %")</f>
        <v>+ 2,0 %</v>
      </c>
      <c r="D110" s="1" t="str">
        <f>IFERROR(__xludf.DUMMYFUNCTION("""COMPUTED_VALUE"""),"+ 5,7 %")</f>
        <v>+ 5,7 %</v>
      </c>
      <c r="E110" s="1" t="str">
        <f>IFERROR(__xludf.DUMMYFUNCTION("""COMPUTED_VALUE"""),"+ 12,0 %")</f>
        <v>+ 12,0 %</v>
      </c>
    </row>
    <row r="111">
      <c r="A111" s="2">
        <f>IFERROR(__xludf.DUMMYFUNCTION("""COMPUTED_VALUE"""),42856.0)</f>
        <v>42856</v>
      </c>
      <c r="B111" s="1" t="str">
        <f>IFERROR(__xludf.DUMMYFUNCTION("""COMPUTED_VALUE"""),"3.997 €/m2")</f>
        <v>3.997 €/m2</v>
      </c>
      <c r="C111" s="1" t="str">
        <f>IFERROR(__xludf.DUMMYFUNCTION("""COMPUTED_VALUE"""),"+ 1,9 %")</f>
        <v>+ 1,9 %</v>
      </c>
      <c r="D111" s="1" t="str">
        <f>IFERROR(__xludf.DUMMYFUNCTION("""COMPUTED_VALUE"""),"+ 5,3 %")</f>
        <v>+ 5,3 %</v>
      </c>
      <c r="E111" s="1" t="str">
        <f>IFERROR(__xludf.DUMMYFUNCTION("""COMPUTED_VALUE"""),"+ 10,2 %")</f>
        <v>+ 10,2 %</v>
      </c>
    </row>
    <row r="112">
      <c r="A112" s="2">
        <f>IFERROR(__xludf.DUMMYFUNCTION("""COMPUTED_VALUE"""),42826.0)</f>
        <v>42826</v>
      </c>
      <c r="B112" s="1" t="str">
        <f>IFERROR(__xludf.DUMMYFUNCTION("""COMPUTED_VALUE"""),"3.922 €/m2")</f>
        <v>3.922 €/m2</v>
      </c>
      <c r="C112" s="1" t="str">
        <f>IFERROR(__xludf.DUMMYFUNCTION("""COMPUTED_VALUE"""),"+ 1,7 %")</f>
        <v>+ 1,7 %</v>
      </c>
      <c r="D112" s="1" t="str">
        <f>IFERROR(__xludf.DUMMYFUNCTION("""COMPUTED_VALUE"""),"+ 4,1 %")</f>
        <v>+ 4,1 %</v>
      </c>
      <c r="E112" s="1" t="str">
        <f>IFERROR(__xludf.DUMMYFUNCTION("""COMPUTED_VALUE"""),"+ 7,3 %")</f>
        <v>+ 7,3 %</v>
      </c>
    </row>
    <row r="113">
      <c r="A113" s="2">
        <f>IFERROR(__xludf.DUMMYFUNCTION("""COMPUTED_VALUE"""),42795.0)</f>
        <v>42795</v>
      </c>
      <c r="B113" s="1" t="str">
        <f>IFERROR(__xludf.DUMMYFUNCTION("""COMPUTED_VALUE"""),"3.858 €/m2")</f>
        <v>3.858 €/m2</v>
      </c>
      <c r="C113" s="1" t="str">
        <f>IFERROR(__xludf.DUMMYFUNCTION("""COMPUTED_VALUE"""),"+ 1,7 %")</f>
        <v>+ 1,7 %</v>
      </c>
      <c r="D113" s="1" t="str">
        <f>IFERROR(__xludf.DUMMYFUNCTION("""COMPUTED_VALUE"""),"+ 1,9 %")</f>
        <v>+ 1,9 %</v>
      </c>
      <c r="E113" s="1" t="str">
        <f>IFERROR(__xludf.DUMMYFUNCTION("""COMPUTED_VALUE"""),"+ 7,1 %")</f>
        <v>+ 7,1 %</v>
      </c>
    </row>
    <row r="114">
      <c r="A114" s="2">
        <f>IFERROR(__xludf.DUMMYFUNCTION("""COMPUTED_VALUE"""),42767.0)</f>
        <v>42767</v>
      </c>
      <c r="B114" s="1" t="str">
        <f>IFERROR(__xludf.DUMMYFUNCTION("""COMPUTED_VALUE"""),"3.795 €/m2")</f>
        <v>3.795 €/m2</v>
      </c>
      <c r="C114" s="1" t="str">
        <f>IFERROR(__xludf.DUMMYFUNCTION("""COMPUTED_VALUE"""),"+ 0,8 %")</f>
        <v>+ 0,8 %</v>
      </c>
      <c r="D114" s="1" t="str">
        <f>IFERROR(__xludf.DUMMYFUNCTION("""COMPUTED_VALUE"""),"- 0,3 %")</f>
        <v>- 0,3 %</v>
      </c>
      <c r="E114" s="1" t="str">
        <f>IFERROR(__xludf.DUMMYFUNCTION("""COMPUTED_VALUE"""),"+ 6,7 %")</f>
        <v>+ 6,7 %</v>
      </c>
    </row>
    <row r="115">
      <c r="A115" s="2">
        <f>IFERROR(__xludf.DUMMYFUNCTION("""COMPUTED_VALUE"""),42736.0)</f>
        <v>42736</v>
      </c>
      <c r="B115" s="1" t="str">
        <f>IFERROR(__xludf.DUMMYFUNCTION("""COMPUTED_VALUE"""),"3.767 €/m2")</f>
        <v>3.767 €/m2</v>
      </c>
      <c r="C115" s="1" t="str">
        <f>IFERROR(__xludf.DUMMYFUNCTION("""COMPUTED_VALUE"""),"- 0,6 %")</f>
        <v>- 0,6 %</v>
      </c>
      <c r="D115" s="1" t="str">
        <f>IFERROR(__xludf.DUMMYFUNCTION("""COMPUTED_VALUE"""),"+ 0,6 %")</f>
        <v>+ 0,6 %</v>
      </c>
      <c r="E115" s="1" t="str">
        <f>IFERROR(__xludf.DUMMYFUNCTION("""COMPUTED_VALUE"""),"+ 5,7 %")</f>
        <v>+ 5,7 %</v>
      </c>
    </row>
    <row r="116">
      <c r="A116" s="2">
        <f>IFERROR(__xludf.DUMMYFUNCTION("""COMPUTED_VALUE"""),42705.0)</f>
        <v>42705</v>
      </c>
      <c r="B116" s="1" t="str">
        <f>IFERROR(__xludf.DUMMYFUNCTION("""COMPUTED_VALUE"""),"3.788 €/m2")</f>
        <v>3.788 €/m2</v>
      </c>
      <c r="C116" s="1" t="str">
        <f>IFERROR(__xludf.DUMMYFUNCTION("""COMPUTED_VALUE"""),"- 0,5 %")</f>
        <v>- 0,5 %</v>
      </c>
      <c r="D116" s="1" t="str">
        <f>IFERROR(__xludf.DUMMYFUNCTION("""COMPUTED_VALUE"""),"+ 1,5 %")</f>
        <v>+ 1,5 %</v>
      </c>
      <c r="E116" s="1" t="str">
        <f>IFERROR(__xludf.DUMMYFUNCTION("""COMPUTED_VALUE"""),"+ 6,6 %")</f>
        <v>+ 6,6 %</v>
      </c>
    </row>
    <row r="117">
      <c r="A117" s="2">
        <f>IFERROR(__xludf.DUMMYFUNCTION("""COMPUTED_VALUE"""),42675.0)</f>
        <v>42675</v>
      </c>
      <c r="B117" s="1" t="str">
        <f>IFERROR(__xludf.DUMMYFUNCTION("""COMPUTED_VALUE"""),"3.805 €/m2")</f>
        <v>3.805 €/m2</v>
      </c>
      <c r="C117" s="1" t="str">
        <f>IFERROR(__xludf.DUMMYFUNCTION("""COMPUTED_VALUE"""),"+ 1,6 %")</f>
        <v>+ 1,6 %</v>
      </c>
      <c r="D117" s="1" t="str">
        <f>IFERROR(__xludf.DUMMYFUNCTION("""COMPUTED_VALUE"""),"+ 2,8 %")</f>
        <v>+ 2,8 %</v>
      </c>
      <c r="E117" s="1" t="str">
        <f>IFERROR(__xludf.DUMMYFUNCTION("""COMPUTED_VALUE"""),"+ 7,8 %")</f>
        <v>+ 7,8 %</v>
      </c>
    </row>
    <row r="118">
      <c r="A118" s="2">
        <f>IFERROR(__xludf.DUMMYFUNCTION("""COMPUTED_VALUE"""),42644.0)</f>
        <v>42644</v>
      </c>
      <c r="B118" s="1" t="str">
        <f>IFERROR(__xludf.DUMMYFUNCTION("""COMPUTED_VALUE"""),"3.745 €/m2")</f>
        <v>3.745 €/m2</v>
      </c>
      <c r="C118" s="1" t="str">
        <f>IFERROR(__xludf.DUMMYFUNCTION("""COMPUTED_VALUE"""),"+ 0,4 %")</f>
        <v>+ 0,4 %</v>
      </c>
      <c r="D118" s="1" t="str">
        <f>IFERROR(__xludf.DUMMYFUNCTION("""COMPUTED_VALUE"""),"+ 2,0 %")</f>
        <v>+ 2,0 %</v>
      </c>
      <c r="E118" s="1" t="str">
        <f>IFERROR(__xludf.DUMMYFUNCTION("""COMPUTED_VALUE"""),"+ 7,0 %")</f>
        <v>+ 7,0 %</v>
      </c>
    </row>
    <row r="119">
      <c r="A119" s="2">
        <f>IFERROR(__xludf.DUMMYFUNCTION("""COMPUTED_VALUE"""),42614.0)</f>
        <v>42614</v>
      </c>
      <c r="B119" s="1" t="str">
        <f>IFERROR(__xludf.DUMMYFUNCTION("""COMPUTED_VALUE"""),"3.731 €/m2")</f>
        <v>3.731 €/m2</v>
      </c>
      <c r="C119" s="1" t="str">
        <f>IFERROR(__xludf.DUMMYFUNCTION("""COMPUTED_VALUE"""),"+ 0,8 %")</f>
        <v>+ 0,8 %</v>
      </c>
      <c r="D119" s="1" t="str">
        <f>IFERROR(__xludf.DUMMYFUNCTION("""COMPUTED_VALUE"""),"+ 2,4 %")</f>
        <v>+ 2,4 %</v>
      </c>
      <c r="E119" s="1" t="str">
        <f>IFERROR(__xludf.DUMMYFUNCTION("""COMPUTED_VALUE"""),"+ 8,0 %")</f>
        <v>+ 8,0 %</v>
      </c>
    </row>
    <row r="120">
      <c r="A120" s="2">
        <f>IFERROR(__xludf.DUMMYFUNCTION("""COMPUTED_VALUE"""),42583.0)</f>
        <v>42583</v>
      </c>
      <c r="B120" s="1" t="str">
        <f>IFERROR(__xludf.DUMMYFUNCTION("""COMPUTED_VALUE"""),"3.703 €/m2")</f>
        <v>3.703 €/m2</v>
      </c>
      <c r="C120" s="1" t="str">
        <f>IFERROR(__xludf.DUMMYFUNCTION("""COMPUTED_VALUE"""),"+ 0,9 %")</f>
        <v>+ 0,9 %</v>
      </c>
      <c r="D120" s="1" t="str">
        <f>IFERROR(__xludf.DUMMYFUNCTION("""COMPUTED_VALUE"""),"+ 2,1 %")</f>
        <v>+ 2,1 %</v>
      </c>
      <c r="E120" s="1" t="str">
        <f>IFERROR(__xludf.DUMMYFUNCTION("""COMPUTED_VALUE"""),"+ 7,7 %")</f>
        <v>+ 7,7 %</v>
      </c>
    </row>
    <row r="121">
      <c r="A121" s="2">
        <f>IFERROR(__xludf.DUMMYFUNCTION("""COMPUTED_VALUE"""),42552.0)</f>
        <v>42552</v>
      </c>
      <c r="B121" s="1" t="str">
        <f>IFERROR(__xludf.DUMMYFUNCTION("""COMPUTED_VALUE"""),"3.671 €/m2")</f>
        <v>3.671 €/m2</v>
      </c>
      <c r="C121" s="1" t="str">
        <f>IFERROR(__xludf.DUMMYFUNCTION("""COMPUTED_VALUE"""),"+ 0,8 %")</f>
        <v>+ 0,8 %</v>
      </c>
      <c r="D121" s="1" t="str">
        <f>IFERROR(__xludf.DUMMYFUNCTION("""COMPUTED_VALUE"""),"+ 0,4 %")</f>
        <v>+ 0,4 %</v>
      </c>
      <c r="E121" s="1" t="str">
        <f>IFERROR(__xludf.DUMMYFUNCTION("""COMPUTED_VALUE"""),"+ 7,5 %")</f>
        <v>+ 7,5 %</v>
      </c>
    </row>
    <row r="122">
      <c r="A122" s="2">
        <f>IFERROR(__xludf.DUMMYFUNCTION("""COMPUTED_VALUE"""),42522.0)</f>
        <v>42522</v>
      </c>
      <c r="B122" s="1" t="str">
        <f>IFERROR(__xludf.DUMMYFUNCTION("""COMPUTED_VALUE"""),"3.643 €/m2")</f>
        <v>3.643 €/m2</v>
      </c>
      <c r="C122" s="1" t="str">
        <f>IFERROR(__xludf.DUMMYFUNCTION("""COMPUTED_VALUE"""),"+ 0,5 %")</f>
        <v>+ 0,5 %</v>
      </c>
      <c r="D122" s="1" t="str">
        <f>IFERROR(__xludf.DUMMYFUNCTION("""COMPUTED_VALUE"""),"+ 1,2 %")</f>
        <v>+ 1,2 %</v>
      </c>
      <c r="E122" s="1" t="str">
        <f>IFERROR(__xludf.DUMMYFUNCTION("""COMPUTED_VALUE"""),"+ 7,2 %")</f>
        <v>+ 7,2 %</v>
      </c>
    </row>
    <row r="123">
      <c r="A123" s="2">
        <f>IFERROR(__xludf.DUMMYFUNCTION("""COMPUTED_VALUE"""),42491.0)</f>
        <v>42491</v>
      </c>
      <c r="B123" s="1" t="str">
        <f>IFERROR(__xludf.DUMMYFUNCTION("""COMPUTED_VALUE"""),"3.626 €/m2")</f>
        <v>3.626 €/m2</v>
      </c>
      <c r="C123" s="1" t="str">
        <f>IFERROR(__xludf.DUMMYFUNCTION("""COMPUTED_VALUE"""),"- 0,8 %")</f>
        <v>- 0,8 %</v>
      </c>
      <c r="D123" s="1" t="str">
        <f>IFERROR(__xludf.DUMMYFUNCTION("""COMPUTED_VALUE"""),"+ 2,0 %")</f>
        <v>+ 2,0 %</v>
      </c>
      <c r="E123" s="1" t="str">
        <f>IFERROR(__xludf.DUMMYFUNCTION("""COMPUTED_VALUE"""),"+ 6,8 %")</f>
        <v>+ 6,8 %</v>
      </c>
    </row>
    <row r="124">
      <c r="A124" s="2">
        <f>IFERROR(__xludf.DUMMYFUNCTION("""COMPUTED_VALUE"""),42461.0)</f>
        <v>42461</v>
      </c>
      <c r="B124" s="1" t="str">
        <f>IFERROR(__xludf.DUMMYFUNCTION("""COMPUTED_VALUE"""),"3.655 €/m2")</f>
        <v>3.655 €/m2</v>
      </c>
      <c r="C124" s="1" t="str">
        <f>IFERROR(__xludf.DUMMYFUNCTION("""COMPUTED_VALUE"""),"+ 1,5 %")</f>
        <v>+ 1,5 %</v>
      </c>
      <c r="D124" s="1" t="str">
        <f>IFERROR(__xludf.DUMMYFUNCTION("""COMPUTED_VALUE"""),"+ 2,5 %")</f>
        <v>+ 2,5 %</v>
      </c>
      <c r="E124" s="1" t="str">
        <f>IFERROR(__xludf.DUMMYFUNCTION("""COMPUTED_VALUE"""),"+ 8,3 %")</f>
        <v>+ 8,3 %</v>
      </c>
    </row>
    <row r="125">
      <c r="A125" s="2">
        <f>IFERROR(__xludf.DUMMYFUNCTION("""COMPUTED_VALUE"""),42430.0)</f>
        <v>42430</v>
      </c>
      <c r="B125" s="1" t="str">
        <f>IFERROR(__xludf.DUMMYFUNCTION("""COMPUTED_VALUE"""),"3.601 €/m2")</f>
        <v>3.601 €/m2</v>
      </c>
      <c r="C125" s="1" t="str">
        <f>IFERROR(__xludf.DUMMYFUNCTION("""COMPUTED_VALUE"""),"+ 1,3 %")</f>
        <v>+ 1,3 %</v>
      </c>
      <c r="D125" s="1" t="str">
        <f>IFERROR(__xludf.DUMMYFUNCTION("""COMPUTED_VALUE"""),"+ 1,4 %")</f>
        <v>+ 1,4 %</v>
      </c>
      <c r="E125" s="1" t="str">
        <f>IFERROR(__xludf.DUMMYFUNCTION("""COMPUTED_VALUE"""),"+ 6,9 %")</f>
        <v>+ 6,9 %</v>
      </c>
    </row>
    <row r="126">
      <c r="A126" s="2">
        <f>IFERROR(__xludf.DUMMYFUNCTION("""COMPUTED_VALUE"""),42401.0)</f>
        <v>42401</v>
      </c>
      <c r="B126" s="1" t="str">
        <f>IFERROR(__xludf.DUMMYFUNCTION("""COMPUTED_VALUE"""),"3.556 €/m2")</f>
        <v>3.556 €/m2</v>
      </c>
      <c r="C126" s="1" t="str">
        <f>IFERROR(__xludf.DUMMYFUNCTION("""COMPUTED_VALUE"""),"- 0,2 %")</f>
        <v>- 0,2 %</v>
      </c>
      <c r="D126" s="1" t="str">
        <f>IFERROR(__xludf.DUMMYFUNCTION("""COMPUTED_VALUE"""),"+ 0,7 %")</f>
        <v>+ 0,7 %</v>
      </c>
      <c r="E126" s="1" t="str">
        <f>IFERROR(__xludf.DUMMYFUNCTION("""COMPUTED_VALUE"""),"+ 6,7 %")</f>
        <v>+ 6,7 %</v>
      </c>
    </row>
    <row r="127">
      <c r="A127" s="2">
        <f>IFERROR(__xludf.DUMMYFUNCTION("""COMPUTED_VALUE"""),42370.0)</f>
        <v>42370</v>
      </c>
      <c r="B127" s="1" t="str">
        <f>IFERROR(__xludf.DUMMYFUNCTION("""COMPUTED_VALUE"""),"3.565 €/m2")</f>
        <v>3.565 €/m2</v>
      </c>
      <c r="C127" s="1" t="str">
        <f>IFERROR(__xludf.DUMMYFUNCTION("""COMPUTED_VALUE"""),"+ 0,4 %")</f>
        <v>+ 0,4 %</v>
      </c>
      <c r="D127" s="1" t="str">
        <f>IFERROR(__xludf.DUMMYFUNCTION("""COMPUTED_VALUE"""),"+ 1,9 %")</f>
        <v>+ 1,9 %</v>
      </c>
      <c r="E127" s="1" t="str">
        <f>IFERROR(__xludf.DUMMYFUNCTION("""COMPUTED_VALUE"""),"+ 6,9 %")</f>
        <v>+ 6,9 %</v>
      </c>
    </row>
    <row r="128">
      <c r="A128" s="2">
        <f>IFERROR(__xludf.DUMMYFUNCTION("""COMPUTED_VALUE"""),42339.0)</f>
        <v>42339</v>
      </c>
      <c r="B128" s="1" t="str">
        <f>IFERROR(__xludf.DUMMYFUNCTION("""COMPUTED_VALUE"""),"3.552 €/m2")</f>
        <v>3.552 €/m2</v>
      </c>
      <c r="C128" s="1" t="str">
        <f>IFERROR(__xludf.DUMMYFUNCTION("""COMPUTED_VALUE"""),"+ 0,6 %")</f>
        <v>+ 0,6 %</v>
      </c>
      <c r="D128" s="1" t="str">
        <f>IFERROR(__xludf.DUMMYFUNCTION("""COMPUTED_VALUE"""),"+ 2,8 %")</f>
        <v>+ 2,8 %</v>
      </c>
      <c r="E128" s="1" t="str">
        <f>IFERROR(__xludf.DUMMYFUNCTION("""COMPUTED_VALUE"""),"+ 6,6 %")</f>
        <v>+ 6,6 %</v>
      </c>
    </row>
    <row r="129">
      <c r="A129" s="2">
        <f>IFERROR(__xludf.DUMMYFUNCTION("""COMPUTED_VALUE"""),42309.0)</f>
        <v>42309</v>
      </c>
      <c r="B129" s="1" t="str">
        <f>IFERROR(__xludf.DUMMYFUNCTION("""COMPUTED_VALUE"""),"3.531 €/m2")</f>
        <v>3.531 €/m2</v>
      </c>
      <c r="C129" s="1" t="str">
        <f>IFERROR(__xludf.DUMMYFUNCTION("""COMPUTED_VALUE"""),"+ 0,9 %")</f>
        <v>+ 0,9 %</v>
      </c>
      <c r="D129" s="1" t="str">
        <f>IFERROR(__xludf.DUMMYFUNCTION("""COMPUTED_VALUE"""),"+ 2,7 %")</f>
        <v>+ 2,7 %</v>
      </c>
      <c r="E129" s="1" t="str">
        <f>IFERROR(__xludf.DUMMYFUNCTION("""COMPUTED_VALUE"""),"+ 6,1 %")</f>
        <v>+ 6,1 %</v>
      </c>
    </row>
    <row r="130">
      <c r="A130" s="2">
        <f>IFERROR(__xludf.DUMMYFUNCTION("""COMPUTED_VALUE"""),42278.0)</f>
        <v>42278</v>
      </c>
      <c r="B130" s="1" t="str">
        <f>IFERROR(__xludf.DUMMYFUNCTION("""COMPUTED_VALUE"""),"3.500 €/m2")</f>
        <v>3.500 €/m2</v>
      </c>
      <c r="C130" s="1" t="str">
        <f>IFERROR(__xludf.DUMMYFUNCTION("""COMPUTED_VALUE"""),"+ 1,3 %")</f>
        <v>+ 1,3 %</v>
      </c>
      <c r="D130" s="1" t="str">
        <f>IFERROR(__xludf.DUMMYFUNCTION("""COMPUTED_VALUE"""),"+ 2,5 %")</f>
        <v>+ 2,5 %</v>
      </c>
      <c r="E130" s="1" t="str">
        <f>IFERROR(__xludf.DUMMYFUNCTION("""COMPUTED_VALUE"""),"+ 5,0 %")</f>
        <v>+ 5,0 %</v>
      </c>
    </row>
    <row r="131">
      <c r="A131" s="2">
        <f>IFERROR(__xludf.DUMMYFUNCTION("""COMPUTED_VALUE"""),42248.0)</f>
        <v>42248</v>
      </c>
      <c r="B131" s="1" t="str">
        <f>IFERROR(__xludf.DUMMYFUNCTION("""COMPUTED_VALUE"""),"3.455 €/m2")</f>
        <v>3.455 €/m2</v>
      </c>
      <c r="C131" s="1" t="str">
        <f>IFERROR(__xludf.DUMMYFUNCTION("""COMPUTED_VALUE"""),"+ 0,5 %")</f>
        <v>+ 0,5 %</v>
      </c>
      <c r="D131" s="1" t="str">
        <f>IFERROR(__xludf.DUMMYFUNCTION("""COMPUTED_VALUE"""),"+ 1,7 %")</f>
        <v>+ 1,7 %</v>
      </c>
      <c r="E131" s="1" t="str">
        <f>IFERROR(__xludf.DUMMYFUNCTION("""COMPUTED_VALUE"""),"+ 5,0 %")</f>
        <v>+ 5,0 %</v>
      </c>
    </row>
    <row r="132">
      <c r="A132" s="2">
        <f>IFERROR(__xludf.DUMMYFUNCTION("""COMPUTED_VALUE"""),42217.0)</f>
        <v>42217</v>
      </c>
      <c r="B132" s="1" t="str">
        <f>IFERROR(__xludf.DUMMYFUNCTION("""COMPUTED_VALUE"""),"3.438 €/m2")</f>
        <v>3.438 €/m2</v>
      </c>
      <c r="C132" s="1" t="str">
        <f>IFERROR(__xludf.DUMMYFUNCTION("""COMPUTED_VALUE"""),"+ 0,7 %")</f>
        <v>+ 0,7 %</v>
      </c>
      <c r="D132" s="1" t="str">
        <f>IFERROR(__xludf.DUMMYFUNCTION("""COMPUTED_VALUE"""),"+ 1,3 %")</f>
        <v>+ 1,3 %</v>
      </c>
      <c r="E132" s="1" t="str">
        <f>IFERROR(__xludf.DUMMYFUNCTION("""COMPUTED_VALUE"""),"+ 4,6 %")</f>
        <v>+ 4,6 %</v>
      </c>
    </row>
    <row r="133">
      <c r="A133" s="2">
        <f>IFERROR(__xludf.DUMMYFUNCTION("""COMPUTED_VALUE"""),42186.0)</f>
        <v>42186</v>
      </c>
      <c r="B133" s="1" t="str">
        <f>IFERROR(__xludf.DUMMYFUNCTION("""COMPUTED_VALUE"""),"3.415 €/m2")</f>
        <v>3.415 €/m2</v>
      </c>
      <c r="C133" s="1" t="str">
        <f>IFERROR(__xludf.DUMMYFUNCTION("""COMPUTED_VALUE"""),"+ 0,5 %")</f>
        <v>+ 0,5 %</v>
      </c>
      <c r="D133" s="1" t="str">
        <f>IFERROR(__xludf.DUMMYFUNCTION("""COMPUTED_VALUE"""),"+ 1,2 %")</f>
        <v>+ 1,2 %</v>
      </c>
      <c r="E133" s="1" t="str">
        <f>IFERROR(__xludf.DUMMYFUNCTION("""COMPUTED_VALUE"""),"+ 3,9 %")</f>
        <v>+ 3,9 %</v>
      </c>
    </row>
    <row r="134">
      <c r="A134" s="2">
        <f>IFERROR(__xludf.DUMMYFUNCTION("""COMPUTED_VALUE"""),42156.0)</f>
        <v>42156</v>
      </c>
      <c r="B134" s="1" t="str">
        <f>IFERROR(__xludf.DUMMYFUNCTION("""COMPUTED_VALUE"""),"3.399 €/m2")</f>
        <v>3.399 €/m2</v>
      </c>
      <c r="C134" s="1" t="str">
        <f>IFERROR(__xludf.DUMMYFUNCTION("""COMPUTED_VALUE"""),"+ 0,1 %")</f>
        <v>+ 0,1 %</v>
      </c>
      <c r="D134" s="1" t="str">
        <f>IFERROR(__xludf.DUMMYFUNCTION("""COMPUTED_VALUE"""),"+ 0,9 %")</f>
        <v>+ 0,9 %</v>
      </c>
      <c r="E134" s="1" t="str">
        <f>IFERROR(__xludf.DUMMYFUNCTION("""COMPUTED_VALUE"""),"+ 3,3 %")</f>
        <v>+ 3,3 %</v>
      </c>
    </row>
    <row r="135">
      <c r="A135" s="2">
        <f>IFERROR(__xludf.DUMMYFUNCTION("""COMPUTED_VALUE"""),42125.0)</f>
        <v>42125</v>
      </c>
      <c r="B135" s="1" t="str">
        <f>IFERROR(__xludf.DUMMYFUNCTION("""COMPUTED_VALUE"""),"3.394 €/m2")</f>
        <v>3.394 €/m2</v>
      </c>
      <c r="C135" s="1" t="str">
        <f>IFERROR(__xludf.DUMMYFUNCTION("""COMPUTED_VALUE"""),"+ 0,6 %")</f>
        <v>+ 0,6 %</v>
      </c>
      <c r="D135" s="1" t="str">
        <f>IFERROR(__xludf.DUMMYFUNCTION("""COMPUTED_VALUE"""),"+ 1,8 %")</f>
        <v>+ 1,8 %</v>
      </c>
      <c r="E135" s="1" t="str">
        <f>IFERROR(__xludf.DUMMYFUNCTION("""COMPUTED_VALUE"""),"+ 3,2 %")</f>
        <v>+ 3,2 %</v>
      </c>
    </row>
    <row r="136">
      <c r="A136" s="2">
        <f>IFERROR(__xludf.DUMMYFUNCTION("""COMPUTED_VALUE"""),42095.0)</f>
        <v>42095</v>
      </c>
      <c r="B136" s="1" t="str">
        <f>IFERROR(__xludf.DUMMYFUNCTION("""COMPUTED_VALUE"""),"3.374 €/m2")</f>
        <v>3.374 €/m2</v>
      </c>
      <c r="C136" s="1" t="str">
        <f>IFERROR(__xludf.DUMMYFUNCTION("""COMPUTED_VALUE"""),"+ 0,2 %")</f>
        <v>+ 0,2 %</v>
      </c>
      <c r="D136" s="1" t="str">
        <f>IFERROR(__xludf.DUMMYFUNCTION("""COMPUTED_VALUE"""),"+ 1,2 %")</f>
        <v>+ 1,2 %</v>
      </c>
      <c r="E136" s="1" t="str">
        <f>IFERROR(__xludf.DUMMYFUNCTION("""COMPUTED_VALUE"""),"+ 3,1 %")</f>
        <v>+ 3,1 %</v>
      </c>
    </row>
    <row r="137">
      <c r="A137" s="2">
        <f>IFERROR(__xludf.DUMMYFUNCTION("""COMPUTED_VALUE"""),42064.0)</f>
        <v>42064</v>
      </c>
      <c r="B137" s="1" t="str">
        <f>IFERROR(__xludf.DUMMYFUNCTION("""COMPUTED_VALUE"""),"3.368 €/m2")</f>
        <v>3.368 €/m2</v>
      </c>
      <c r="C137" s="1" t="str">
        <f>IFERROR(__xludf.DUMMYFUNCTION("""COMPUTED_VALUE"""),"+ 1,0 %")</f>
        <v>+ 1,0 %</v>
      </c>
      <c r="D137" s="1" t="str">
        <f>IFERROR(__xludf.DUMMYFUNCTION("""COMPUTED_VALUE"""),"+ 1,0 %")</f>
        <v>+ 1,0 %</v>
      </c>
      <c r="E137" s="1" t="str">
        <f>IFERROR(__xludf.DUMMYFUNCTION("""COMPUTED_VALUE"""),"+ 2,9 %")</f>
        <v>+ 2,9 %</v>
      </c>
    </row>
    <row r="138">
      <c r="A138" s="2">
        <f>IFERROR(__xludf.DUMMYFUNCTION("""COMPUTED_VALUE"""),42036.0)</f>
        <v>42036</v>
      </c>
      <c r="B138" s="1" t="str">
        <f>IFERROR(__xludf.DUMMYFUNCTION("""COMPUTED_VALUE"""),"3.334 €/m2")</f>
        <v>3.334 €/m2</v>
      </c>
      <c r="C138" s="1" t="str">
        <f>IFERROR(__xludf.DUMMYFUNCTION("""COMPUTED_VALUE"""),"0,0 %")</f>
        <v>0,0 %</v>
      </c>
      <c r="D138" s="1" t="str">
        <f>IFERROR(__xludf.DUMMYFUNCTION("""COMPUTED_VALUE"""),"+ 0,2 %")</f>
        <v>+ 0,2 %</v>
      </c>
      <c r="E138" s="1" t="str">
        <f>IFERROR(__xludf.DUMMYFUNCTION("""COMPUTED_VALUE"""),"+ 1,7 %")</f>
        <v>+ 1,7 %</v>
      </c>
    </row>
    <row r="139">
      <c r="A139" s="2">
        <f>IFERROR(__xludf.DUMMYFUNCTION("""COMPUTED_VALUE"""),42005.0)</f>
        <v>42005</v>
      </c>
      <c r="B139" s="1" t="str">
        <f>IFERROR(__xludf.DUMMYFUNCTION("""COMPUTED_VALUE"""),"3.334 €/m2")</f>
        <v>3.334 €/m2</v>
      </c>
      <c r="C139" s="1" t="str">
        <f>IFERROR(__xludf.DUMMYFUNCTION("""COMPUTED_VALUE"""),"0,0 %")</f>
        <v>0,0 %</v>
      </c>
      <c r="D139" s="1" t="str">
        <f>IFERROR(__xludf.DUMMYFUNCTION("""COMPUTED_VALUE"""),"0,0 %")</f>
        <v>0,0 %</v>
      </c>
      <c r="E139" s="1" t="str">
        <f>IFERROR(__xludf.DUMMYFUNCTION("""COMPUTED_VALUE"""),"+ 1,9 %")</f>
        <v>+ 1,9 %</v>
      </c>
    </row>
    <row r="140">
      <c r="A140" s="2">
        <f>IFERROR(__xludf.DUMMYFUNCTION("""COMPUTED_VALUE"""),41974.0)</f>
        <v>41974</v>
      </c>
      <c r="B140" s="1" t="str">
        <f>IFERROR(__xludf.DUMMYFUNCTION("""COMPUTED_VALUE"""),"3.334 €/m2")</f>
        <v>3.334 €/m2</v>
      </c>
      <c r="C140" s="1" t="str">
        <f>IFERROR(__xludf.DUMMYFUNCTION("""COMPUTED_VALUE"""),"+ 0,2 %")</f>
        <v>+ 0,2 %</v>
      </c>
      <c r="D140" s="1" t="str">
        <f>IFERROR(__xludf.DUMMYFUNCTION("""COMPUTED_VALUE"""),"+ 1,3 %")</f>
        <v>+ 1,3 %</v>
      </c>
      <c r="E140" s="1" t="str">
        <f>IFERROR(__xludf.DUMMYFUNCTION("""COMPUTED_VALUE"""),"+ 2,3 %")</f>
        <v>+ 2,3 %</v>
      </c>
    </row>
    <row r="141">
      <c r="A141" s="2">
        <f>IFERROR(__xludf.DUMMYFUNCTION("""COMPUTED_VALUE"""),41944.0)</f>
        <v>41944</v>
      </c>
      <c r="B141" s="1" t="str">
        <f>IFERROR(__xludf.DUMMYFUNCTION("""COMPUTED_VALUE"""),"3.327 €/m2")</f>
        <v>3.327 €/m2</v>
      </c>
      <c r="C141" s="1" t="str">
        <f>IFERROR(__xludf.DUMMYFUNCTION("""COMPUTED_VALUE"""),"- 0,2 %")</f>
        <v>- 0,2 %</v>
      </c>
      <c r="D141" s="1" t="str">
        <f>IFERROR(__xludf.DUMMYFUNCTION("""COMPUTED_VALUE"""),"+ 1,3 %")</f>
        <v>+ 1,3 %</v>
      </c>
      <c r="E141" s="1" t="str">
        <f>IFERROR(__xludf.DUMMYFUNCTION("""COMPUTED_VALUE"""),"+ 2,4 %")</f>
        <v>+ 2,4 %</v>
      </c>
    </row>
    <row r="142">
      <c r="A142" s="2">
        <f>IFERROR(__xludf.DUMMYFUNCTION("""COMPUTED_VALUE"""),41913.0)</f>
        <v>41913</v>
      </c>
      <c r="B142" s="1" t="str">
        <f>IFERROR(__xludf.DUMMYFUNCTION("""COMPUTED_VALUE"""),"3.333 €/m2")</f>
        <v>3.333 €/m2</v>
      </c>
      <c r="C142" s="1" t="str">
        <f>IFERROR(__xludf.DUMMYFUNCTION("""COMPUTED_VALUE"""),"+ 1,3 %")</f>
        <v>+ 1,3 %</v>
      </c>
      <c r="D142" s="1" t="str">
        <f>IFERROR(__xludf.DUMMYFUNCTION("""COMPUTED_VALUE"""),"+ 1,4 %")</f>
        <v>+ 1,4 %</v>
      </c>
      <c r="E142" s="1" t="str">
        <f>IFERROR(__xludf.DUMMYFUNCTION("""COMPUTED_VALUE"""),"+ 1,8 %")</f>
        <v>+ 1,8 %</v>
      </c>
    </row>
    <row r="143">
      <c r="A143" s="2">
        <f>IFERROR(__xludf.DUMMYFUNCTION("""COMPUTED_VALUE"""),41883.0)</f>
        <v>41883</v>
      </c>
      <c r="B143" s="1" t="str">
        <f>IFERROR(__xludf.DUMMYFUNCTION("""COMPUTED_VALUE"""),"3.292 €/m2")</f>
        <v>3.292 €/m2</v>
      </c>
      <c r="C143" s="1" t="str">
        <f>IFERROR(__xludf.DUMMYFUNCTION("""COMPUTED_VALUE"""),"+ 0,2 %")</f>
        <v>+ 0,2 %</v>
      </c>
      <c r="D143" s="1" t="str">
        <f>IFERROR(__xludf.DUMMYFUNCTION("""COMPUTED_VALUE"""),"0,0 %")</f>
        <v>0,0 %</v>
      </c>
      <c r="E143" s="1" t="str">
        <f>IFERROR(__xludf.DUMMYFUNCTION("""COMPUTED_VALUE"""),"+ 0,1 %")</f>
        <v>+ 0,1 %</v>
      </c>
    </row>
    <row r="144">
      <c r="A144" s="2">
        <f>IFERROR(__xludf.DUMMYFUNCTION("""COMPUTED_VALUE"""),41852.0)</f>
        <v>41852</v>
      </c>
      <c r="B144" s="1" t="str">
        <f>IFERROR(__xludf.DUMMYFUNCTION("""COMPUTED_VALUE"""),"3.286 €/m2")</f>
        <v>3.286 €/m2</v>
      </c>
      <c r="C144" s="1" t="str">
        <f>IFERROR(__xludf.DUMMYFUNCTION("""COMPUTED_VALUE"""),"0,0 %")</f>
        <v>0,0 %</v>
      </c>
      <c r="D144" s="1" t="str">
        <f>IFERROR(__xludf.DUMMYFUNCTION("""COMPUTED_VALUE"""),"- 0,1 %")</f>
        <v>- 0,1 %</v>
      </c>
      <c r="E144" s="1" t="str">
        <f>IFERROR(__xludf.DUMMYFUNCTION("""COMPUTED_VALUE"""),"+ 1,2 %")</f>
        <v>+ 1,2 %</v>
      </c>
    </row>
    <row r="145">
      <c r="A145" s="2">
        <f>IFERROR(__xludf.DUMMYFUNCTION("""COMPUTED_VALUE"""),41821.0)</f>
        <v>41821</v>
      </c>
      <c r="B145" s="1" t="str">
        <f>IFERROR(__xludf.DUMMYFUNCTION("""COMPUTED_VALUE"""),"3.286 €/m2")</f>
        <v>3.286 €/m2</v>
      </c>
      <c r="C145" s="1" t="str">
        <f>IFERROR(__xludf.DUMMYFUNCTION("""COMPUTED_VALUE"""),"- 0,1 %")</f>
        <v>- 0,1 %</v>
      </c>
      <c r="D145" s="1" t="str">
        <f>IFERROR(__xludf.DUMMYFUNCTION("""COMPUTED_VALUE"""),"+ 0,4 %")</f>
        <v>+ 0,4 %</v>
      </c>
      <c r="E145" s="1" t="str">
        <f>IFERROR(__xludf.DUMMYFUNCTION("""COMPUTED_VALUE"""),"+ 0,1 %")</f>
        <v>+ 0,1 %</v>
      </c>
    </row>
    <row r="146">
      <c r="A146" s="2">
        <f>IFERROR(__xludf.DUMMYFUNCTION("""COMPUTED_VALUE"""),41791.0)</f>
        <v>41791</v>
      </c>
      <c r="B146" s="1" t="str">
        <f>IFERROR(__xludf.DUMMYFUNCTION("""COMPUTED_VALUE"""),"3.291 €/m2")</f>
        <v>3.291 €/m2</v>
      </c>
      <c r="C146" s="1" t="str">
        <f>IFERROR(__xludf.DUMMYFUNCTION("""COMPUTED_VALUE"""),"+ 0,1 %")</f>
        <v>+ 0,1 %</v>
      </c>
      <c r="D146" s="1" t="str">
        <f>IFERROR(__xludf.DUMMYFUNCTION("""COMPUTED_VALUE"""),"+ 0,5 %")</f>
        <v>+ 0,5 %</v>
      </c>
      <c r="E146" s="1" t="str">
        <f>IFERROR(__xludf.DUMMYFUNCTION("""COMPUTED_VALUE"""),"+ 0,1 %")</f>
        <v>+ 0,1 %</v>
      </c>
    </row>
    <row r="147">
      <c r="A147" s="2">
        <f>IFERROR(__xludf.DUMMYFUNCTION("""COMPUTED_VALUE"""),41760.0)</f>
        <v>41760</v>
      </c>
      <c r="B147" s="1" t="str">
        <f>IFERROR(__xludf.DUMMYFUNCTION("""COMPUTED_VALUE"""),"3.289 €/m2")</f>
        <v>3.289 €/m2</v>
      </c>
      <c r="C147" s="1" t="str">
        <f>IFERROR(__xludf.DUMMYFUNCTION("""COMPUTED_VALUE"""),"+ 0,4 %")</f>
        <v>+ 0,4 %</v>
      </c>
      <c r="D147" s="1" t="str">
        <f>IFERROR(__xludf.DUMMYFUNCTION("""COMPUTED_VALUE"""),"+ 0,3 %")</f>
        <v>+ 0,3 %</v>
      </c>
      <c r="E147" s="1" t="str">
        <f>IFERROR(__xludf.DUMMYFUNCTION("""COMPUTED_VALUE"""),"- 1,0 %")</f>
        <v>- 1,0 %</v>
      </c>
    </row>
    <row r="148">
      <c r="A148" s="2">
        <f>IFERROR(__xludf.DUMMYFUNCTION("""COMPUTED_VALUE"""),41730.0)</f>
        <v>41730</v>
      </c>
      <c r="B148" s="1" t="str">
        <f>IFERROR(__xludf.DUMMYFUNCTION("""COMPUTED_VALUE"""),"3.274 €/m2")</f>
        <v>3.274 €/m2</v>
      </c>
      <c r="C148" s="1" t="str">
        <f>IFERROR(__xludf.DUMMYFUNCTION("""COMPUTED_VALUE"""),"0,0 %")</f>
        <v>0,0 %</v>
      </c>
      <c r="D148" s="1" t="str">
        <f>IFERROR(__xludf.DUMMYFUNCTION("""COMPUTED_VALUE"""),"+ 0,1 %")</f>
        <v>+ 0,1 %</v>
      </c>
      <c r="E148" s="1" t="str">
        <f>IFERROR(__xludf.DUMMYFUNCTION("""COMPUTED_VALUE"""),"- 1,9 %")</f>
        <v>- 1,9 %</v>
      </c>
    </row>
    <row r="149">
      <c r="A149" s="2">
        <f>IFERROR(__xludf.DUMMYFUNCTION("""COMPUTED_VALUE"""),41699.0)</f>
        <v>41699</v>
      </c>
      <c r="B149" s="1" t="str">
        <f>IFERROR(__xludf.DUMMYFUNCTION("""COMPUTED_VALUE"""),"3.274 €/m2")</f>
        <v>3.274 €/m2</v>
      </c>
      <c r="C149" s="1" t="str">
        <f>IFERROR(__xludf.DUMMYFUNCTION("""COMPUTED_VALUE"""),"- 0,2 %")</f>
        <v>- 0,2 %</v>
      </c>
      <c r="D149" s="1" t="str">
        <f>IFERROR(__xludf.DUMMYFUNCTION("""COMPUTED_VALUE"""),"+ 0,5 %")</f>
        <v>+ 0,5 %</v>
      </c>
      <c r="E149" s="1" t="str">
        <f>IFERROR(__xludf.DUMMYFUNCTION("""COMPUTED_VALUE"""),"- 2,9 %")</f>
        <v>- 2,9 %</v>
      </c>
    </row>
    <row r="150">
      <c r="A150" s="2">
        <f>IFERROR(__xludf.DUMMYFUNCTION("""COMPUTED_VALUE"""),41671.0)</f>
        <v>41671</v>
      </c>
      <c r="B150" s="1" t="str">
        <f>IFERROR(__xludf.DUMMYFUNCTION("""COMPUTED_VALUE"""),"3.279 €/m2")</f>
        <v>3.279 €/m2</v>
      </c>
      <c r="C150" s="1" t="str">
        <f>IFERROR(__xludf.DUMMYFUNCTION("""COMPUTED_VALUE"""),"+ 0,3 %")</f>
        <v>+ 0,3 %</v>
      </c>
      <c r="D150" s="1" t="str">
        <f>IFERROR(__xludf.DUMMYFUNCTION("""COMPUTED_VALUE"""),"+ 0,9 %")</f>
        <v>+ 0,9 %</v>
      </c>
      <c r="E150" s="1" t="str">
        <f>IFERROR(__xludf.DUMMYFUNCTION("""COMPUTED_VALUE"""),"- 3,6 %")</f>
        <v>- 3,6 %</v>
      </c>
    </row>
    <row r="151">
      <c r="A151" s="2">
        <f>IFERROR(__xludf.DUMMYFUNCTION("""COMPUTED_VALUE"""),41640.0)</f>
        <v>41640</v>
      </c>
      <c r="B151" s="1" t="str">
        <f>IFERROR(__xludf.DUMMYFUNCTION("""COMPUTED_VALUE"""),"3.270 €/m2")</f>
        <v>3.270 €/m2</v>
      </c>
      <c r="C151" s="1" t="str">
        <f>IFERROR(__xludf.DUMMYFUNCTION("""COMPUTED_VALUE"""),"+ 0,4 %")</f>
        <v>+ 0,4 %</v>
      </c>
      <c r="D151" s="1" t="str">
        <f>IFERROR(__xludf.DUMMYFUNCTION("""COMPUTED_VALUE"""),"- 0,1 %")</f>
        <v>- 0,1 %</v>
      </c>
      <c r="E151" s="1" t="str">
        <f>IFERROR(__xludf.DUMMYFUNCTION("""COMPUTED_VALUE"""),"- 4,0 %")</f>
        <v>- 4,0 %</v>
      </c>
    </row>
    <row r="152">
      <c r="A152" s="2">
        <f>IFERROR(__xludf.DUMMYFUNCTION("""COMPUTED_VALUE"""),41609.0)</f>
        <v>41609</v>
      </c>
      <c r="B152" s="1" t="str">
        <f>IFERROR(__xludf.DUMMYFUNCTION("""COMPUTED_VALUE"""),"3.258 €/m2")</f>
        <v>3.258 €/m2</v>
      </c>
      <c r="C152" s="1" t="str">
        <f>IFERROR(__xludf.DUMMYFUNCTION("""COMPUTED_VALUE"""),"+ 0,3 %")</f>
        <v>+ 0,3 %</v>
      </c>
      <c r="D152" s="1" t="str">
        <f>IFERROR(__xludf.DUMMYFUNCTION("""COMPUTED_VALUE"""),"- 0,9 %")</f>
        <v>- 0,9 %</v>
      </c>
      <c r="E152" s="1" t="str">
        <f>IFERROR(__xludf.DUMMYFUNCTION("""COMPUTED_VALUE"""),"- 4,7 %")</f>
        <v>- 4,7 %</v>
      </c>
    </row>
    <row r="153">
      <c r="A153" s="2">
        <f>IFERROR(__xludf.DUMMYFUNCTION("""COMPUTED_VALUE"""),41579.0)</f>
        <v>41579</v>
      </c>
      <c r="B153" s="1" t="str">
        <f>IFERROR(__xludf.DUMMYFUNCTION("""COMPUTED_VALUE"""),"3.249 €/m2")</f>
        <v>3.249 €/m2</v>
      </c>
      <c r="C153" s="1" t="str">
        <f>IFERROR(__xludf.DUMMYFUNCTION("""COMPUTED_VALUE"""),"- 0,8 %")</f>
        <v>- 0,8 %</v>
      </c>
      <c r="D153" s="1" t="str">
        <f>IFERROR(__xludf.DUMMYFUNCTION("""COMPUTED_VALUE"""),"0,0 %")</f>
        <v>0,0 %</v>
      </c>
      <c r="E153" s="1" t="str">
        <f>IFERROR(__xludf.DUMMYFUNCTION("""COMPUTED_VALUE"""),"- 6,4 %")</f>
        <v>- 6,4 %</v>
      </c>
    </row>
    <row r="154">
      <c r="A154" s="2">
        <f>IFERROR(__xludf.DUMMYFUNCTION("""COMPUTED_VALUE"""),41548.0)</f>
        <v>41548</v>
      </c>
      <c r="B154" s="1" t="str">
        <f>IFERROR(__xludf.DUMMYFUNCTION("""COMPUTED_VALUE"""),"3.274 €/m2")</f>
        <v>3.274 €/m2</v>
      </c>
      <c r="C154" s="1" t="str">
        <f>IFERROR(__xludf.DUMMYFUNCTION("""COMPUTED_VALUE"""),"- 0,4 %")</f>
        <v>- 0,4 %</v>
      </c>
      <c r="D154" s="1" t="str">
        <f>IFERROR(__xludf.DUMMYFUNCTION("""COMPUTED_VALUE"""),"- 0,3 %")</f>
        <v>- 0,3 %</v>
      </c>
      <c r="E154" s="1" t="str">
        <f>IFERROR(__xludf.DUMMYFUNCTION("""COMPUTED_VALUE"""),"- 6,8 %")</f>
        <v>- 6,8 %</v>
      </c>
    </row>
    <row r="155">
      <c r="A155" s="2">
        <f>IFERROR(__xludf.DUMMYFUNCTION("""COMPUTED_VALUE"""),41518.0)</f>
        <v>41518</v>
      </c>
      <c r="B155" s="1" t="str">
        <f>IFERROR(__xludf.DUMMYFUNCTION("""COMPUTED_VALUE"""),"3.289 €/m2")</f>
        <v>3.289 €/m2</v>
      </c>
      <c r="C155" s="1" t="str">
        <f>IFERROR(__xludf.DUMMYFUNCTION("""COMPUTED_VALUE"""),"+ 1,3 %")</f>
        <v>+ 1,3 %</v>
      </c>
      <c r="D155" s="1" t="str">
        <f>IFERROR(__xludf.DUMMYFUNCTION("""COMPUTED_VALUE"""),"+ 0,1 %")</f>
        <v>+ 0,1 %</v>
      </c>
      <c r="E155" s="1" t="str">
        <f>IFERROR(__xludf.DUMMYFUNCTION("""COMPUTED_VALUE"""),"- 6,0 %")</f>
        <v>- 6,0 %</v>
      </c>
    </row>
    <row r="156">
      <c r="A156" s="2">
        <f>IFERROR(__xludf.DUMMYFUNCTION("""COMPUTED_VALUE"""),41487.0)</f>
        <v>41487</v>
      </c>
      <c r="B156" s="1" t="str">
        <f>IFERROR(__xludf.DUMMYFUNCTION("""COMPUTED_VALUE"""),"3.248 €/m2")</f>
        <v>3.248 €/m2</v>
      </c>
      <c r="C156" s="1" t="str">
        <f>IFERROR(__xludf.DUMMYFUNCTION("""COMPUTED_VALUE"""),"- 1,1 %")</f>
        <v>- 1,1 %</v>
      </c>
      <c r="D156" s="1" t="str">
        <f>IFERROR(__xludf.DUMMYFUNCTION("""COMPUTED_VALUE"""),"- 2,2 %")</f>
        <v>- 2,2 %</v>
      </c>
      <c r="E156" s="1" t="str">
        <f>IFERROR(__xludf.DUMMYFUNCTION("""COMPUTED_VALUE"""),"- 7,2 %")</f>
        <v>- 7,2 %</v>
      </c>
    </row>
    <row r="157">
      <c r="A157" s="2">
        <f>IFERROR(__xludf.DUMMYFUNCTION("""COMPUTED_VALUE"""),41456.0)</f>
        <v>41456</v>
      </c>
      <c r="B157" s="1" t="str">
        <f>IFERROR(__xludf.DUMMYFUNCTION("""COMPUTED_VALUE"""),"3.282 €/m2")</f>
        <v>3.282 €/m2</v>
      </c>
      <c r="C157" s="1" t="str">
        <f>IFERROR(__xludf.DUMMYFUNCTION("""COMPUTED_VALUE"""),"- 0,1 %")</f>
        <v>- 0,1 %</v>
      </c>
      <c r="D157" s="1" t="str">
        <f>IFERROR(__xludf.DUMMYFUNCTION("""COMPUTED_VALUE"""),"- 1,7 %")</f>
        <v>- 1,7 %</v>
      </c>
      <c r="E157" s="1" t="str">
        <f>IFERROR(__xludf.DUMMYFUNCTION("""COMPUTED_VALUE"""),"- 6,8 %")</f>
        <v>- 6,8 %</v>
      </c>
    </row>
    <row r="158">
      <c r="A158" s="2">
        <f>IFERROR(__xludf.DUMMYFUNCTION("""COMPUTED_VALUE"""),41426.0)</f>
        <v>41426</v>
      </c>
      <c r="B158" s="1" t="str">
        <f>IFERROR(__xludf.DUMMYFUNCTION("""COMPUTED_VALUE"""),"3.286 €/m2")</f>
        <v>3.286 €/m2</v>
      </c>
      <c r="C158" s="1" t="str">
        <f>IFERROR(__xludf.DUMMYFUNCTION("""COMPUTED_VALUE"""),"- 1,0 %")</f>
        <v>- 1,0 %</v>
      </c>
      <c r="D158" s="1" t="str">
        <f>IFERROR(__xludf.DUMMYFUNCTION("""COMPUTED_VALUE"""),"- 2,5 %")</f>
        <v>- 2,5 %</v>
      </c>
      <c r="E158" s="1" t="str">
        <f>IFERROR(__xludf.DUMMYFUNCTION("""COMPUTED_VALUE"""),"- 8,1 %")</f>
        <v>- 8,1 %</v>
      </c>
    </row>
    <row r="159">
      <c r="A159" s="2">
        <f>IFERROR(__xludf.DUMMYFUNCTION("""COMPUTED_VALUE"""),41395.0)</f>
        <v>41395</v>
      </c>
      <c r="B159" s="1" t="str">
        <f>IFERROR(__xludf.DUMMYFUNCTION("""COMPUTED_VALUE"""),"3.321 €/m2")</f>
        <v>3.321 €/m2</v>
      </c>
      <c r="C159" s="1" t="str">
        <f>IFERROR(__xludf.DUMMYFUNCTION("""COMPUTED_VALUE"""),"- 0,5 %")</f>
        <v>- 0,5 %</v>
      </c>
      <c r="D159" s="1" t="str">
        <f>IFERROR(__xludf.DUMMYFUNCTION("""COMPUTED_VALUE"""),"- 2,3 %")</f>
        <v>- 2,3 %</v>
      </c>
      <c r="E159" s="1" t="str">
        <f>IFERROR(__xludf.DUMMYFUNCTION("""COMPUTED_VALUE"""),"- 7,8 %")</f>
        <v>- 7,8 %</v>
      </c>
    </row>
    <row r="160">
      <c r="A160" s="2">
        <f>IFERROR(__xludf.DUMMYFUNCTION("""COMPUTED_VALUE"""),41365.0)</f>
        <v>41365</v>
      </c>
      <c r="B160" s="1" t="str">
        <f>IFERROR(__xludf.DUMMYFUNCTION("""COMPUTED_VALUE"""),"3.338 €/m2")</f>
        <v>3.338 €/m2</v>
      </c>
      <c r="C160" s="1" t="str">
        <f>IFERROR(__xludf.DUMMYFUNCTION("""COMPUTED_VALUE"""),"- 1,0 %")</f>
        <v>- 1,0 %</v>
      </c>
      <c r="D160" s="1" t="str">
        <f>IFERROR(__xludf.DUMMYFUNCTION("""COMPUTED_VALUE"""),"- 2,0 %")</f>
        <v>- 2,0 %</v>
      </c>
      <c r="E160" s="1" t="str">
        <f>IFERROR(__xludf.DUMMYFUNCTION("""COMPUTED_VALUE"""),"- 8,8 %")</f>
        <v>- 8,8 %</v>
      </c>
    </row>
    <row r="161">
      <c r="A161" s="2">
        <f>IFERROR(__xludf.DUMMYFUNCTION("""COMPUTED_VALUE"""),41334.0)</f>
        <v>41334</v>
      </c>
      <c r="B161" s="1" t="str">
        <f>IFERROR(__xludf.DUMMYFUNCTION("""COMPUTED_VALUE"""),"3.370 €/m2")</f>
        <v>3.370 €/m2</v>
      </c>
      <c r="C161" s="1" t="str">
        <f>IFERROR(__xludf.DUMMYFUNCTION("""COMPUTED_VALUE"""),"- 0,9 %")</f>
        <v>- 0,9 %</v>
      </c>
      <c r="D161" s="1" t="str">
        <f>IFERROR(__xludf.DUMMYFUNCTION("""COMPUTED_VALUE"""),"- 1,4 %")</f>
        <v>- 1,4 %</v>
      </c>
      <c r="E161" s="1" t="str">
        <f>IFERROR(__xludf.DUMMYFUNCTION("""COMPUTED_VALUE"""),"- 9,1 %")</f>
        <v>- 9,1 %</v>
      </c>
    </row>
    <row r="162">
      <c r="A162" s="2">
        <f>IFERROR(__xludf.DUMMYFUNCTION("""COMPUTED_VALUE"""),41306.0)</f>
        <v>41306</v>
      </c>
      <c r="B162" s="1" t="str">
        <f>IFERROR(__xludf.DUMMYFUNCTION("""COMPUTED_VALUE"""),"3.400 €/m2")</f>
        <v>3.400 €/m2</v>
      </c>
      <c r="C162" s="1" t="str">
        <f>IFERROR(__xludf.DUMMYFUNCTION("""COMPUTED_VALUE"""),"- 0,2 %")</f>
        <v>- 0,2 %</v>
      </c>
      <c r="D162" s="1" t="str">
        <f>IFERROR(__xludf.DUMMYFUNCTION("""COMPUTED_VALUE"""),"- 2,1 %")</f>
        <v>- 2,1 %</v>
      </c>
      <c r="E162" s="1" t="str">
        <f>IFERROR(__xludf.DUMMYFUNCTION("""COMPUTED_VALUE"""),"- 9,2 %")</f>
        <v>- 9,2 %</v>
      </c>
    </row>
    <row r="163">
      <c r="A163" s="2">
        <f>IFERROR(__xludf.DUMMYFUNCTION("""COMPUTED_VALUE"""),41275.0)</f>
        <v>41275</v>
      </c>
      <c r="B163" s="1" t="str">
        <f>IFERROR(__xludf.DUMMYFUNCTION("""COMPUTED_VALUE"""),"3.407 €/m2")</f>
        <v>3.407 €/m2</v>
      </c>
      <c r="C163" s="1" t="str">
        <f>IFERROR(__xludf.DUMMYFUNCTION("""COMPUTED_VALUE"""),"- 0,4 %")</f>
        <v>- 0,4 %</v>
      </c>
      <c r="D163" s="1" t="str">
        <f>IFERROR(__xludf.DUMMYFUNCTION("""COMPUTED_VALUE"""),"- 3,0 %")</f>
        <v>- 3,0 %</v>
      </c>
      <c r="E163" s="1" t="str">
        <f>IFERROR(__xludf.DUMMYFUNCTION("""COMPUTED_VALUE"""),"- 9,4 %")</f>
        <v>- 9,4 %</v>
      </c>
    </row>
    <row r="164">
      <c r="A164" s="2">
        <f>IFERROR(__xludf.DUMMYFUNCTION("""COMPUTED_VALUE"""),41244.0)</f>
        <v>41244</v>
      </c>
      <c r="B164" s="1" t="str">
        <f>IFERROR(__xludf.DUMMYFUNCTION("""COMPUTED_VALUE"""),"3.419 €/m2")</f>
        <v>3.419 €/m2</v>
      </c>
      <c r="C164" s="1" t="str">
        <f>IFERROR(__xludf.DUMMYFUNCTION("""COMPUTED_VALUE"""),"- 1,5 %")</f>
        <v>- 1,5 %</v>
      </c>
      <c r="D164" s="1" t="str">
        <f>IFERROR(__xludf.DUMMYFUNCTION("""COMPUTED_VALUE"""),"- 2,3 %")</f>
        <v>- 2,3 %</v>
      </c>
      <c r="E164" s="1" t="str">
        <f>IFERROR(__xludf.DUMMYFUNCTION("""COMPUTED_VALUE"""),"- 9,4 %")</f>
        <v>- 9,4 %</v>
      </c>
    </row>
    <row r="165">
      <c r="A165" s="2">
        <f>IFERROR(__xludf.DUMMYFUNCTION("""COMPUTED_VALUE"""),41214.0)</f>
        <v>41214</v>
      </c>
      <c r="B165" s="1" t="str">
        <f>IFERROR(__xludf.DUMMYFUNCTION("""COMPUTED_VALUE"""),"3.472 €/m2")</f>
        <v>3.472 €/m2</v>
      </c>
      <c r="C165" s="1" t="str">
        <f>IFERROR(__xludf.DUMMYFUNCTION("""COMPUTED_VALUE"""),"- 1,2 %")</f>
        <v>- 1,2 %</v>
      </c>
      <c r="D165" s="1" t="str">
        <f>IFERROR(__xludf.DUMMYFUNCTION("""COMPUTED_VALUE"""),"- 0,8 %")</f>
        <v>- 0,8 %</v>
      </c>
      <c r="E165" s="1" t="str">
        <f>IFERROR(__xludf.DUMMYFUNCTION("""COMPUTED_VALUE"""),"- 8,8 %")</f>
        <v>- 8,8 %</v>
      </c>
    </row>
    <row r="166">
      <c r="A166" s="2">
        <f>IFERROR(__xludf.DUMMYFUNCTION("""COMPUTED_VALUE"""),41183.0)</f>
        <v>41183</v>
      </c>
      <c r="B166" s="1" t="str">
        <f>IFERROR(__xludf.DUMMYFUNCTION("""COMPUTED_VALUE"""),"3.514 €/m2")</f>
        <v>3.514 €/m2</v>
      </c>
      <c r="C166" s="1" t="str">
        <f>IFERROR(__xludf.DUMMYFUNCTION("""COMPUTED_VALUE"""),"+ 0,4 %")</f>
        <v>+ 0,4 %</v>
      </c>
      <c r="D166" s="1" t="str">
        <f>IFERROR(__xludf.DUMMYFUNCTION("""COMPUTED_VALUE"""),"- 0,3 %")</f>
        <v>- 0,3 %</v>
      </c>
      <c r="E166" s="1" t="str">
        <f>IFERROR(__xludf.DUMMYFUNCTION("""COMPUTED_VALUE"""),"- 7,8 %")</f>
        <v>- 7,8 %</v>
      </c>
    </row>
    <row r="167">
      <c r="A167" s="2">
        <f>IFERROR(__xludf.DUMMYFUNCTION("""COMPUTED_VALUE"""),41153.0)</f>
        <v>41153</v>
      </c>
      <c r="B167" s="1" t="str">
        <f>IFERROR(__xludf.DUMMYFUNCTION("""COMPUTED_VALUE"""),"3.500 €/m2")</f>
        <v>3.500 €/m2</v>
      </c>
      <c r="C167" s="1" t="str">
        <f>IFERROR(__xludf.DUMMYFUNCTION("""COMPUTED_VALUE"""),"0,0 %")</f>
        <v>0,0 %</v>
      </c>
      <c r="D167" s="1" t="str">
        <f>IFERROR(__xludf.DUMMYFUNCTION("""COMPUTED_VALUE"""),"- 2,1 %")</f>
        <v>- 2,1 %</v>
      </c>
      <c r="E167" s="1" t="str">
        <f>IFERROR(__xludf.DUMMYFUNCTION("""COMPUTED_VALUE"""),"- 8,0 %")</f>
        <v>- 8,0 %</v>
      </c>
    </row>
    <row r="168">
      <c r="A168" s="2">
        <f>IFERROR(__xludf.DUMMYFUNCTION("""COMPUTED_VALUE"""),41122.0)</f>
        <v>41122</v>
      </c>
      <c r="B168" s="1" t="str">
        <f>IFERROR(__xludf.DUMMYFUNCTION("""COMPUTED_VALUE"""),"3.499 €/m2")</f>
        <v>3.499 €/m2</v>
      </c>
      <c r="C168" s="1" t="str">
        <f>IFERROR(__xludf.DUMMYFUNCTION("""COMPUTED_VALUE"""),"- 0,7 %")</f>
        <v>- 0,7 %</v>
      </c>
      <c r="D168" s="1" t="str">
        <f>IFERROR(__xludf.DUMMYFUNCTION("""COMPUTED_VALUE"""),"- 2,9 %")</f>
        <v>- 2,9 %</v>
      </c>
      <c r="E168" s="1" t="str">
        <f>IFERROR(__xludf.DUMMYFUNCTION("""COMPUTED_VALUE"""),"- 8,2 %")</f>
        <v>- 8,2 %</v>
      </c>
    </row>
    <row r="169">
      <c r="A169" s="2">
        <f>IFERROR(__xludf.DUMMYFUNCTION("""COMPUTED_VALUE"""),41091.0)</f>
        <v>41091</v>
      </c>
      <c r="B169" s="1" t="str">
        <f>IFERROR(__xludf.DUMMYFUNCTION("""COMPUTED_VALUE"""),"3.523 €/m2")</f>
        <v>3.523 €/m2</v>
      </c>
      <c r="C169" s="1" t="str">
        <f>IFERROR(__xludf.DUMMYFUNCTION("""COMPUTED_VALUE"""),"- 1,5 %")</f>
        <v>- 1,5 %</v>
      </c>
      <c r="D169" s="1" t="str">
        <f>IFERROR(__xludf.DUMMYFUNCTION("""COMPUTED_VALUE"""),"- 3,8 %")</f>
        <v>- 3,8 %</v>
      </c>
      <c r="E169" s="1" t="str">
        <f>IFERROR(__xludf.DUMMYFUNCTION("""COMPUTED_VALUE"""),"- 8,5 %")</f>
        <v>- 8,5 %</v>
      </c>
    </row>
    <row r="170">
      <c r="A170" s="2">
        <f>IFERROR(__xludf.DUMMYFUNCTION("""COMPUTED_VALUE"""),41061.0)</f>
        <v>41061</v>
      </c>
      <c r="B170" s="1" t="str">
        <f>IFERROR(__xludf.DUMMYFUNCTION("""COMPUTED_VALUE"""),"3.576 €/m2")</f>
        <v>3.576 €/m2</v>
      </c>
      <c r="C170" s="1" t="str">
        <f>IFERROR(__xludf.DUMMYFUNCTION("""COMPUTED_VALUE"""),"- 0,8 %")</f>
        <v>- 0,8 %</v>
      </c>
      <c r="D170" s="1" t="str">
        <f>IFERROR(__xludf.DUMMYFUNCTION("""COMPUTED_VALUE"""),"- 3,6 %")</f>
        <v>- 3,6 %</v>
      </c>
      <c r="E170" s="1" t="str">
        <f>IFERROR(__xludf.DUMMYFUNCTION("""COMPUTED_VALUE"""),"- 8,1 %")</f>
        <v>- 8,1 %</v>
      </c>
    </row>
    <row r="171">
      <c r="A171" s="2">
        <f>IFERROR(__xludf.DUMMYFUNCTION("""COMPUTED_VALUE"""),41030.0)</f>
        <v>41030</v>
      </c>
      <c r="B171" s="1" t="str">
        <f>IFERROR(__xludf.DUMMYFUNCTION("""COMPUTED_VALUE"""),"3.603 €/m2")</f>
        <v>3.603 €/m2</v>
      </c>
      <c r="C171" s="1" t="str">
        <f>IFERROR(__xludf.DUMMYFUNCTION("""COMPUTED_VALUE"""),"- 1,6 %")</f>
        <v>- 1,6 %</v>
      </c>
      <c r="D171" s="1" t="str">
        <f>IFERROR(__xludf.DUMMYFUNCTION("""COMPUTED_VALUE"""),"- 3,8 %")</f>
        <v>- 3,8 %</v>
      </c>
      <c r="E171" s="1" t="str">
        <f>IFERROR(__xludf.DUMMYFUNCTION("""COMPUTED_VALUE"""),"- 8,6 %")</f>
        <v>- 8,6 %</v>
      </c>
    </row>
    <row r="172">
      <c r="A172" s="2">
        <f>IFERROR(__xludf.DUMMYFUNCTION("""COMPUTED_VALUE"""),41000.0)</f>
        <v>41000</v>
      </c>
      <c r="B172" s="1" t="str">
        <f>IFERROR(__xludf.DUMMYFUNCTION("""COMPUTED_VALUE"""),"3.661 €/m2")</f>
        <v>3.661 €/m2</v>
      </c>
      <c r="C172" s="1" t="str">
        <f>IFERROR(__xludf.DUMMYFUNCTION("""COMPUTED_VALUE"""),"- 1,3 %")</f>
        <v>- 1,3 %</v>
      </c>
      <c r="D172" s="1" t="str">
        <f>IFERROR(__xludf.DUMMYFUNCTION("""COMPUTED_VALUE"""),"- 2,7 %")</f>
        <v>- 2,7 %</v>
      </c>
      <c r="E172" s="1" t="str">
        <f>IFERROR(__xludf.DUMMYFUNCTION("""COMPUTED_VALUE"""),"- 7,5 %")</f>
        <v>- 7,5 %</v>
      </c>
    </row>
    <row r="173">
      <c r="A173" s="2">
        <f>IFERROR(__xludf.DUMMYFUNCTION("""COMPUTED_VALUE"""),40969.0)</f>
        <v>40969</v>
      </c>
      <c r="B173" s="1" t="str">
        <f>IFERROR(__xludf.DUMMYFUNCTION("""COMPUTED_VALUE"""),"3.709 €/m2")</f>
        <v>3.709 €/m2</v>
      </c>
      <c r="C173" s="1" t="str">
        <f>IFERROR(__xludf.DUMMYFUNCTION("""COMPUTED_VALUE"""),"- 0,9 %")</f>
        <v>- 0,9 %</v>
      </c>
      <c r="D173" s="1" t="str">
        <f>IFERROR(__xludf.DUMMYFUNCTION("""COMPUTED_VALUE"""),"- 1,7 %")</f>
        <v>- 1,7 %</v>
      </c>
      <c r="E173" s="1" t="str">
        <f>IFERROR(__xludf.DUMMYFUNCTION("""COMPUTED_VALUE"""),"- 7,0 %")</f>
        <v>- 7,0 %</v>
      </c>
    </row>
    <row r="174">
      <c r="A174" s="2">
        <f>IFERROR(__xludf.DUMMYFUNCTION("""COMPUTED_VALUE"""),40940.0)</f>
        <v>40940</v>
      </c>
      <c r="B174" s="1" t="str">
        <f>IFERROR(__xludf.DUMMYFUNCTION("""COMPUTED_VALUE"""),"3.744 €/m2")</f>
        <v>3.744 €/m2</v>
      </c>
      <c r="C174" s="1" t="str">
        <f>IFERROR(__xludf.DUMMYFUNCTION("""COMPUTED_VALUE"""),"- 0,5 %")</f>
        <v>- 0,5 %</v>
      </c>
      <c r="D174" s="1" t="str">
        <f>IFERROR(__xludf.DUMMYFUNCTION("""COMPUTED_VALUE"""),"- 1,7 %")</f>
        <v>- 1,7 %</v>
      </c>
      <c r="E174" s="1" t="str">
        <f>IFERROR(__xludf.DUMMYFUNCTION("""COMPUTED_VALUE"""),"- 6,1 %")</f>
        <v>- 6,1 %</v>
      </c>
    </row>
    <row r="175">
      <c r="A175" s="2">
        <f>IFERROR(__xludf.DUMMYFUNCTION("""COMPUTED_VALUE"""),40909.0)</f>
        <v>40909</v>
      </c>
      <c r="B175" s="1" t="str">
        <f>IFERROR(__xludf.DUMMYFUNCTION("""COMPUTED_VALUE"""),"3.761 €/m2")</f>
        <v>3.761 €/m2</v>
      </c>
      <c r="C175" s="1" t="str">
        <f>IFERROR(__xludf.DUMMYFUNCTION("""COMPUTED_VALUE"""),"- 0,3 %")</f>
        <v>- 0,3 %</v>
      </c>
      <c r="D175" s="1" t="str">
        <f>IFERROR(__xludf.DUMMYFUNCTION("""COMPUTED_VALUE"""),"- 1,3 %")</f>
        <v>- 1,3 %</v>
      </c>
      <c r="E175" s="1" t="str">
        <f>IFERROR(__xludf.DUMMYFUNCTION("""COMPUTED_VALUE"""),"- 5,7 %")</f>
        <v>- 5,7 %</v>
      </c>
    </row>
    <row r="176">
      <c r="A176" s="2">
        <f>IFERROR(__xludf.DUMMYFUNCTION("""COMPUTED_VALUE"""),40878.0)</f>
        <v>40878</v>
      </c>
      <c r="B176" s="1" t="str">
        <f>IFERROR(__xludf.DUMMYFUNCTION("""COMPUTED_VALUE"""),"3.772 €/m2")</f>
        <v>3.772 €/m2</v>
      </c>
      <c r="C176" s="1" t="str">
        <f>IFERROR(__xludf.DUMMYFUNCTION("""COMPUTED_VALUE"""),"- 0,9 %")</f>
        <v>- 0,9 %</v>
      </c>
      <c r="D176" s="1" t="str">
        <f>IFERROR(__xludf.DUMMYFUNCTION("""COMPUTED_VALUE"""),"- 0,8 %")</f>
        <v>- 0,8 %</v>
      </c>
      <c r="E176" s="1" t="str">
        <f>IFERROR(__xludf.DUMMYFUNCTION("""COMPUTED_VALUE"""),"- 5,4 %")</f>
        <v>- 5,4 %</v>
      </c>
    </row>
    <row r="177">
      <c r="A177" s="2">
        <f>IFERROR(__xludf.DUMMYFUNCTION("""COMPUTED_VALUE"""),40848.0)</f>
        <v>40848</v>
      </c>
      <c r="B177" s="1" t="str">
        <f>IFERROR(__xludf.DUMMYFUNCTION("""COMPUTED_VALUE"""),"3.808 €/m2")</f>
        <v>3.808 €/m2</v>
      </c>
      <c r="C177" s="1" t="str">
        <f>IFERROR(__xludf.DUMMYFUNCTION("""COMPUTED_VALUE"""),"- 0,1 %")</f>
        <v>- 0,1 %</v>
      </c>
      <c r="D177" s="1" t="str">
        <f>IFERROR(__xludf.DUMMYFUNCTION("""COMPUTED_VALUE"""),"- 0,1 %")</f>
        <v>- 0,1 %</v>
      </c>
      <c r="E177" s="1" t="str">
        <f>IFERROR(__xludf.DUMMYFUNCTION("""COMPUTED_VALUE"""),"- 5,0 %")</f>
        <v>- 5,0 %</v>
      </c>
    </row>
    <row r="178">
      <c r="A178" s="2">
        <f>IFERROR(__xludf.DUMMYFUNCTION("""COMPUTED_VALUE"""),40817.0)</f>
        <v>40817</v>
      </c>
      <c r="B178" s="1" t="str">
        <f>IFERROR(__xludf.DUMMYFUNCTION("""COMPUTED_VALUE"""),"3.811 €/m2")</f>
        <v>3.811 €/m2</v>
      </c>
      <c r="C178" s="1" t="str">
        <f>IFERROR(__xludf.DUMMYFUNCTION("""COMPUTED_VALUE"""),"+ 0,2 %")</f>
        <v>+ 0,2 %</v>
      </c>
      <c r="D178" s="1" t="str">
        <f>IFERROR(__xludf.DUMMYFUNCTION("""COMPUTED_VALUE"""),"- 1,1 %")</f>
        <v>- 1,1 %</v>
      </c>
      <c r="E178" s="1" t="str">
        <f>IFERROR(__xludf.DUMMYFUNCTION("""COMPUTED_VALUE"""),"- 4,4 %")</f>
        <v>- 4,4 %</v>
      </c>
    </row>
    <row r="179">
      <c r="A179" s="2">
        <f>IFERROR(__xludf.DUMMYFUNCTION("""COMPUTED_VALUE"""),40787.0)</f>
        <v>40787</v>
      </c>
      <c r="B179" s="1" t="str">
        <f>IFERROR(__xludf.DUMMYFUNCTION("""COMPUTED_VALUE"""),"3.804 €/m2")</f>
        <v>3.804 €/m2</v>
      </c>
      <c r="C179" s="1" t="str">
        <f>IFERROR(__xludf.DUMMYFUNCTION("""COMPUTED_VALUE"""),"- 0,2 %")</f>
        <v>- 0,2 %</v>
      </c>
      <c r="D179" s="1" t="str">
        <f>IFERROR(__xludf.DUMMYFUNCTION("""COMPUTED_VALUE"""),"- 2,2 %")</f>
        <v>- 2,2 %</v>
      </c>
      <c r="E179" s="1" t="str">
        <f>IFERROR(__xludf.DUMMYFUNCTION("""COMPUTED_VALUE"""),"- 3,8 %")</f>
        <v>- 3,8 %</v>
      </c>
    </row>
    <row r="180">
      <c r="A180" s="2">
        <f>IFERROR(__xludf.DUMMYFUNCTION("""COMPUTED_VALUE"""),40756.0)</f>
        <v>40756</v>
      </c>
      <c r="B180" s="1" t="str">
        <f>IFERROR(__xludf.DUMMYFUNCTION("""COMPUTED_VALUE"""),"3.813 €/m2")</f>
        <v>3.813 €/m2</v>
      </c>
      <c r="C180" s="1" t="str">
        <f>IFERROR(__xludf.DUMMYFUNCTION("""COMPUTED_VALUE"""),"- 1,0 %")</f>
        <v>- 1,0 %</v>
      </c>
      <c r="D180" s="1" t="str">
        <f>IFERROR(__xludf.DUMMYFUNCTION("""COMPUTED_VALUE"""),"- 3,2 %")</f>
        <v>- 3,2 %</v>
      </c>
      <c r="E180" s="1" t="str">
        <f>IFERROR(__xludf.DUMMYFUNCTION("""COMPUTED_VALUE"""),"- 4,2 %")</f>
        <v>- 4,2 %</v>
      </c>
    </row>
    <row r="181">
      <c r="A181" s="2">
        <f>IFERROR(__xludf.DUMMYFUNCTION("""COMPUTED_VALUE"""),40725.0)</f>
        <v>40725</v>
      </c>
      <c r="B181" s="1" t="str">
        <f>IFERROR(__xludf.DUMMYFUNCTION("""COMPUTED_VALUE"""),"3.851 €/m2")</f>
        <v>3.851 €/m2</v>
      </c>
      <c r="C181" s="1" t="str">
        <f>IFERROR(__xludf.DUMMYFUNCTION("""COMPUTED_VALUE"""),"- 1,0 %")</f>
        <v>- 1,0 %</v>
      </c>
      <c r="D181" s="1" t="str">
        <f>IFERROR(__xludf.DUMMYFUNCTION("""COMPUTED_VALUE"""),"- 2,7 %")</f>
        <v>- 2,7 %</v>
      </c>
      <c r="E181" s="1" t="str">
        <f>IFERROR(__xludf.DUMMYFUNCTION("""COMPUTED_VALUE"""),"- 3,1 %")</f>
        <v>- 3,1 %</v>
      </c>
    </row>
    <row r="182">
      <c r="A182" s="2">
        <f>IFERROR(__xludf.DUMMYFUNCTION("""COMPUTED_VALUE"""),40695.0)</f>
        <v>40695</v>
      </c>
      <c r="B182" s="1" t="str">
        <f>IFERROR(__xludf.DUMMYFUNCTION("""COMPUTED_VALUE"""),"3.890 €/m2")</f>
        <v>3.890 €/m2</v>
      </c>
      <c r="C182" s="1" t="str">
        <f>IFERROR(__xludf.DUMMYFUNCTION("""COMPUTED_VALUE"""),"- 1,3 %")</f>
        <v>- 1,3 %</v>
      </c>
      <c r="D182" s="1" t="str">
        <f>IFERROR(__xludf.DUMMYFUNCTION("""COMPUTED_VALUE"""),"- 2,5 %")</f>
        <v>- 2,5 %</v>
      </c>
      <c r="E182" s="1" t="str">
        <f>IFERROR(__xludf.DUMMYFUNCTION("""COMPUTED_VALUE"""),"- 2,6 %")</f>
        <v>- 2,6 %</v>
      </c>
    </row>
    <row r="183">
      <c r="A183" s="2">
        <f>IFERROR(__xludf.DUMMYFUNCTION("""COMPUTED_VALUE"""),40664.0)</f>
        <v>40664</v>
      </c>
      <c r="B183" s="1" t="str">
        <f>IFERROR(__xludf.DUMMYFUNCTION("""COMPUTED_VALUE"""),"3.941 €/m2")</f>
        <v>3.941 €/m2</v>
      </c>
      <c r="C183" s="1" t="str">
        <f>IFERROR(__xludf.DUMMYFUNCTION("""COMPUTED_VALUE"""),"- 0,4 %")</f>
        <v>- 0,4 %</v>
      </c>
      <c r="D183" s="1" t="str">
        <f>IFERROR(__xludf.DUMMYFUNCTION("""COMPUTED_VALUE"""),"- 1,2 %")</f>
        <v>- 1,2 %</v>
      </c>
      <c r="E183" s="1" t="str">
        <f>IFERROR(__xludf.DUMMYFUNCTION("""COMPUTED_VALUE"""),"- 1,4 %")</f>
        <v>- 1,4 %</v>
      </c>
    </row>
    <row r="184">
      <c r="A184" s="2">
        <f>IFERROR(__xludf.DUMMYFUNCTION("""COMPUTED_VALUE"""),40634.0)</f>
        <v>40634</v>
      </c>
      <c r="B184" s="1" t="str">
        <f>IFERROR(__xludf.DUMMYFUNCTION("""COMPUTED_VALUE"""),"3.958 €/m2")</f>
        <v>3.958 €/m2</v>
      </c>
      <c r="C184" s="1" t="str">
        <f>IFERROR(__xludf.DUMMYFUNCTION("""COMPUTED_VALUE"""),"- 0,8 %")</f>
        <v>- 0,8 %</v>
      </c>
      <c r="D184" s="1" t="str">
        <f>IFERROR(__xludf.DUMMYFUNCTION("""COMPUTED_VALUE"""),"- 0,8 %")</f>
        <v>- 0,8 %</v>
      </c>
      <c r="E184" s="1" t="str">
        <f>IFERROR(__xludf.DUMMYFUNCTION("""COMPUTED_VALUE"""),"- 1,3 %")</f>
        <v>- 1,3 %</v>
      </c>
    </row>
    <row r="185">
      <c r="A185" s="2">
        <f>IFERROR(__xludf.DUMMYFUNCTION("""COMPUTED_VALUE"""),40603.0)</f>
        <v>40603</v>
      </c>
      <c r="B185" s="1" t="str">
        <f>IFERROR(__xludf.DUMMYFUNCTION("""COMPUTED_VALUE"""),"3.989 €/m2")</f>
        <v>3.989 €/m2</v>
      </c>
      <c r="C185" s="1" t="str">
        <f>IFERROR(__xludf.DUMMYFUNCTION("""COMPUTED_VALUE"""),"0,0 %")</f>
        <v>0,0 %</v>
      </c>
      <c r="D185" s="1" t="str">
        <f>IFERROR(__xludf.DUMMYFUNCTION("""COMPUTED_VALUE"""),"+ 0,1 %")</f>
        <v>+ 0,1 %</v>
      </c>
      <c r="E185" s="1" t="str">
        <f>IFERROR(__xludf.DUMMYFUNCTION("""COMPUTED_VALUE"""),"- 1,0 %")</f>
        <v>- 1,0 %</v>
      </c>
    </row>
    <row r="186">
      <c r="A186" s="2">
        <f>IFERROR(__xludf.DUMMYFUNCTION("""COMPUTED_VALUE"""),40575.0)</f>
        <v>40575</v>
      </c>
      <c r="B186" s="1" t="str">
        <f>IFERROR(__xludf.DUMMYFUNCTION("""COMPUTED_VALUE"""),"3.988 €/m2")</f>
        <v>3.988 €/m2</v>
      </c>
      <c r="C186" s="1" t="str">
        <f>IFERROR(__xludf.DUMMYFUNCTION("""COMPUTED_VALUE"""),"0,0 %")</f>
        <v>0,0 %</v>
      </c>
      <c r="D186" s="1" t="str">
        <f>IFERROR(__xludf.DUMMYFUNCTION("""COMPUTED_VALUE"""),"- 0,5 %")</f>
        <v>- 0,5 %</v>
      </c>
      <c r="E186" s="1" t="str">
        <f>IFERROR(__xludf.DUMMYFUNCTION("""COMPUTED_VALUE"""),"- 1,0 %")</f>
        <v>- 1,0 %</v>
      </c>
    </row>
    <row r="187">
      <c r="A187" s="2">
        <f>IFERROR(__xludf.DUMMYFUNCTION("""COMPUTED_VALUE"""),40544.0)</f>
        <v>40544</v>
      </c>
      <c r="B187" s="1" t="str">
        <f>IFERROR(__xludf.DUMMYFUNCTION("""COMPUTED_VALUE"""),"3.988 €/m2")</f>
        <v>3.988 €/m2</v>
      </c>
      <c r="C187" s="1" t="str">
        <f>IFERROR(__xludf.DUMMYFUNCTION("""COMPUTED_VALUE"""),"0,0 %")</f>
        <v>0,0 %</v>
      </c>
      <c r="D187" s="1" t="str">
        <f>IFERROR(__xludf.DUMMYFUNCTION("""COMPUTED_VALUE"""),"0,0 %")</f>
        <v>0,0 %</v>
      </c>
      <c r="E187" s="1" t="str">
        <f>IFERROR(__xludf.DUMMYFUNCTION("""COMPUTED_VALUE"""),"- 2,1 %")</f>
        <v>- 2,1 %</v>
      </c>
    </row>
    <row r="188">
      <c r="A188" s="2">
        <f>IFERROR(__xludf.DUMMYFUNCTION("""COMPUTED_VALUE"""),40513.0)</f>
        <v>40513</v>
      </c>
      <c r="B188" s="1" t="str">
        <f>IFERROR(__xludf.DUMMYFUNCTION("""COMPUTED_VALUE"""),"3.987 €/m2")</f>
        <v>3.987 €/m2</v>
      </c>
      <c r="C188" s="1" t="str">
        <f>IFERROR(__xludf.DUMMYFUNCTION("""COMPUTED_VALUE"""),"- 0,5 %")</f>
        <v>- 0,5 %</v>
      </c>
      <c r="D188" s="1" t="str">
        <f>IFERROR(__xludf.DUMMYFUNCTION("""COMPUTED_VALUE"""),"+ 0,8 %")</f>
        <v>+ 0,8 %</v>
      </c>
      <c r="E188" s="1" t="str">
        <f>IFERROR(__xludf.DUMMYFUNCTION("""COMPUTED_VALUE"""),"- 1,9 %")</f>
        <v>- 1,9 %</v>
      </c>
    </row>
    <row r="189">
      <c r="A189" s="2">
        <f>IFERROR(__xludf.DUMMYFUNCTION("""COMPUTED_VALUE"""),40483.0)</f>
        <v>40483</v>
      </c>
      <c r="B189" s="1" t="str">
        <f>IFERROR(__xludf.DUMMYFUNCTION("""COMPUTED_VALUE"""),"4.008 €/m2")</f>
        <v>4.008 €/m2</v>
      </c>
      <c r="C189" s="1" t="str">
        <f>IFERROR(__xludf.DUMMYFUNCTION("""COMPUTED_VALUE"""),"+ 0,5 %")</f>
        <v>+ 0,5 %</v>
      </c>
      <c r="D189" s="1" t="str">
        <f>IFERROR(__xludf.DUMMYFUNCTION("""COMPUTED_VALUE"""),"+ 0,7 %")</f>
        <v>+ 0,7 %</v>
      </c>
      <c r="E189" s="1" t="str">
        <f>IFERROR(__xludf.DUMMYFUNCTION("""COMPUTED_VALUE"""),"- 1,0 %")</f>
        <v>- 1,0 %</v>
      </c>
    </row>
    <row r="190">
      <c r="A190" s="2">
        <f>IFERROR(__xludf.DUMMYFUNCTION("""COMPUTED_VALUE"""),40452.0)</f>
        <v>40452</v>
      </c>
      <c r="B190" s="1" t="str">
        <f>IFERROR(__xludf.DUMMYFUNCTION("""COMPUTED_VALUE"""),"3.987 €/m2")</f>
        <v>3.987 €/m2</v>
      </c>
      <c r="C190" s="1" t="str">
        <f>IFERROR(__xludf.DUMMYFUNCTION("""COMPUTED_VALUE"""),"+ 0,8 %")</f>
        <v>+ 0,8 %</v>
      </c>
      <c r="D190" s="1" t="str">
        <f>IFERROR(__xludf.DUMMYFUNCTION("""COMPUTED_VALUE"""),"+ 0,3 %")</f>
        <v>+ 0,3 %</v>
      </c>
      <c r="E190" s="1" t="str">
        <f>IFERROR(__xludf.DUMMYFUNCTION("""COMPUTED_VALUE"""),"- 2,2 %")</f>
        <v>- 2,2 %</v>
      </c>
    </row>
    <row r="191">
      <c r="A191" s="2">
        <f>IFERROR(__xludf.DUMMYFUNCTION("""COMPUTED_VALUE"""),40422.0)</f>
        <v>40422</v>
      </c>
      <c r="B191" s="1" t="str">
        <f>IFERROR(__xludf.DUMMYFUNCTION("""COMPUTED_VALUE"""),"3.955 €/m2")</f>
        <v>3.955 €/m2</v>
      </c>
      <c r="C191" s="1" t="str">
        <f>IFERROR(__xludf.DUMMYFUNCTION("""COMPUTED_VALUE"""),"- 0,6 %")</f>
        <v>- 0,6 %</v>
      </c>
      <c r="D191" s="1" t="str">
        <f>IFERROR(__xludf.DUMMYFUNCTION("""COMPUTED_VALUE"""),"- 1,0 %")</f>
        <v>- 1,0 %</v>
      </c>
      <c r="E191" s="1" t="str">
        <f>IFERROR(__xludf.DUMMYFUNCTION("""COMPUTED_VALUE"""),"- 2,7 %")</f>
        <v>- 2,7 %</v>
      </c>
    </row>
    <row r="192">
      <c r="A192" s="2">
        <f>IFERROR(__xludf.DUMMYFUNCTION("""COMPUTED_VALUE"""),40391.0)</f>
        <v>40391</v>
      </c>
      <c r="B192" s="1" t="str">
        <f>IFERROR(__xludf.DUMMYFUNCTION("""COMPUTED_VALUE"""),"3.980 €/m2")</f>
        <v>3.980 €/m2</v>
      </c>
      <c r="C192" s="1" t="str">
        <f>IFERROR(__xludf.DUMMYFUNCTION("""COMPUTED_VALUE"""),"+ 0,1 %")</f>
        <v>+ 0,1 %</v>
      </c>
      <c r="D192" s="1" t="str">
        <f>IFERROR(__xludf.DUMMYFUNCTION("""COMPUTED_VALUE"""),"- 0,4 %")</f>
        <v>- 0,4 %</v>
      </c>
      <c r="E192" s="1" t="str">
        <f>IFERROR(__xludf.DUMMYFUNCTION("""COMPUTED_VALUE"""),"- 0,5 %")</f>
        <v>- 0,5 %</v>
      </c>
    </row>
    <row r="193">
      <c r="A193" s="2">
        <f>IFERROR(__xludf.DUMMYFUNCTION("""COMPUTED_VALUE"""),40360.0)</f>
        <v>40360</v>
      </c>
      <c r="B193" s="1" t="str">
        <f>IFERROR(__xludf.DUMMYFUNCTION("""COMPUTED_VALUE"""),"3.975 €/m2")</f>
        <v>3.975 €/m2</v>
      </c>
      <c r="C193" s="1" t="str">
        <f>IFERROR(__xludf.DUMMYFUNCTION("""COMPUTED_VALUE"""),"- 0,4 %")</f>
        <v>- 0,4 %</v>
      </c>
      <c r="D193" s="1" t="str">
        <f>IFERROR(__xludf.DUMMYFUNCTION("""COMPUTED_VALUE"""),"- 0,9 %")</f>
        <v>- 0,9 %</v>
      </c>
      <c r="E193" s="1" t="str">
        <f>IFERROR(__xludf.DUMMYFUNCTION("""COMPUTED_VALUE"""),"- 0,6 %")</f>
        <v>- 0,6 %</v>
      </c>
    </row>
    <row r="194">
      <c r="A194" s="2">
        <f>IFERROR(__xludf.DUMMYFUNCTION("""COMPUTED_VALUE"""),40330.0)</f>
        <v>40330</v>
      </c>
      <c r="B194" s="1" t="str">
        <f>IFERROR(__xludf.DUMMYFUNCTION("""COMPUTED_VALUE"""),"3.993 €/m2")</f>
        <v>3.993 €/m2</v>
      </c>
      <c r="C194" s="1" t="str">
        <f>IFERROR(__xludf.DUMMYFUNCTION("""COMPUTED_VALUE"""),"- 0,1 %")</f>
        <v>- 0,1 %</v>
      </c>
      <c r="D194" s="1" t="str">
        <f>IFERROR(__xludf.DUMMYFUNCTION("""COMPUTED_VALUE"""),"- 0,9 %")</f>
        <v>- 0,9 %</v>
      </c>
      <c r="E194" s="1" t="str">
        <f>IFERROR(__xludf.DUMMYFUNCTION("""COMPUTED_VALUE"""),"- 0,9 %")</f>
        <v>- 0,9 %</v>
      </c>
    </row>
    <row r="195">
      <c r="A195" s="2">
        <f>IFERROR(__xludf.DUMMYFUNCTION("""COMPUTED_VALUE"""),40299.0)</f>
        <v>40299</v>
      </c>
      <c r="B195" s="1" t="str">
        <f>IFERROR(__xludf.DUMMYFUNCTION("""COMPUTED_VALUE"""),"3.996 €/m2")</f>
        <v>3.996 €/m2</v>
      </c>
      <c r="C195" s="1" t="str">
        <f>IFERROR(__xludf.DUMMYFUNCTION("""COMPUTED_VALUE"""),"- 0,4 %")</f>
        <v>- 0,4 %</v>
      </c>
      <c r="D195" s="1" t="str">
        <f>IFERROR(__xludf.DUMMYFUNCTION("""COMPUTED_VALUE"""),"- 0,8 %")</f>
        <v>- 0,8 %</v>
      </c>
      <c r="E195" s="1" t="str">
        <f>IFERROR(__xludf.DUMMYFUNCTION("""COMPUTED_VALUE"""),"- 4,1 %")</f>
        <v>- 4,1 %</v>
      </c>
    </row>
    <row r="196">
      <c r="A196" s="2">
        <f>IFERROR(__xludf.DUMMYFUNCTION("""COMPUTED_VALUE"""),40269.0)</f>
        <v>40269</v>
      </c>
      <c r="B196" s="1" t="str">
        <f>IFERROR(__xludf.DUMMYFUNCTION("""COMPUTED_VALUE"""),"4.012 €/m2")</f>
        <v>4.012 €/m2</v>
      </c>
      <c r="C196" s="1" t="str">
        <f>IFERROR(__xludf.DUMMYFUNCTION("""COMPUTED_VALUE"""),"- 0,4 %")</f>
        <v>- 0,4 %</v>
      </c>
      <c r="D196" s="1" t="str">
        <f>IFERROR(__xludf.DUMMYFUNCTION("""COMPUTED_VALUE"""),"- 1,5 %")</f>
        <v>- 1,5 %</v>
      </c>
      <c r="E196" s="1" t="str">
        <f>IFERROR(__xludf.DUMMYFUNCTION("""COMPUTED_VALUE"""),"- 3,3 %")</f>
        <v>- 3,3 %</v>
      </c>
    </row>
    <row r="197">
      <c r="A197" s="2">
        <f>IFERROR(__xludf.DUMMYFUNCTION("""COMPUTED_VALUE"""),40238.0)</f>
        <v>40238</v>
      </c>
      <c r="B197" s="1" t="str">
        <f>IFERROR(__xludf.DUMMYFUNCTION("""COMPUTED_VALUE"""),"4.029 €/m2")</f>
        <v>4.029 €/m2</v>
      </c>
      <c r="C197" s="1" t="str">
        <f>IFERROR(__xludf.DUMMYFUNCTION("""COMPUTED_VALUE"""),"0,0 %")</f>
        <v>0,0 %</v>
      </c>
      <c r="D197" s="1" t="str">
        <f>IFERROR(__xludf.DUMMYFUNCTION("""COMPUTED_VALUE"""),"- 0,8 %")</f>
        <v>- 0,8 %</v>
      </c>
      <c r="E197" s="1" t="str">
        <f>IFERROR(__xludf.DUMMYFUNCTION("""COMPUTED_VALUE"""),"- 4,2 %")</f>
        <v>- 4,2 %</v>
      </c>
    </row>
    <row r="198">
      <c r="A198" s="2">
        <f>IFERROR(__xludf.DUMMYFUNCTION("""COMPUTED_VALUE"""),40210.0)</f>
        <v>40210</v>
      </c>
      <c r="B198" s="1" t="str">
        <f>IFERROR(__xludf.DUMMYFUNCTION("""COMPUTED_VALUE"""),"4.027 €/m2")</f>
        <v>4.027 €/m2</v>
      </c>
      <c r="C198" s="1" t="str">
        <f>IFERROR(__xludf.DUMMYFUNCTION("""COMPUTED_VALUE"""),"- 1,1 %")</f>
        <v>- 1,1 %</v>
      </c>
      <c r="D198" s="1" t="str">
        <f>IFERROR(__xludf.DUMMYFUNCTION("""COMPUTED_VALUE"""),"- 0,5 %")</f>
        <v>- 0,5 %</v>
      </c>
      <c r="E198" s="1" t="str">
        <f>IFERROR(__xludf.DUMMYFUNCTION("""COMPUTED_VALUE"""),"- 3,9 %")</f>
        <v>- 3,9 %</v>
      </c>
    </row>
    <row r="199">
      <c r="A199" s="2">
        <f>IFERROR(__xludf.DUMMYFUNCTION("""COMPUTED_VALUE"""),40179.0)</f>
        <v>40179</v>
      </c>
      <c r="B199" s="1" t="str">
        <f>IFERROR(__xludf.DUMMYFUNCTION("""COMPUTED_VALUE"""),"4.074 €/m2")</f>
        <v>4.074 €/m2</v>
      </c>
      <c r="C199" s="1" t="str">
        <f>IFERROR(__xludf.DUMMYFUNCTION("""COMPUTED_VALUE"""),"+ 0,3 %")</f>
        <v>+ 0,3 %</v>
      </c>
      <c r="D199" s="1" t="str">
        <f>IFERROR(__xludf.DUMMYFUNCTION("""COMPUTED_VALUE"""),"- 0,1 %")</f>
        <v>- 0,1 %</v>
      </c>
      <c r="E199" s="1" t="str">
        <f>IFERROR(__xludf.DUMMYFUNCTION("""COMPUTED_VALUE"""),"- 2,2 %")</f>
        <v>- 2,2 %</v>
      </c>
    </row>
    <row r="200">
      <c r="A200" s="2">
        <f>IFERROR(__xludf.DUMMYFUNCTION("""COMPUTED_VALUE"""),40148.0)</f>
        <v>40148</v>
      </c>
      <c r="B200" s="1" t="str">
        <f>IFERROR(__xludf.DUMMYFUNCTION("""COMPUTED_VALUE"""),"4.063 €/m2")</f>
        <v>4.063 €/m2</v>
      </c>
      <c r="C200" s="1" t="str">
        <f>IFERROR(__xludf.DUMMYFUNCTION("""COMPUTED_VALUE"""),"+ 0,4 %")</f>
        <v>+ 0,4 %</v>
      </c>
      <c r="D200" s="1" t="str">
        <f>IFERROR(__xludf.DUMMYFUNCTION("""COMPUTED_VALUE"""),"n.d.")</f>
        <v>n.d.</v>
      </c>
      <c r="E200" s="1" t="str">
        <f>IFERROR(__xludf.DUMMYFUNCTION("""COMPUTED_VALUE"""),"- 1,3 %")</f>
        <v>- 1,3 %</v>
      </c>
    </row>
    <row r="201">
      <c r="A201" s="2">
        <f>IFERROR(__xludf.DUMMYFUNCTION("""COMPUTED_VALUE"""),40118.0)</f>
        <v>40118</v>
      </c>
      <c r="B201" s="1" t="str">
        <f>IFERROR(__xludf.DUMMYFUNCTION("""COMPUTED_VALUE"""),"4.048 €/m2")</f>
        <v>4.048 €/m2</v>
      </c>
      <c r="C201" s="1" t="str">
        <f>IFERROR(__xludf.DUMMYFUNCTION("""COMPUTED_VALUE"""),"- 0,7 %")</f>
        <v>- 0,7 %</v>
      </c>
      <c r="D201" s="1" t="str">
        <f>IFERROR(__xludf.DUMMYFUNCTION("""COMPUTED_VALUE"""),"+ 1,2 %")</f>
        <v>+ 1,2 %</v>
      </c>
      <c r="E201" s="1" t="str">
        <f>IFERROR(__xludf.DUMMYFUNCTION("""COMPUTED_VALUE"""),"- 2,9 %")</f>
        <v>- 2,9 %</v>
      </c>
    </row>
    <row r="202">
      <c r="A202" s="2">
        <f>IFERROR(__xludf.DUMMYFUNCTION("""COMPUTED_VALUE"""),40087.0)</f>
        <v>40087</v>
      </c>
      <c r="B202" s="1" t="str">
        <f>IFERROR(__xludf.DUMMYFUNCTION("""COMPUTED_VALUE"""),"4.077 €/m2")</f>
        <v>4.077 €/m2</v>
      </c>
      <c r="C202" s="1" t="str">
        <f>IFERROR(__xludf.DUMMYFUNCTION("""COMPUTED_VALUE"""),"+ 0,4 %")</f>
        <v>+ 0,4 %</v>
      </c>
      <c r="D202" s="1" t="str">
        <f>IFERROR(__xludf.DUMMYFUNCTION("""COMPUTED_VALUE"""),"+ 1,9 %")</f>
        <v>+ 1,9 %</v>
      </c>
      <c r="E202" s="1" t="str">
        <f>IFERROR(__xludf.DUMMYFUNCTION("""COMPUTED_VALUE"""),"- 2,8 %")</f>
        <v>- 2,8 %</v>
      </c>
    </row>
    <row r="203">
      <c r="A203" s="2">
        <f>IFERROR(__xludf.DUMMYFUNCTION("""COMPUTED_VALUE"""),40057.0)</f>
        <v>40057</v>
      </c>
      <c r="B203" s="1" t="str">
        <f>IFERROR(__xludf.DUMMYFUNCTION("""COMPUTED_VALUE"""),"4.063 €/m2")</f>
        <v>4.063 €/m2</v>
      </c>
      <c r="C203" s="1" t="str">
        <f>IFERROR(__xludf.DUMMYFUNCTION("""COMPUTED_VALUE"""),"+ 1,6 %")</f>
        <v>+ 1,6 %</v>
      </c>
      <c r="D203" s="1" t="str">
        <f>IFERROR(__xludf.DUMMYFUNCTION("""COMPUTED_VALUE"""),"+ 0,8 %")</f>
        <v>+ 0,8 %</v>
      </c>
      <c r="E203" s="1" t="str">
        <f>IFERROR(__xludf.DUMMYFUNCTION("""COMPUTED_VALUE"""),"- 5,5 %")</f>
        <v>- 5,5 %</v>
      </c>
    </row>
    <row r="204">
      <c r="A204" s="2">
        <f>IFERROR(__xludf.DUMMYFUNCTION("""COMPUTED_VALUE"""),40026.0)</f>
        <v>40026</v>
      </c>
      <c r="B204" s="1" t="str">
        <f>IFERROR(__xludf.DUMMYFUNCTION("""COMPUTED_VALUE"""),"4.000 €/m2")</f>
        <v>4.000 €/m2</v>
      </c>
      <c r="C204" s="1" t="str">
        <f>IFERROR(__xludf.DUMMYFUNCTION("""COMPUTED_VALUE"""),"n.d.")</f>
        <v>n.d.</v>
      </c>
      <c r="D204" s="1" t="str">
        <f>IFERROR(__xludf.DUMMYFUNCTION("""COMPUTED_VALUE"""),"- 4,0 %")</f>
        <v>- 4,0 %</v>
      </c>
      <c r="E204" s="1" t="str">
        <f>IFERROR(__xludf.DUMMYFUNCTION("""COMPUTED_VALUE"""),"- 6,0 %")</f>
        <v>- 6,0 %</v>
      </c>
    </row>
    <row r="205">
      <c r="A205" s="2">
        <f>IFERROR(__xludf.DUMMYFUNCTION("""COMPUTED_VALUE"""),39995.0)</f>
        <v>39995</v>
      </c>
      <c r="B205" s="1" t="str">
        <f>IFERROR(__xludf.DUMMYFUNCTION("""COMPUTED_VALUE"""),"4.000 €/m2")</f>
        <v>4.000 €/m2</v>
      </c>
      <c r="C205" s="1" t="str">
        <f>IFERROR(__xludf.DUMMYFUNCTION("""COMPUTED_VALUE"""),"- 0,7 %")</f>
        <v>- 0,7 %</v>
      </c>
      <c r="D205" s="1" t="str">
        <f>IFERROR(__xludf.DUMMYFUNCTION("""COMPUTED_VALUE"""),"- 3,6 %")</f>
        <v>- 3,6 %</v>
      </c>
      <c r="E205" s="1" t="str">
        <f>IFERROR(__xludf.DUMMYFUNCTION("""COMPUTED_VALUE"""),"- 8,5 %")</f>
        <v>- 8,5 %</v>
      </c>
    </row>
    <row r="206">
      <c r="A206" s="2">
        <f>IFERROR(__xludf.DUMMYFUNCTION("""COMPUTED_VALUE"""),39965.0)</f>
        <v>39965</v>
      </c>
      <c r="B206" s="1" t="str">
        <f>IFERROR(__xludf.DUMMYFUNCTION("""COMPUTED_VALUE"""),"4.029 €/m2")</f>
        <v>4.029 €/m2</v>
      </c>
      <c r="C206" s="1" t="str">
        <f>IFERROR(__xludf.DUMMYFUNCTION("""COMPUTED_VALUE"""),"- 3,3 %")</f>
        <v>- 3,3 %</v>
      </c>
      <c r="D206" s="1" t="str">
        <f>IFERROR(__xludf.DUMMYFUNCTION("""COMPUTED_VALUE"""),"- 4,2 %")</f>
        <v>- 4,2 %</v>
      </c>
      <c r="E206" s="1" t="str">
        <f>IFERROR(__xludf.DUMMYFUNCTION("""COMPUTED_VALUE"""),"- 8,2 %")</f>
        <v>- 8,2 %</v>
      </c>
    </row>
    <row r="207">
      <c r="A207" s="2">
        <f>IFERROR(__xludf.DUMMYFUNCTION("""COMPUTED_VALUE"""),39934.0)</f>
        <v>39934</v>
      </c>
      <c r="B207" s="1" t="str">
        <f>IFERROR(__xludf.DUMMYFUNCTION("""COMPUTED_VALUE"""),"4.167 €/m2")</f>
        <v>4.167 €/m2</v>
      </c>
      <c r="C207" s="1" t="str">
        <f>IFERROR(__xludf.DUMMYFUNCTION("""COMPUTED_VALUE"""),"+ 0,5 %")</f>
        <v>+ 0,5 %</v>
      </c>
      <c r="D207" s="1" t="str">
        <f>IFERROR(__xludf.DUMMYFUNCTION("""COMPUTED_VALUE"""),"- 0,5 %")</f>
        <v>- 0,5 %</v>
      </c>
      <c r="E207" s="1" t="str">
        <f>IFERROR(__xludf.DUMMYFUNCTION("""COMPUTED_VALUE"""),"- 5,2 %")</f>
        <v>- 5,2 %</v>
      </c>
    </row>
    <row r="208">
      <c r="A208" s="2">
        <f>IFERROR(__xludf.DUMMYFUNCTION("""COMPUTED_VALUE"""),39904.0)</f>
        <v>39904</v>
      </c>
      <c r="B208" s="1" t="str">
        <f>IFERROR(__xludf.DUMMYFUNCTION("""COMPUTED_VALUE"""),"4.148 €/m2")</f>
        <v>4.148 €/m2</v>
      </c>
      <c r="C208" s="1" t="str">
        <f>IFERROR(__xludf.DUMMYFUNCTION("""COMPUTED_VALUE"""),"- 1,4 %")</f>
        <v>- 1,4 %</v>
      </c>
      <c r="D208" s="1" t="str">
        <f>IFERROR(__xludf.DUMMYFUNCTION("""COMPUTED_VALUE"""),"- 0,5 %")</f>
        <v>- 0,5 %</v>
      </c>
      <c r="E208" s="1" t="str">
        <f>IFERROR(__xludf.DUMMYFUNCTION("""COMPUTED_VALUE"""),"- 5,6 %")</f>
        <v>- 5,6 %</v>
      </c>
    </row>
    <row r="209">
      <c r="A209" s="2">
        <f>IFERROR(__xludf.DUMMYFUNCTION("""COMPUTED_VALUE"""),39873.0)</f>
        <v>39873</v>
      </c>
      <c r="B209" s="1" t="str">
        <f>IFERROR(__xludf.DUMMYFUNCTION("""COMPUTED_VALUE"""),"4.206 €/m2")</f>
        <v>4.206 €/m2</v>
      </c>
      <c r="C209" s="1" t="str">
        <f>IFERROR(__xludf.DUMMYFUNCTION("""COMPUTED_VALUE"""),"+ 0,4 %")</f>
        <v>+ 0,4 %</v>
      </c>
      <c r="D209" s="1" t="str">
        <f>IFERROR(__xludf.DUMMYFUNCTION("""COMPUTED_VALUE"""),"+ 2,1 %")</f>
        <v>+ 2,1 %</v>
      </c>
      <c r="E209" s="1" t="str">
        <f>IFERROR(__xludf.DUMMYFUNCTION("""COMPUTED_VALUE"""),"- 2,2 %")</f>
        <v>- 2,2 %</v>
      </c>
    </row>
    <row r="210">
      <c r="A210" s="2">
        <f>IFERROR(__xludf.DUMMYFUNCTION("""COMPUTED_VALUE"""),39845.0)</f>
        <v>39845</v>
      </c>
      <c r="B210" s="1" t="str">
        <f>IFERROR(__xludf.DUMMYFUNCTION("""COMPUTED_VALUE"""),"4.189 €/m2")</f>
        <v>4.189 €/m2</v>
      </c>
      <c r="C210" s="1" t="str">
        <f>IFERROR(__xludf.DUMMYFUNCTION("""COMPUTED_VALUE"""),"+ 0,5 %")</f>
        <v>+ 0,5 %</v>
      </c>
      <c r="D210" s="1" t="str">
        <f>IFERROR(__xludf.DUMMYFUNCTION("""COMPUTED_VALUE"""),"+ 0,5 %")</f>
        <v>+ 0,5 %</v>
      </c>
      <c r="E210" s="1" t="str">
        <f>IFERROR(__xludf.DUMMYFUNCTION("""COMPUTED_VALUE"""),"- 3,4 %")</f>
        <v>- 3,4 %</v>
      </c>
    </row>
    <row r="211">
      <c r="A211" s="2">
        <f>IFERROR(__xludf.DUMMYFUNCTION("""COMPUTED_VALUE"""),39814.0)</f>
        <v>39814</v>
      </c>
      <c r="B211" s="1" t="str">
        <f>IFERROR(__xludf.DUMMYFUNCTION("""COMPUTED_VALUE"""),"4.167 €/m2")</f>
        <v>4.167 €/m2</v>
      </c>
      <c r="C211" s="1" t="str">
        <f>IFERROR(__xludf.DUMMYFUNCTION("""COMPUTED_VALUE"""),"+ 1,2 %")</f>
        <v>+ 1,2 %</v>
      </c>
      <c r="D211" s="1" t="str">
        <f>IFERROR(__xludf.DUMMYFUNCTION("""COMPUTED_VALUE"""),"- 0,6 %")</f>
        <v>- 0,6 %</v>
      </c>
      <c r="E211" s="1" t="str">
        <f>IFERROR(__xludf.DUMMYFUNCTION("""COMPUTED_VALUE"""),"- 4,8 %")</f>
        <v>- 4,8 %</v>
      </c>
    </row>
    <row r="212">
      <c r="A212" s="2">
        <f>IFERROR(__xludf.DUMMYFUNCTION("""COMPUTED_VALUE"""),39783.0)</f>
        <v>39783</v>
      </c>
      <c r="B212" s="1" t="str">
        <f>IFERROR(__xludf.DUMMYFUNCTION("""COMPUTED_VALUE"""),"4.118 €/m2")</f>
        <v>4.118 €/m2</v>
      </c>
      <c r="C212" s="1" t="str">
        <f>IFERROR(__xludf.DUMMYFUNCTION("""COMPUTED_VALUE"""),"- 1,2 %")</f>
        <v>- 1,2 %</v>
      </c>
      <c r="D212" s="1" t="str">
        <f>IFERROR(__xludf.DUMMYFUNCTION("""COMPUTED_VALUE"""),"- 4,2 %")</f>
        <v>- 4,2 %</v>
      </c>
      <c r="E212" s="1" t="str">
        <f>IFERROR(__xludf.DUMMYFUNCTION("""COMPUTED_VALUE"""),"- 6,3 %")</f>
        <v>- 6,3 %</v>
      </c>
    </row>
    <row r="213">
      <c r="A213" s="2">
        <f>IFERROR(__xludf.DUMMYFUNCTION("""COMPUTED_VALUE"""),39753.0)</f>
        <v>39753</v>
      </c>
      <c r="B213" s="1" t="str">
        <f>IFERROR(__xludf.DUMMYFUNCTION("""COMPUTED_VALUE"""),"4.167 €/m2")</f>
        <v>4.167 €/m2</v>
      </c>
      <c r="C213" s="1" t="str">
        <f>IFERROR(__xludf.DUMMYFUNCTION("""COMPUTED_VALUE"""),"- 0,6 %")</f>
        <v>- 0,6 %</v>
      </c>
      <c r="D213" s="1" t="str">
        <f>IFERROR(__xludf.DUMMYFUNCTION("""COMPUTED_VALUE"""),"- 2,1 %")</f>
        <v>- 2,1 %</v>
      </c>
      <c r="E213" s="1" t="str">
        <f>IFERROR(__xludf.DUMMYFUNCTION("""COMPUTED_VALUE"""),"- 5,2 %")</f>
        <v>- 5,2 %</v>
      </c>
    </row>
    <row r="214">
      <c r="A214" s="2">
        <f>IFERROR(__xludf.DUMMYFUNCTION("""COMPUTED_VALUE"""),39722.0)</f>
        <v>39722</v>
      </c>
      <c r="B214" s="1" t="str">
        <f>IFERROR(__xludf.DUMMYFUNCTION("""COMPUTED_VALUE"""),"4.192 €/m2")</f>
        <v>4.192 €/m2</v>
      </c>
      <c r="C214" s="1" t="str">
        <f>IFERROR(__xludf.DUMMYFUNCTION("""COMPUTED_VALUE"""),"- 2,5 %")</f>
        <v>- 2,5 %</v>
      </c>
      <c r="D214" s="1" t="str">
        <f>IFERROR(__xludf.DUMMYFUNCTION("""COMPUTED_VALUE"""),"- 4,1 %")</f>
        <v>- 4,1 %</v>
      </c>
      <c r="E214" s="1" t="str">
        <f>IFERROR(__xludf.DUMMYFUNCTION("""COMPUTED_VALUE"""),"- 4,6 %")</f>
        <v>- 4,6 %</v>
      </c>
    </row>
    <row r="215">
      <c r="A215" s="2">
        <f>IFERROR(__xludf.DUMMYFUNCTION("""COMPUTED_VALUE"""),39692.0)</f>
        <v>39692</v>
      </c>
      <c r="B215" s="1" t="str">
        <f>IFERROR(__xludf.DUMMYFUNCTION("""COMPUTED_VALUE"""),"4.300 €/m2")</f>
        <v>4.300 €/m2</v>
      </c>
      <c r="C215" s="1" t="str">
        <f>IFERROR(__xludf.DUMMYFUNCTION("""COMPUTED_VALUE"""),"+ 1,1 %")</f>
        <v>+ 1,1 %</v>
      </c>
      <c r="D215" s="1" t="str">
        <f>IFERROR(__xludf.DUMMYFUNCTION("""COMPUTED_VALUE"""),"- 2,0 %")</f>
        <v>- 2,0 %</v>
      </c>
      <c r="E215" s="1" t="str">
        <f>IFERROR(__xludf.DUMMYFUNCTION("""COMPUTED_VALUE"""),"- 3,9 %")</f>
        <v>- 3,9 %</v>
      </c>
    </row>
    <row r="216">
      <c r="A216" s="2">
        <f>IFERROR(__xludf.DUMMYFUNCTION("""COMPUTED_VALUE"""),39661.0)</f>
        <v>39661</v>
      </c>
      <c r="B216" s="1" t="str">
        <f>IFERROR(__xludf.DUMMYFUNCTION("""COMPUTED_VALUE"""),"4.255 €/m2")</f>
        <v>4.255 €/m2</v>
      </c>
      <c r="C216" s="1" t="str">
        <f>IFERROR(__xludf.DUMMYFUNCTION("""COMPUTED_VALUE"""),"- 2,7 %")</f>
        <v>- 2,7 %</v>
      </c>
      <c r="D216" s="1" t="str">
        <f>IFERROR(__xludf.DUMMYFUNCTION("""COMPUTED_VALUE"""),"- 3,2 %")</f>
        <v>- 3,2 %</v>
      </c>
      <c r="E216" s="1" t="str">
        <f>IFERROR(__xludf.DUMMYFUNCTION("""COMPUTED_VALUE"""),"- 6,3 %")</f>
        <v>- 6,3 %</v>
      </c>
    </row>
    <row r="217">
      <c r="A217" s="2">
        <f>IFERROR(__xludf.DUMMYFUNCTION("""COMPUTED_VALUE"""),39630.0)</f>
        <v>39630</v>
      </c>
      <c r="B217" s="1" t="str">
        <f>IFERROR(__xludf.DUMMYFUNCTION("""COMPUTED_VALUE"""),"4.371 €/m2")</f>
        <v>4.371 €/m2</v>
      </c>
      <c r="C217" s="1" t="str">
        <f>IFERROR(__xludf.DUMMYFUNCTION("""COMPUTED_VALUE"""),"- 0,4 %")</f>
        <v>- 0,4 %</v>
      </c>
      <c r="D217" s="1" t="str">
        <f>IFERROR(__xludf.DUMMYFUNCTION("""COMPUTED_VALUE"""),"- 0,5 %")</f>
        <v>- 0,5 %</v>
      </c>
      <c r="E217" s="1" t="str">
        <f>IFERROR(__xludf.DUMMYFUNCTION("""COMPUTED_VALUE"""),"- 5,0 %")</f>
        <v>- 5,0 %</v>
      </c>
    </row>
    <row r="218">
      <c r="A218" s="2">
        <f>IFERROR(__xludf.DUMMYFUNCTION("""COMPUTED_VALUE"""),39600.0)</f>
        <v>39600</v>
      </c>
      <c r="B218" s="1" t="str">
        <f>IFERROR(__xludf.DUMMYFUNCTION("""COMPUTED_VALUE"""),"4.388 €/m2")</f>
        <v>4.388 €/m2</v>
      </c>
      <c r="C218" s="1" t="str">
        <f>IFERROR(__xludf.DUMMYFUNCTION("""COMPUTED_VALUE"""),"- 0,1 %")</f>
        <v>- 0,1 %</v>
      </c>
      <c r="D218" s="1" t="str">
        <f>IFERROR(__xludf.DUMMYFUNCTION("""COMPUTED_VALUE"""),"+ 2,0 %")</f>
        <v>+ 2,0 %</v>
      </c>
      <c r="E218" s="1" t="str">
        <f>IFERROR(__xludf.DUMMYFUNCTION("""COMPUTED_VALUE"""),"- 6,7 %")</f>
        <v>- 6,7 %</v>
      </c>
    </row>
    <row r="219">
      <c r="A219" s="2">
        <f>IFERROR(__xludf.DUMMYFUNCTION("""COMPUTED_VALUE"""),39569.0)</f>
        <v>39569</v>
      </c>
      <c r="B219" s="1" t="str">
        <f>IFERROR(__xludf.DUMMYFUNCTION("""COMPUTED_VALUE"""),"4.394 €/m2")</f>
        <v>4.394 €/m2</v>
      </c>
      <c r="C219" s="1" t="str">
        <f>IFERROR(__xludf.DUMMYFUNCTION("""COMPUTED_VALUE"""),"n.d.")</f>
        <v>n.d.</v>
      </c>
      <c r="D219" s="1" t="str">
        <f>IFERROR(__xludf.DUMMYFUNCTION("""COMPUTED_VALUE"""),"+ 1,3 %")</f>
        <v>+ 1,3 %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IFERROR(__xludf.DUMMYFUNCTION("""COMPUTED_VALUE"""),"4.394 €/m2")</f>
        <v>4.394 €/m2</v>
      </c>
      <c r="C220" s="1" t="str">
        <f>IFERROR(__xludf.DUMMYFUNCTION("""COMPUTED_VALUE"""),"+ 2,2 %")</f>
        <v>+ 2,2 %</v>
      </c>
      <c r="D220" s="1" t="str">
        <f>IFERROR(__xludf.DUMMYFUNCTION("""COMPUTED_VALUE"""),"+ 0,4 %")</f>
        <v>+ 0,4 %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IFERROR(__xludf.DUMMYFUNCTION("""COMPUTED_VALUE"""),"4.300 €/m2")</f>
        <v>4.300 €/m2</v>
      </c>
      <c r="C221" s="1" t="str">
        <f>IFERROR(__xludf.DUMMYFUNCTION("""COMPUTED_VALUE"""),"- 0,9 %")</f>
        <v>- 0,9 %</v>
      </c>
      <c r="D221" s="1" t="str">
        <f>IFERROR(__xludf.DUMMYFUNCTION("""COMPUTED_VALUE"""),"- 2,1 %")</f>
        <v>- 2,1 %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IFERROR(__xludf.DUMMYFUNCTION("""COMPUTED_VALUE"""),"4.337 €/m2")</f>
        <v>4.337 €/m2</v>
      </c>
      <c r="C222" s="1" t="str">
        <f>IFERROR(__xludf.DUMMYFUNCTION("""COMPUTED_VALUE"""),"- 0,9 %")</f>
        <v>- 0,9 %</v>
      </c>
      <c r="D222" s="1" t="str">
        <f>IFERROR(__xludf.DUMMYFUNCTION("""COMPUTED_VALUE"""),"- 1,3 %")</f>
        <v>- 1,3 %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IFERROR(__xludf.DUMMYFUNCTION("""COMPUTED_VALUE"""),"4.375 €/m2")</f>
        <v>4.375 €/m2</v>
      </c>
      <c r="C223" s="1" t="str">
        <f>IFERROR(__xludf.DUMMYFUNCTION("""COMPUTED_VALUE"""),"- 0,4 %")</f>
        <v>- 0,4 %</v>
      </c>
      <c r="D223" s="1" t="str">
        <f>IFERROR(__xludf.DUMMYFUNCTION("""COMPUTED_VALUE"""),"- 0,4 %")</f>
        <v>- 0,4 %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IFERROR(__xludf.DUMMYFUNCTION("""COMPUTED_VALUE"""),"4.394 €/m2")</f>
        <v>4.394 €/m2</v>
      </c>
      <c r="C224" s="1" t="str">
        <f>IFERROR(__xludf.DUMMYFUNCTION("""COMPUTED_VALUE"""),"0,0 %")</f>
        <v>0,0 %</v>
      </c>
      <c r="D224" s="1" t="str">
        <f>IFERROR(__xludf.DUMMYFUNCTION("""COMPUTED_VALUE"""),"- 1,8 %")</f>
        <v>- 1,8 %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IFERROR(__xludf.DUMMYFUNCTION("""COMPUTED_VALUE"""),"4.393 €/m2")</f>
        <v>4.393 €/m2</v>
      </c>
      <c r="C225" s="1" t="str">
        <f>IFERROR(__xludf.DUMMYFUNCTION("""COMPUTED_VALUE"""),"n.d.")</f>
        <v>n.d.</v>
      </c>
      <c r="D225" s="1" t="str">
        <f>IFERROR(__xludf.DUMMYFUNCTION("""COMPUTED_VALUE"""),"- 3,3 %")</f>
        <v>- 3,3 %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IFERROR(__xludf.DUMMYFUNCTION("""COMPUTED_VALUE"""),"4.393 €/m2")</f>
        <v>4.393 €/m2</v>
      </c>
      <c r="C226" s="1" t="str">
        <f>IFERROR(__xludf.DUMMYFUNCTION("""COMPUTED_VALUE"""),"- 1,8 %")</f>
        <v>- 1,8 %</v>
      </c>
      <c r="D226" s="1" t="str">
        <f>IFERROR(__xludf.DUMMYFUNCTION("""COMPUTED_VALUE"""),"- 4,6 %")</f>
        <v>- 4,6 %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IFERROR(__xludf.DUMMYFUNCTION("""COMPUTED_VALUE"""),"4.475 €/m2")</f>
        <v>4.475 €/m2</v>
      </c>
      <c r="C227" s="1" t="str">
        <f>IFERROR(__xludf.DUMMYFUNCTION("""COMPUTED_VALUE"""),"- 1,5 %")</f>
        <v>- 1,5 %</v>
      </c>
      <c r="D227" s="1" t="str">
        <f>IFERROR(__xludf.DUMMYFUNCTION("""COMPUTED_VALUE"""),"- 4,8 %")</f>
        <v>- 4,8 %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IFERROR(__xludf.DUMMYFUNCTION("""COMPUTED_VALUE"""),"4.541 €/m2")</f>
        <v>4.541 €/m2</v>
      </c>
      <c r="C228" s="1" t="str">
        <f>IFERROR(__xludf.DUMMYFUNCTION("""COMPUTED_VALUE"""),"- 1,3 %")</f>
        <v>- 1,3 %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IFERROR(__xludf.DUMMYFUNCTION("""COMPUTED_VALUE"""),"4.603 €/m2")</f>
        <v>4.603 €/m2</v>
      </c>
      <c r="C229" s="1" t="str">
        <f>IFERROR(__xludf.DUMMYFUNCTION("""COMPUTED_VALUE"""),"- 2,1 %")</f>
        <v>- 2,1 %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IFERROR(__xludf.DUMMYFUNCTION("""COMPUTED_VALUE"""),"4.702 €/m2")</f>
        <v>4.702 €/m2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IFERROR(__xludf.DUMMYFUNCTION("IMPORTHTML(""https://www.idealista.com/sala-de-prensa/informes-precio-vivienda/venta/madrid-comunidad/madrid-provincia/madrid/chamartin/historico/"",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IFERROR(__xludf.DUMMYFUNCTION("""COMPUTED_VALUE"""),"8.150 €/m2")</f>
        <v>8.150 €/m2</v>
      </c>
      <c r="C2" s="1" t="str">
        <f>IFERROR(__xludf.DUMMYFUNCTION("""COMPUTED_VALUE"""),"+ 0,2 %")</f>
        <v>+ 0,2 %</v>
      </c>
      <c r="D2" s="1" t="str">
        <f>IFERROR(__xludf.DUMMYFUNCTION("""COMPUTED_VALUE"""),"+ 0,8 %")</f>
        <v>+ 0,8 %</v>
      </c>
      <c r="E2" s="1" t="str">
        <f>IFERROR(__xludf.DUMMYFUNCTION("""COMPUTED_VALUE"""),"+ 10,6 %")</f>
        <v>+ 10,6 %</v>
      </c>
    </row>
    <row r="3">
      <c r="A3" s="2">
        <f>IFERROR(__xludf.DUMMYFUNCTION("""COMPUTED_VALUE"""),46143.0)</f>
        <v>46143</v>
      </c>
      <c r="B3" s="1" t="str">
        <f>IFERROR(__xludf.DUMMYFUNCTION("""COMPUTED_VALUE"""),"8.138 €/m2")</f>
        <v>8.138 €/m2</v>
      </c>
      <c r="C3" s="1" t="str">
        <f>IFERROR(__xludf.DUMMYFUNCTION("""COMPUTED_VALUE"""),"- 0,6 %")</f>
        <v>- 0,6 %</v>
      </c>
      <c r="D3" s="1" t="str">
        <f>IFERROR(__xludf.DUMMYFUNCTION("""COMPUTED_VALUE"""),"+ 1,5 %")</f>
        <v>+ 1,5 %</v>
      </c>
      <c r="E3" s="1" t="str">
        <f>IFERROR(__xludf.DUMMYFUNCTION("""COMPUTED_VALUE"""),"+ 12,3 %")</f>
        <v>+ 12,3 %</v>
      </c>
    </row>
    <row r="4">
      <c r="A4" s="2">
        <f>IFERROR(__xludf.DUMMYFUNCTION("""COMPUTED_VALUE"""),46113.0)</f>
        <v>46113</v>
      </c>
      <c r="B4" s="1" t="str">
        <f>IFERROR(__xludf.DUMMYFUNCTION("""COMPUTED_VALUE"""),"8.187 €/m2")</f>
        <v>8.187 €/m2</v>
      </c>
      <c r="C4" s="1" t="str">
        <f>IFERROR(__xludf.DUMMYFUNCTION("""COMPUTED_VALUE"""),"+ 1,3 %")</f>
        <v>+ 1,3 %</v>
      </c>
      <c r="D4" s="1" t="str">
        <f>IFERROR(__xludf.DUMMYFUNCTION("""COMPUTED_VALUE"""),"+ 2,7 %")</f>
        <v>+ 2,7 %</v>
      </c>
      <c r="E4" s="1" t="str">
        <f>IFERROR(__xludf.DUMMYFUNCTION("""COMPUTED_VALUE"""),"+ 15,2 %")</f>
        <v>+ 15,2 %</v>
      </c>
    </row>
    <row r="5">
      <c r="A5" s="2">
        <f>IFERROR(__xludf.DUMMYFUNCTION("""COMPUTED_VALUE"""),46082.0)</f>
        <v>46082</v>
      </c>
      <c r="B5" s="1" t="str">
        <f>IFERROR(__xludf.DUMMYFUNCTION("""COMPUTED_VALUE"""),"8.083 €/m2")</f>
        <v>8.083 €/m2</v>
      </c>
      <c r="C5" s="1" t="str">
        <f>IFERROR(__xludf.DUMMYFUNCTION("""COMPUTED_VALUE"""),"+ 0,8 %")</f>
        <v>+ 0,8 %</v>
      </c>
      <c r="D5" s="1" t="str">
        <f>IFERROR(__xludf.DUMMYFUNCTION("""COMPUTED_VALUE"""),"+ 3,5 %")</f>
        <v>+ 3,5 %</v>
      </c>
      <c r="E5" s="1" t="str">
        <f>IFERROR(__xludf.DUMMYFUNCTION("""COMPUTED_VALUE"""),"+ 15,7 %")</f>
        <v>+ 15,7 %</v>
      </c>
    </row>
    <row r="6">
      <c r="A6" s="2">
        <f>IFERROR(__xludf.DUMMYFUNCTION("""COMPUTED_VALUE"""),46054.0)</f>
        <v>46054</v>
      </c>
      <c r="B6" s="1" t="str">
        <f>IFERROR(__xludf.DUMMYFUNCTION("""COMPUTED_VALUE"""),"8.021 €/m2")</f>
        <v>8.021 €/m2</v>
      </c>
      <c r="C6" s="1" t="str">
        <f>IFERROR(__xludf.DUMMYFUNCTION("""COMPUTED_VALUE"""),"+ 0,6 %")</f>
        <v>+ 0,6 %</v>
      </c>
      <c r="D6" s="1" t="str">
        <f>IFERROR(__xludf.DUMMYFUNCTION("""COMPUTED_VALUE"""),"+ 4,7 %")</f>
        <v>+ 4,7 %</v>
      </c>
      <c r="E6" s="1" t="str">
        <f>IFERROR(__xludf.DUMMYFUNCTION("""COMPUTED_VALUE"""),"+ 17,6 %")</f>
        <v>+ 17,6 %</v>
      </c>
    </row>
    <row r="7">
      <c r="A7" s="2">
        <f>IFERROR(__xludf.DUMMYFUNCTION("""COMPUTED_VALUE"""),46023.0)</f>
        <v>46023</v>
      </c>
      <c r="B7" s="1" t="str">
        <f>IFERROR(__xludf.DUMMYFUNCTION("""COMPUTED_VALUE"""),"7.971 €/m2")</f>
        <v>7.971 €/m2</v>
      </c>
      <c r="C7" s="1" t="str">
        <f>IFERROR(__xludf.DUMMYFUNCTION("""COMPUTED_VALUE"""),"+ 2,1 %")</f>
        <v>+ 2,1 %</v>
      </c>
      <c r="D7" s="1" t="str">
        <f>IFERROR(__xludf.DUMMYFUNCTION("""COMPUTED_VALUE"""),"+ 5,0 %")</f>
        <v>+ 5,0 %</v>
      </c>
      <c r="E7" s="1" t="str">
        <f>IFERROR(__xludf.DUMMYFUNCTION("""COMPUTED_VALUE"""),"+ 20,0 %")</f>
        <v>+ 20,0 %</v>
      </c>
    </row>
    <row r="8">
      <c r="A8" s="2">
        <f>IFERROR(__xludf.DUMMYFUNCTION("""COMPUTED_VALUE"""),45992.0)</f>
        <v>45992</v>
      </c>
      <c r="B8" s="1" t="str">
        <f>IFERROR(__xludf.DUMMYFUNCTION("""COMPUTED_VALUE"""),"7.807 €/m2")</f>
        <v>7.807 €/m2</v>
      </c>
      <c r="C8" s="1" t="str">
        <f>IFERROR(__xludf.DUMMYFUNCTION("""COMPUTED_VALUE"""),"+ 1,9 %")</f>
        <v>+ 1,9 %</v>
      </c>
      <c r="D8" s="1" t="str">
        <f>IFERROR(__xludf.DUMMYFUNCTION("""COMPUTED_VALUE"""),"+ 2,9 %")</f>
        <v>+ 2,9 %</v>
      </c>
      <c r="E8" s="1" t="str">
        <f>IFERROR(__xludf.DUMMYFUNCTION("""COMPUTED_VALUE"""),"+ 17,7 %")</f>
        <v>+ 17,7 %</v>
      </c>
    </row>
    <row r="9">
      <c r="A9" s="2">
        <f>IFERROR(__xludf.DUMMYFUNCTION("""COMPUTED_VALUE"""),45962.0)</f>
        <v>45962</v>
      </c>
      <c r="B9" s="1" t="str">
        <f>IFERROR(__xludf.DUMMYFUNCTION("""COMPUTED_VALUE"""),"7.658 €/m2")</f>
        <v>7.658 €/m2</v>
      </c>
      <c r="C9" s="1" t="str">
        <f>IFERROR(__xludf.DUMMYFUNCTION("""COMPUTED_VALUE"""),"+ 0,9 %")</f>
        <v>+ 0,9 %</v>
      </c>
      <c r="D9" s="1" t="str">
        <f>IFERROR(__xludf.DUMMYFUNCTION("""COMPUTED_VALUE"""),"+ 1,4 %")</f>
        <v>+ 1,4 %</v>
      </c>
      <c r="E9" s="1" t="str">
        <f>IFERROR(__xludf.DUMMYFUNCTION("""COMPUTED_VALUE"""),"+ 16,5 %")</f>
        <v>+ 16,5 %</v>
      </c>
    </row>
    <row r="10">
      <c r="A10" s="2">
        <f>IFERROR(__xludf.DUMMYFUNCTION("""COMPUTED_VALUE"""),45931.0)</f>
        <v>45931</v>
      </c>
      <c r="B10" s="1" t="str">
        <f>IFERROR(__xludf.DUMMYFUNCTION("""COMPUTED_VALUE"""),"7.588 €/m2")</f>
        <v>7.588 €/m2</v>
      </c>
      <c r="C10" s="1" t="str">
        <f>IFERROR(__xludf.DUMMYFUNCTION("""COMPUTED_VALUE"""),"0,0 %")</f>
        <v>0,0 %</v>
      </c>
      <c r="D10" s="1" t="str">
        <f>IFERROR(__xludf.DUMMYFUNCTION("""COMPUTED_VALUE"""),"+ 1,7 %")</f>
        <v>+ 1,7 %</v>
      </c>
      <c r="E10" s="1" t="str">
        <f>IFERROR(__xludf.DUMMYFUNCTION("""COMPUTED_VALUE"""),"+ 17,7 %")</f>
        <v>+ 17,7 %</v>
      </c>
    </row>
    <row r="11">
      <c r="A11" s="2">
        <f>IFERROR(__xludf.DUMMYFUNCTION("""COMPUTED_VALUE"""),45901.0)</f>
        <v>45901</v>
      </c>
      <c r="B11" s="1" t="str">
        <f>IFERROR(__xludf.DUMMYFUNCTION("""COMPUTED_VALUE"""),"7.586 €/m2")</f>
        <v>7.586 €/m2</v>
      </c>
      <c r="C11" s="1" t="str">
        <f>IFERROR(__xludf.DUMMYFUNCTION("""COMPUTED_VALUE"""),"+ 0,4 %")</f>
        <v>+ 0,4 %</v>
      </c>
      <c r="D11" s="1" t="str">
        <f>IFERROR(__xludf.DUMMYFUNCTION("""COMPUTED_VALUE"""),"+ 3,0 %")</f>
        <v>+ 3,0 %</v>
      </c>
      <c r="E11" s="1" t="str">
        <f>IFERROR(__xludf.DUMMYFUNCTION("""COMPUTED_VALUE"""),"+ 18,0 %")</f>
        <v>+ 18,0 %</v>
      </c>
    </row>
    <row r="12">
      <c r="A12" s="2">
        <f>IFERROR(__xludf.DUMMYFUNCTION("""COMPUTED_VALUE"""),45870.0)</f>
        <v>45870</v>
      </c>
      <c r="B12" s="1" t="str">
        <f>IFERROR(__xludf.DUMMYFUNCTION("""COMPUTED_VALUE"""),"7.555 €/m2")</f>
        <v>7.555 €/m2</v>
      </c>
      <c r="C12" s="1" t="str">
        <f>IFERROR(__xludf.DUMMYFUNCTION("""COMPUTED_VALUE"""),"+ 1,2 %")</f>
        <v>+ 1,2 %</v>
      </c>
      <c r="D12" s="1" t="str">
        <f>IFERROR(__xludf.DUMMYFUNCTION("""COMPUTED_VALUE"""),"+ 4,3 %")</f>
        <v>+ 4,3 %</v>
      </c>
      <c r="E12" s="1" t="str">
        <f>IFERROR(__xludf.DUMMYFUNCTION("""COMPUTED_VALUE"""),"+ 17,6 %")</f>
        <v>+ 17,6 %</v>
      </c>
    </row>
    <row r="13">
      <c r="A13" s="2">
        <f>IFERROR(__xludf.DUMMYFUNCTION("""COMPUTED_VALUE"""),45839.0)</f>
        <v>45839</v>
      </c>
      <c r="B13" s="1" t="str">
        <f>IFERROR(__xludf.DUMMYFUNCTION("""COMPUTED_VALUE"""),"7.463 €/m2")</f>
        <v>7.463 €/m2</v>
      </c>
      <c r="C13" s="1" t="str">
        <f>IFERROR(__xludf.DUMMYFUNCTION("""COMPUTED_VALUE"""),"+ 1,3 %")</f>
        <v>+ 1,3 %</v>
      </c>
      <c r="D13" s="1" t="str">
        <f>IFERROR(__xludf.DUMMYFUNCTION("""COMPUTED_VALUE"""),"+ 5,0 %")</f>
        <v>+ 5,0 %</v>
      </c>
      <c r="E13" s="1" t="str">
        <f>IFERROR(__xludf.DUMMYFUNCTION("""COMPUTED_VALUE"""),"+ 16,8 %")</f>
        <v>+ 16,8 %</v>
      </c>
    </row>
    <row r="14">
      <c r="A14" s="2">
        <f>IFERROR(__xludf.DUMMYFUNCTION("""COMPUTED_VALUE"""),45809.0)</f>
        <v>45809</v>
      </c>
      <c r="B14" s="1" t="str">
        <f>IFERROR(__xludf.DUMMYFUNCTION("""COMPUTED_VALUE"""),"7.369 €/m2")</f>
        <v>7.369 €/m2</v>
      </c>
      <c r="C14" s="1" t="str">
        <f>IFERROR(__xludf.DUMMYFUNCTION("""COMPUTED_VALUE"""),"+ 1,7 %")</f>
        <v>+ 1,7 %</v>
      </c>
      <c r="D14" s="1" t="str">
        <f>IFERROR(__xludf.DUMMYFUNCTION("""COMPUTED_VALUE"""),"+ 5,4 %")</f>
        <v>+ 5,4 %</v>
      </c>
      <c r="E14" s="1" t="str">
        <f>IFERROR(__xludf.DUMMYFUNCTION("""COMPUTED_VALUE"""),"+ 17,2 %")</f>
        <v>+ 17,2 %</v>
      </c>
    </row>
    <row r="15">
      <c r="A15" s="2">
        <f>IFERROR(__xludf.DUMMYFUNCTION("""COMPUTED_VALUE"""),45778.0)</f>
        <v>45778</v>
      </c>
      <c r="B15" s="1" t="str">
        <f>IFERROR(__xludf.DUMMYFUNCTION("""COMPUTED_VALUE"""),"7.246 €/m2")</f>
        <v>7.246 €/m2</v>
      </c>
      <c r="C15" s="1" t="str">
        <f>IFERROR(__xludf.DUMMYFUNCTION("""COMPUTED_VALUE"""),"+ 1,9 %")</f>
        <v>+ 1,9 %</v>
      </c>
      <c r="D15" s="1" t="str">
        <f>IFERROR(__xludf.DUMMYFUNCTION("""COMPUTED_VALUE"""),"+ 6,2 %")</f>
        <v>+ 6,2 %</v>
      </c>
      <c r="E15" s="1" t="str">
        <f>IFERROR(__xludf.DUMMYFUNCTION("""COMPUTED_VALUE"""),"+ 16,6 %")</f>
        <v>+ 16,6 %</v>
      </c>
    </row>
    <row r="16">
      <c r="A16" s="2">
        <f>IFERROR(__xludf.DUMMYFUNCTION("""COMPUTED_VALUE"""),45748.0)</f>
        <v>45748</v>
      </c>
      <c r="B16" s="1" t="str">
        <f>IFERROR(__xludf.DUMMYFUNCTION("""COMPUTED_VALUE"""),"7.110 €/m2")</f>
        <v>7.110 €/m2</v>
      </c>
      <c r="C16" s="1" t="str">
        <f>IFERROR(__xludf.DUMMYFUNCTION("""COMPUTED_VALUE"""),"+ 1,7 %")</f>
        <v>+ 1,7 %</v>
      </c>
      <c r="D16" s="1" t="str">
        <f>IFERROR(__xludf.DUMMYFUNCTION("""COMPUTED_VALUE"""),"+ 7,0 %")</f>
        <v>+ 7,0 %</v>
      </c>
      <c r="E16" s="1" t="str">
        <f>IFERROR(__xludf.DUMMYFUNCTION("""COMPUTED_VALUE"""),"+ 16,7 %")</f>
        <v>+ 16,7 %</v>
      </c>
    </row>
    <row r="17">
      <c r="A17" s="2">
        <f>IFERROR(__xludf.DUMMYFUNCTION("""COMPUTED_VALUE"""),45717.0)</f>
        <v>45717</v>
      </c>
      <c r="B17" s="1" t="str">
        <f>IFERROR(__xludf.DUMMYFUNCTION("""COMPUTED_VALUE"""),"6.988 €/m2")</f>
        <v>6.988 €/m2</v>
      </c>
      <c r="C17" s="1" t="str">
        <f>IFERROR(__xludf.DUMMYFUNCTION("""COMPUTED_VALUE"""),"+ 2,4 %")</f>
        <v>+ 2,4 %</v>
      </c>
      <c r="D17" s="1" t="str">
        <f>IFERROR(__xludf.DUMMYFUNCTION("""COMPUTED_VALUE"""),"+ 5,4 %")</f>
        <v>+ 5,4 %</v>
      </c>
      <c r="E17" s="1" t="str">
        <f>IFERROR(__xludf.DUMMYFUNCTION("""COMPUTED_VALUE"""),"+ 15,7 %")</f>
        <v>+ 15,7 %</v>
      </c>
    </row>
    <row r="18">
      <c r="A18" s="2">
        <f>IFERROR(__xludf.DUMMYFUNCTION("""COMPUTED_VALUE"""),45689.0)</f>
        <v>45689</v>
      </c>
      <c r="B18" s="1" t="str">
        <f>IFERROR(__xludf.DUMMYFUNCTION("""COMPUTED_VALUE"""),"6.822 €/m2")</f>
        <v>6.822 €/m2</v>
      </c>
      <c r="C18" s="1" t="str">
        <f>IFERROR(__xludf.DUMMYFUNCTION("""COMPUTED_VALUE"""),"+ 2,7 %")</f>
        <v>+ 2,7 %</v>
      </c>
      <c r="D18" s="1" t="str">
        <f>IFERROR(__xludf.DUMMYFUNCTION("""COMPUTED_VALUE"""),"+ 3,8 %")</f>
        <v>+ 3,8 %</v>
      </c>
      <c r="E18" s="1" t="str">
        <f>IFERROR(__xludf.DUMMYFUNCTION("""COMPUTED_VALUE"""),"+ 14,5 %")</f>
        <v>+ 14,5 %</v>
      </c>
    </row>
    <row r="19">
      <c r="A19" s="2">
        <f>IFERROR(__xludf.DUMMYFUNCTION("""COMPUTED_VALUE"""),45658.0)</f>
        <v>45658</v>
      </c>
      <c r="B19" s="1" t="str">
        <f>IFERROR(__xludf.DUMMYFUNCTION("""COMPUTED_VALUE"""),"6.642 €/m2")</f>
        <v>6.642 €/m2</v>
      </c>
      <c r="C19" s="1" t="str">
        <f>IFERROR(__xludf.DUMMYFUNCTION("""COMPUTED_VALUE"""),"+ 0,1 %")</f>
        <v>+ 0,1 %</v>
      </c>
      <c r="D19" s="1" t="str">
        <f>IFERROR(__xludf.DUMMYFUNCTION("""COMPUTED_VALUE"""),"+ 3,0 %")</f>
        <v>+ 3,0 %</v>
      </c>
      <c r="E19" s="1" t="str">
        <f>IFERROR(__xludf.DUMMYFUNCTION("""COMPUTED_VALUE"""),"+ 11,9 %")</f>
        <v>+ 11,9 %</v>
      </c>
    </row>
    <row r="20">
      <c r="A20" s="2">
        <f>IFERROR(__xludf.DUMMYFUNCTION("""COMPUTED_VALUE"""),45627.0)</f>
        <v>45627</v>
      </c>
      <c r="B20" s="1" t="str">
        <f>IFERROR(__xludf.DUMMYFUNCTION("""COMPUTED_VALUE"""),"6.632 €/m2")</f>
        <v>6.632 €/m2</v>
      </c>
      <c r="C20" s="1" t="str">
        <f>IFERROR(__xludf.DUMMYFUNCTION("""COMPUTED_VALUE"""),"+ 0,9 %")</f>
        <v>+ 0,9 %</v>
      </c>
      <c r="D20" s="1" t="str">
        <f>IFERROR(__xludf.DUMMYFUNCTION("""COMPUTED_VALUE"""),"+ 3,1 %")</f>
        <v>+ 3,1 %</v>
      </c>
      <c r="E20" s="1" t="str">
        <f>IFERROR(__xludf.DUMMYFUNCTION("""COMPUTED_VALUE"""),"+ 13,1 %")</f>
        <v>+ 13,1 %</v>
      </c>
    </row>
    <row r="21">
      <c r="A21" s="2">
        <f>IFERROR(__xludf.DUMMYFUNCTION("""COMPUTED_VALUE"""),45597.0)</f>
        <v>45597</v>
      </c>
      <c r="B21" s="1" t="str">
        <f>IFERROR(__xludf.DUMMYFUNCTION("""COMPUTED_VALUE"""),"6.573 €/m2")</f>
        <v>6.573 €/m2</v>
      </c>
      <c r="C21" s="1" t="str">
        <f>IFERROR(__xludf.DUMMYFUNCTION("""COMPUTED_VALUE"""),"+ 2,0 %")</f>
        <v>+ 2,0 %</v>
      </c>
      <c r="D21" s="1" t="str">
        <f>IFERROR(__xludf.DUMMYFUNCTION("""COMPUTED_VALUE"""),"+ 2,3 %")</f>
        <v>+ 2,3 %</v>
      </c>
      <c r="E21" s="1" t="str">
        <f>IFERROR(__xludf.DUMMYFUNCTION("""COMPUTED_VALUE"""),"+ 13,6 %")</f>
        <v>+ 13,6 %</v>
      </c>
    </row>
    <row r="22">
      <c r="A22" s="2">
        <f>IFERROR(__xludf.DUMMYFUNCTION("""COMPUTED_VALUE"""),45566.0)</f>
        <v>45566</v>
      </c>
      <c r="B22" s="1" t="str">
        <f>IFERROR(__xludf.DUMMYFUNCTION("""COMPUTED_VALUE"""),"6.446 €/m2")</f>
        <v>6.446 €/m2</v>
      </c>
      <c r="C22" s="1" t="str">
        <f>IFERROR(__xludf.DUMMYFUNCTION("""COMPUTED_VALUE"""),"+ 0,2 %")</f>
        <v>+ 0,2 %</v>
      </c>
      <c r="D22" s="1" t="str">
        <f>IFERROR(__xludf.DUMMYFUNCTION("""COMPUTED_VALUE"""),"+ 0,9 %")</f>
        <v>+ 0,9 %</v>
      </c>
      <c r="E22" s="1" t="str">
        <f>IFERROR(__xludf.DUMMYFUNCTION("""COMPUTED_VALUE"""),"+ 12,1 %")</f>
        <v>+ 12,1 %</v>
      </c>
    </row>
    <row r="23">
      <c r="A23" s="2">
        <f>IFERROR(__xludf.DUMMYFUNCTION("""COMPUTED_VALUE"""),45536.0)</f>
        <v>45536</v>
      </c>
      <c r="B23" s="1" t="str">
        <f>IFERROR(__xludf.DUMMYFUNCTION("""COMPUTED_VALUE"""),"6.430 €/m2")</f>
        <v>6.430 €/m2</v>
      </c>
      <c r="C23" s="1" t="str">
        <f>IFERROR(__xludf.DUMMYFUNCTION("""COMPUTED_VALUE"""),"+ 0,1 %")</f>
        <v>+ 0,1 %</v>
      </c>
      <c r="D23" s="1" t="str">
        <f>IFERROR(__xludf.DUMMYFUNCTION("""COMPUTED_VALUE"""),"+ 2,3 %")</f>
        <v>+ 2,3 %</v>
      </c>
      <c r="E23" s="1" t="str">
        <f>IFERROR(__xludf.DUMMYFUNCTION("""COMPUTED_VALUE"""),"+ 11,9 %")</f>
        <v>+ 11,9 %</v>
      </c>
    </row>
    <row r="24">
      <c r="A24" s="2">
        <f>IFERROR(__xludf.DUMMYFUNCTION("""COMPUTED_VALUE"""),45505.0)</f>
        <v>45505</v>
      </c>
      <c r="B24" s="1" t="str">
        <f>IFERROR(__xludf.DUMMYFUNCTION("""COMPUTED_VALUE"""),"6.426 €/m2")</f>
        <v>6.426 €/m2</v>
      </c>
      <c r="C24" s="1" t="str">
        <f>IFERROR(__xludf.DUMMYFUNCTION("""COMPUTED_VALUE"""),"+ 0,6 %")</f>
        <v>+ 0,6 %</v>
      </c>
      <c r="D24" s="1" t="str">
        <f>IFERROR(__xludf.DUMMYFUNCTION("""COMPUTED_VALUE"""),"+ 3,4 %")</f>
        <v>+ 3,4 %</v>
      </c>
      <c r="E24" s="1" t="str">
        <f>IFERROR(__xludf.DUMMYFUNCTION("""COMPUTED_VALUE"""),"+ 12,1 %")</f>
        <v>+ 12,1 %</v>
      </c>
    </row>
    <row r="25">
      <c r="A25" s="2">
        <f>IFERROR(__xludf.DUMMYFUNCTION("""COMPUTED_VALUE"""),45474.0)</f>
        <v>45474</v>
      </c>
      <c r="B25" s="1" t="str">
        <f>IFERROR(__xludf.DUMMYFUNCTION("""COMPUTED_VALUE"""),"6.389 €/m2")</f>
        <v>6.389 €/m2</v>
      </c>
      <c r="C25" s="1" t="str">
        <f>IFERROR(__xludf.DUMMYFUNCTION("""COMPUTED_VALUE"""),"+ 1,7 %")</f>
        <v>+ 1,7 %</v>
      </c>
      <c r="D25" s="1" t="str">
        <f>IFERROR(__xludf.DUMMYFUNCTION("""COMPUTED_VALUE"""),"+ 4,8 %")</f>
        <v>+ 4,8 %</v>
      </c>
      <c r="E25" s="1" t="str">
        <f>IFERROR(__xludf.DUMMYFUNCTION("""COMPUTED_VALUE"""),"+ 11,5 %")</f>
        <v>+ 11,5 %</v>
      </c>
    </row>
    <row r="26">
      <c r="A26" s="2">
        <f>IFERROR(__xludf.DUMMYFUNCTION("""COMPUTED_VALUE"""),45444.0)</f>
        <v>45444</v>
      </c>
      <c r="B26" s="1" t="str">
        <f>IFERROR(__xludf.DUMMYFUNCTION("""COMPUTED_VALUE"""),"6.285 €/m2")</f>
        <v>6.285 €/m2</v>
      </c>
      <c r="C26" s="1" t="str">
        <f>IFERROR(__xludf.DUMMYFUNCTION("""COMPUTED_VALUE"""),"+ 1,1 %")</f>
        <v>+ 1,1 %</v>
      </c>
      <c r="D26" s="1" t="str">
        <f>IFERROR(__xludf.DUMMYFUNCTION("""COMPUTED_VALUE"""),"+ 4,1 %")</f>
        <v>+ 4,1 %</v>
      </c>
      <c r="E26" s="1" t="str">
        <f>IFERROR(__xludf.DUMMYFUNCTION("""COMPUTED_VALUE"""),"+ 10,2 %")</f>
        <v>+ 10,2 %</v>
      </c>
    </row>
    <row r="27">
      <c r="A27" s="2">
        <f>IFERROR(__xludf.DUMMYFUNCTION("""COMPUTED_VALUE"""),45413.0)</f>
        <v>45413</v>
      </c>
      <c r="B27" s="1" t="str">
        <f>IFERROR(__xludf.DUMMYFUNCTION("""COMPUTED_VALUE"""),"6.214 €/m2")</f>
        <v>6.214 €/m2</v>
      </c>
      <c r="C27" s="1" t="str">
        <f>IFERROR(__xludf.DUMMYFUNCTION("""COMPUTED_VALUE"""),"+ 2,0 %")</f>
        <v>+ 2,0 %</v>
      </c>
      <c r="D27" s="1" t="str">
        <f>IFERROR(__xludf.DUMMYFUNCTION("""COMPUTED_VALUE"""),"+ 4,3 %")</f>
        <v>+ 4,3 %</v>
      </c>
      <c r="E27" s="1" t="str">
        <f>IFERROR(__xludf.DUMMYFUNCTION("""COMPUTED_VALUE"""),"+ 9,9 %")</f>
        <v>+ 9,9 %</v>
      </c>
    </row>
    <row r="28">
      <c r="A28" s="2">
        <f>IFERROR(__xludf.DUMMYFUNCTION("""COMPUTED_VALUE"""),45383.0)</f>
        <v>45383</v>
      </c>
      <c r="B28" s="1" t="str">
        <f>IFERROR(__xludf.DUMMYFUNCTION("""COMPUTED_VALUE"""),"6.094 €/m2")</f>
        <v>6.094 €/m2</v>
      </c>
      <c r="C28" s="1" t="str">
        <f>IFERROR(__xludf.DUMMYFUNCTION("""COMPUTED_VALUE"""),"+ 0,9 %")</f>
        <v>+ 0,9 %</v>
      </c>
      <c r="D28" s="1" t="str">
        <f>IFERROR(__xludf.DUMMYFUNCTION("""COMPUTED_VALUE"""),"+ 2,6 %")</f>
        <v>+ 2,6 %</v>
      </c>
      <c r="E28" s="1" t="str">
        <f>IFERROR(__xludf.DUMMYFUNCTION("""COMPUTED_VALUE"""),"+ 8,6 %")</f>
        <v>+ 8,6 %</v>
      </c>
    </row>
    <row r="29">
      <c r="A29" s="2">
        <f>IFERROR(__xludf.DUMMYFUNCTION("""COMPUTED_VALUE"""),45352.0)</f>
        <v>45352</v>
      </c>
      <c r="B29" s="1" t="str">
        <f>IFERROR(__xludf.DUMMYFUNCTION("""COMPUTED_VALUE"""),"6.039 €/m2")</f>
        <v>6.039 €/m2</v>
      </c>
      <c r="C29" s="1" t="str">
        <f>IFERROR(__xludf.DUMMYFUNCTION("""COMPUTED_VALUE"""),"+ 1,4 %")</f>
        <v>+ 1,4 %</v>
      </c>
      <c r="D29" s="1" t="str">
        <f>IFERROR(__xludf.DUMMYFUNCTION("""COMPUTED_VALUE"""),"+ 3,0 %")</f>
        <v>+ 3,0 %</v>
      </c>
      <c r="E29" s="1" t="str">
        <f>IFERROR(__xludf.DUMMYFUNCTION("""COMPUTED_VALUE"""),"+ 6,7 %")</f>
        <v>+ 6,7 %</v>
      </c>
    </row>
    <row r="30">
      <c r="A30" s="2">
        <f>IFERROR(__xludf.DUMMYFUNCTION("""COMPUTED_VALUE"""),45323.0)</f>
        <v>45323</v>
      </c>
      <c r="B30" s="1" t="str">
        <f>IFERROR(__xludf.DUMMYFUNCTION("""COMPUTED_VALUE"""),"5.956 €/m2")</f>
        <v>5.956 €/m2</v>
      </c>
      <c r="C30" s="1" t="str">
        <f>IFERROR(__xludf.DUMMYFUNCTION("""COMPUTED_VALUE"""),"+ 0,3 %")</f>
        <v>+ 0,3 %</v>
      </c>
      <c r="D30" s="1" t="str">
        <f>IFERROR(__xludf.DUMMYFUNCTION("""COMPUTED_VALUE"""),"+ 3,0 %")</f>
        <v>+ 3,0 %</v>
      </c>
      <c r="E30" s="1" t="str">
        <f>IFERROR(__xludf.DUMMYFUNCTION("""COMPUTED_VALUE"""),"+ 4,6 %")</f>
        <v>+ 4,6 %</v>
      </c>
    </row>
    <row r="31">
      <c r="A31" s="2">
        <f>IFERROR(__xludf.DUMMYFUNCTION("""COMPUTED_VALUE"""),45292.0)</f>
        <v>45292</v>
      </c>
      <c r="B31" s="1" t="str">
        <f>IFERROR(__xludf.DUMMYFUNCTION("""COMPUTED_VALUE"""),"5.938 €/m2")</f>
        <v>5.938 €/m2</v>
      </c>
      <c r="C31" s="1" t="str">
        <f>IFERROR(__xludf.DUMMYFUNCTION("""COMPUTED_VALUE"""),"+ 1,3 %")</f>
        <v>+ 1,3 %</v>
      </c>
      <c r="D31" s="1" t="str">
        <f>IFERROR(__xludf.DUMMYFUNCTION("""COMPUTED_VALUE"""),"+ 3,3 %")</f>
        <v>+ 3,3 %</v>
      </c>
      <c r="E31" s="1" t="str">
        <f>IFERROR(__xludf.DUMMYFUNCTION("""COMPUTED_VALUE"""),"+ 5,8 %")</f>
        <v>+ 5,8 %</v>
      </c>
    </row>
    <row r="32">
      <c r="A32" s="2">
        <f>IFERROR(__xludf.DUMMYFUNCTION("""COMPUTED_VALUE"""),45261.0)</f>
        <v>45261</v>
      </c>
      <c r="B32" s="1" t="str">
        <f>IFERROR(__xludf.DUMMYFUNCTION("""COMPUTED_VALUE"""),"5.863 €/m2")</f>
        <v>5.863 €/m2</v>
      </c>
      <c r="C32" s="1" t="str">
        <f>IFERROR(__xludf.DUMMYFUNCTION("""COMPUTED_VALUE"""),"+ 1,4 %")</f>
        <v>+ 1,4 %</v>
      </c>
      <c r="D32" s="1" t="str">
        <f>IFERROR(__xludf.DUMMYFUNCTION("""COMPUTED_VALUE"""),"+ 2,0 %")</f>
        <v>+ 2,0 %</v>
      </c>
      <c r="E32" s="1" t="str">
        <f>IFERROR(__xludf.DUMMYFUNCTION("""COMPUTED_VALUE"""),"+ 5,1 %")</f>
        <v>+ 5,1 %</v>
      </c>
    </row>
    <row r="33">
      <c r="A33" s="2">
        <f>IFERROR(__xludf.DUMMYFUNCTION("""COMPUTED_VALUE"""),45231.0)</f>
        <v>45231</v>
      </c>
      <c r="B33" s="1" t="str">
        <f>IFERROR(__xludf.DUMMYFUNCTION("""COMPUTED_VALUE"""),"5.785 €/m2")</f>
        <v>5.785 €/m2</v>
      </c>
      <c r="C33" s="1" t="str">
        <f>IFERROR(__xludf.DUMMYFUNCTION("""COMPUTED_VALUE"""),"+ 0,6 %")</f>
        <v>+ 0,6 %</v>
      </c>
      <c r="D33" s="1" t="str">
        <f>IFERROR(__xludf.DUMMYFUNCTION("""COMPUTED_VALUE"""),"+ 0,9 %")</f>
        <v>+ 0,9 %</v>
      </c>
      <c r="E33" s="1" t="str">
        <f>IFERROR(__xludf.DUMMYFUNCTION("""COMPUTED_VALUE"""),"+ 4,5 %")</f>
        <v>+ 4,5 %</v>
      </c>
    </row>
    <row r="34">
      <c r="A34" s="2">
        <f>IFERROR(__xludf.DUMMYFUNCTION("""COMPUTED_VALUE"""),45200.0)</f>
        <v>45200</v>
      </c>
      <c r="B34" s="1" t="str">
        <f>IFERROR(__xludf.DUMMYFUNCTION("""COMPUTED_VALUE"""),"5.751 €/m2")</f>
        <v>5.751 €/m2</v>
      </c>
      <c r="C34" s="1" t="str">
        <f>IFERROR(__xludf.DUMMYFUNCTION("""COMPUTED_VALUE"""),"+ 0,1 %")</f>
        <v>+ 0,1 %</v>
      </c>
      <c r="D34" s="1" t="str">
        <f>IFERROR(__xludf.DUMMYFUNCTION("""COMPUTED_VALUE"""),"+ 0,3 %")</f>
        <v>+ 0,3 %</v>
      </c>
      <c r="E34" s="1" t="str">
        <f>IFERROR(__xludf.DUMMYFUNCTION("""COMPUTED_VALUE"""),"+ 3,5 %")</f>
        <v>+ 3,5 %</v>
      </c>
    </row>
    <row r="35">
      <c r="A35" s="2">
        <f>IFERROR(__xludf.DUMMYFUNCTION("""COMPUTED_VALUE"""),45170.0)</f>
        <v>45170</v>
      </c>
      <c r="B35" s="1" t="str">
        <f>IFERROR(__xludf.DUMMYFUNCTION("""COMPUTED_VALUE"""),"5.747 €/m2")</f>
        <v>5.747 €/m2</v>
      </c>
      <c r="C35" s="1" t="str">
        <f>IFERROR(__xludf.DUMMYFUNCTION("""COMPUTED_VALUE"""),"+ 0,2 %")</f>
        <v>+ 0,2 %</v>
      </c>
      <c r="D35" s="1" t="str">
        <f>IFERROR(__xludf.DUMMYFUNCTION("""COMPUTED_VALUE"""),"+ 0,8 %")</f>
        <v>+ 0,8 %</v>
      </c>
      <c r="E35" s="1" t="str">
        <f>IFERROR(__xludf.DUMMYFUNCTION("""COMPUTED_VALUE"""),"+ 4,2 %")</f>
        <v>+ 4,2 %</v>
      </c>
    </row>
    <row r="36">
      <c r="A36" s="2">
        <f>IFERROR(__xludf.DUMMYFUNCTION("""COMPUTED_VALUE"""),45139.0)</f>
        <v>45139</v>
      </c>
      <c r="B36" s="1" t="str">
        <f>IFERROR(__xludf.DUMMYFUNCTION("""COMPUTED_VALUE"""),"5.735 €/m2")</f>
        <v>5.735 €/m2</v>
      </c>
      <c r="C36" s="1" t="str">
        <f>IFERROR(__xludf.DUMMYFUNCTION("""COMPUTED_VALUE"""),"0,0 %")</f>
        <v>0,0 %</v>
      </c>
      <c r="D36" s="1" t="str">
        <f>IFERROR(__xludf.DUMMYFUNCTION("""COMPUTED_VALUE"""),"+ 1,4 %")</f>
        <v>+ 1,4 %</v>
      </c>
      <c r="E36" s="1" t="str">
        <f>IFERROR(__xludf.DUMMYFUNCTION("""COMPUTED_VALUE"""),"+ 4,9 %")</f>
        <v>+ 4,9 %</v>
      </c>
    </row>
    <row r="37">
      <c r="A37" s="2">
        <f>IFERROR(__xludf.DUMMYFUNCTION("""COMPUTED_VALUE"""),45108.0)</f>
        <v>45108</v>
      </c>
      <c r="B37" s="1" t="str">
        <f>IFERROR(__xludf.DUMMYFUNCTION("""COMPUTED_VALUE"""),"5.732 €/m2")</f>
        <v>5.732 €/m2</v>
      </c>
      <c r="C37" s="1" t="str">
        <f>IFERROR(__xludf.DUMMYFUNCTION("""COMPUTED_VALUE"""),"+ 0,5 %")</f>
        <v>+ 0,5 %</v>
      </c>
      <c r="D37" s="1" t="str">
        <f>IFERROR(__xludf.DUMMYFUNCTION("""COMPUTED_VALUE"""),"+ 2,1 %")</f>
        <v>+ 2,1 %</v>
      </c>
      <c r="E37" s="1" t="str">
        <f>IFERROR(__xludf.DUMMYFUNCTION("""COMPUTED_VALUE"""),"+ 4,1 %")</f>
        <v>+ 4,1 %</v>
      </c>
    </row>
    <row r="38">
      <c r="A38" s="2">
        <f>IFERROR(__xludf.DUMMYFUNCTION("""COMPUTED_VALUE"""),45078.0)</f>
        <v>45078</v>
      </c>
      <c r="B38" s="1" t="str">
        <f>IFERROR(__xludf.DUMMYFUNCTION("""COMPUTED_VALUE"""),"5.701 €/m2")</f>
        <v>5.701 €/m2</v>
      </c>
      <c r="C38" s="1" t="str">
        <f>IFERROR(__xludf.DUMMYFUNCTION("""COMPUTED_VALUE"""),"+ 0,8 %")</f>
        <v>+ 0,8 %</v>
      </c>
      <c r="D38" s="1" t="str">
        <f>IFERROR(__xludf.DUMMYFUNCTION("""COMPUTED_VALUE"""),"+ 0,8 %")</f>
        <v>+ 0,8 %</v>
      </c>
      <c r="E38" s="1" t="str">
        <f>IFERROR(__xludf.DUMMYFUNCTION("""COMPUTED_VALUE"""),"+ 4,8 %")</f>
        <v>+ 4,8 %</v>
      </c>
    </row>
    <row r="39">
      <c r="A39" s="2">
        <f>IFERROR(__xludf.DUMMYFUNCTION("""COMPUTED_VALUE"""),45047.0)</f>
        <v>45047</v>
      </c>
      <c r="B39" s="1" t="str">
        <f>IFERROR(__xludf.DUMMYFUNCTION("""COMPUTED_VALUE"""),"5.654 €/m2")</f>
        <v>5.654 €/m2</v>
      </c>
      <c r="C39" s="1" t="str">
        <f>IFERROR(__xludf.DUMMYFUNCTION("""COMPUTED_VALUE"""),"+ 0,7 %")</f>
        <v>+ 0,7 %</v>
      </c>
      <c r="D39" s="1" t="str">
        <f>IFERROR(__xludf.DUMMYFUNCTION("""COMPUTED_VALUE"""),"- 0,7 %")</f>
        <v>- 0,7 %</v>
      </c>
      <c r="E39" s="1" t="str">
        <f>IFERROR(__xludf.DUMMYFUNCTION("""COMPUTED_VALUE"""),"+ 5,1 %")</f>
        <v>+ 5,1 %</v>
      </c>
    </row>
    <row r="40">
      <c r="A40" s="2">
        <f>IFERROR(__xludf.DUMMYFUNCTION("""COMPUTED_VALUE"""),45017.0)</f>
        <v>45017</v>
      </c>
      <c r="B40" s="1" t="str">
        <f>IFERROR(__xludf.DUMMYFUNCTION("""COMPUTED_VALUE"""),"5.614 €/m2")</f>
        <v>5.614 €/m2</v>
      </c>
      <c r="C40" s="1" t="str">
        <f>IFERROR(__xludf.DUMMYFUNCTION("""COMPUTED_VALUE"""),"- 0,8 %")</f>
        <v>- 0,8 %</v>
      </c>
      <c r="D40" s="1" t="str">
        <f>IFERROR(__xludf.DUMMYFUNCTION("""COMPUTED_VALUE"""),"+ 0,1 %")</f>
        <v>+ 0,1 %</v>
      </c>
      <c r="E40" s="1" t="str">
        <f>IFERROR(__xludf.DUMMYFUNCTION("""COMPUTED_VALUE"""),"+ 5,9 %")</f>
        <v>+ 5,9 %</v>
      </c>
    </row>
    <row r="41">
      <c r="A41" s="2">
        <f>IFERROR(__xludf.DUMMYFUNCTION("""COMPUTED_VALUE"""),44986.0)</f>
        <v>44986</v>
      </c>
      <c r="B41" s="1" t="str">
        <f>IFERROR(__xludf.DUMMYFUNCTION("""COMPUTED_VALUE"""),"5.659 €/m2")</f>
        <v>5.659 €/m2</v>
      </c>
      <c r="C41" s="1" t="str">
        <f>IFERROR(__xludf.DUMMYFUNCTION("""COMPUTED_VALUE"""),"- 0,6 %")</f>
        <v>- 0,6 %</v>
      </c>
      <c r="D41" s="1" t="str">
        <f>IFERROR(__xludf.DUMMYFUNCTION("""COMPUTED_VALUE"""),"+ 1,5 %")</f>
        <v>+ 1,5 %</v>
      </c>
      <c r="E41" s="1" t="str">
        <f>IFERROR(__xludf.DUMMYFUNCTION("""COMPUTED_VALUE"""),"+ 8,4 %")</f>
        <v>+ 8,4 %</v>
      </c>
    </row>
    <row r="42">
      <c r="A42" s="2">
        <f>IFERROR(__xludf.DUMMYFUNCTION("""COMPUTED_VALUE"""),44958.0)</f>
        <v>44958</v>
      </c>
      <c r="B42" s="1" t="str">
        <f>IFERROR(__xludf.DUMMYFUNCTION("""COMPUTED_VALUE"""),"5.695 €/m2")</f>
        <v>5.695 €/m2</v>
      </c>
      <c r="C42" s="1" t="str">
        <f>IFERROR(__xludf.DUMMYFUNCTION("""COMPUTED_VALUE"""),"+ 1,5 %")</f>
        <v>+ 1,5 %</v>
      </c>
      <c r="D42" s="1" t="str">
        <f>IFERROR(__xludf.DUMMYFUNCTION("""COMPUTED_VALUE"""),"+ 2,9 %")</f>
        <v>+ 2,9 %</v>
      </c>
      <c r="E42" s="1" t="str">
        <f>IFERROR(__xludf.DUMMYFUNCTION("""COMPUTED_VALUE"""),"+ 9,6 %")</f>
        <v>+ 9,6 %</v>
      </c>
    </row>
    <row r="43">
      <c r="A43" s="2">
        <f>IFERROR(__xludf.DUMMYFUNCTION("""COMPUTED_VALUE"""),44927.0)</f>
        <v>44927</v>
      </c>
      <c r="B43" s="1" t="str">
        <f>IFERROR(__xludf.DUMMYFUNCTION("""COMPUTED_VALUE"""),"5.610 €/m2")</f>
        <v>5.610 €/m2</v>
      </c>
      <c r="C43" s="1" t="str">
        <f>IFERROR(__xludf.DUMMYFUNCTION("""COMPUTED_VALUE"""),"+ 0,6 %")</f>
        <v>+ 0,6 %</v>
      </c>
      <c r="D43" s="1" t="str">
        <f>IFERROR(__xludf.DUMMYFUNCTION("""COMPUTED_VALUE"""),"+ 0,9 %")</f>
        <v>+ 0,9 %</v>
      </c>
      <c r="E43" s="1" t="str">
        <f>IFERROR(__xludf.DUMMYFUNCTION("""COMPUTED_VALUE"""),"+ 8,2 %")</f>
        <v>+ 8,2 %</v>
      </c>
    </row>
    <row r="44">
      <c r="A44" s="2">
        <f>IFERROR(__xludf.DUMMYFUNCTION("""COMPUTED_VALUE"""),44896.0)</f>
        <v>44896</v>
      </c>
      <c r="B44" s="1" t="str">
        <f>IFERROR(__xludf.DUMMYFUNCTION("""COMPUTED_VALUE"""),"5.577 €/m2")</f>
        <v>5.577 €/m2</v>
      </c>
      <c r="C44" s="1" t="str">
        <f>IFERROR(__xludf.DUMMYFUNCTION("""COMPUTED_VALUE"""),"+ 0,8 %")</f>
        <v>+ 0,8 %</v>
      </c>
      <c r="D44" s="1" t="str">
        <f>IFERROR(__xludf.DUMMYFUNCTION("""COMPUTED_VALUE"""),"+ 1,2 %")</f>
        <v>+ 1,2 %</v>
      </c>
      <c r="E44" s="1" t="str">
        <f>IFERROR(__xludf.DUMMYFUNCTION("""COMPUTED_VALUE"""),"+ 9,5 %")</f>
        <v>+ 9,5 %</v>
      </c>
    </row>
    <row r="45">
      <c r="A45" s="2">
        <f>IFERROR(__xludf.DUMMYFUNCTION("""COMPUTED_VALUE"""),44866.0)</f>
        <v>44866</v>
      </c>
      <c r="B45" s="1" t="str">
        <f>IFERROR(__xludf.DUMMYFUNCTION("""COMPUTED_VALUE"""),"5.533 €/m2")</f>
        <v>5.533 €/m2</v>
      </c>
      <c r="C45" s="1" t="str">
        <f>IFERROR(__xludf.DUMMYFUNCTION("""COMPUTED_VALUE"""),"- 0,4 %")</f>
        <v>- 0,4 %</v>
      </c>
      <c r="D45" s="1" t="str">
        <f>IFERROR(__xludf.DUMMYFUNCTION("""COMPUTED_VALUE"""),"+ 1,2 %")</f>
        <v>+ 1,2 %</v>
      </c>
      <c r="E45" s="1" t="str">
        <f>IFERROR(__xludf.DUMMYFUNCTION("""COMPUTED_VALUE"""),"+ 8,6 %")</f>
        <v>+ 8,6 %</v>
      </c>
    </row>
    <row r="46">
      <c r="A46" s="2">
        <f>IFERROR(__xludf.DUMMYFUNCTION("""COMPUTED_VALUE"""),44835.0)</f>
        <v>44835</v>
      </c>
      <c r="B46" s="1" t="str">
        <f>IFERROR(__xludf.DUMMYFUNCTION("""COMPUTED_VALUE"""),"5.558 €/m2")</f>
        <v>5.558 €/m2</v>
      </c>
      <c r="C46" s="1" t="str">
        <f>IFERROR(__xludf.DUMMYFUNCTION("""COMPUTED_VALUE"""),"+ 0,8 %")</f>
        <v>+ 0,8 %</v>
      </c>
      <c r="D46" s="1" t="str">
        <f>IFERROR(__xludf.DUMMYFUNCTION("""COMPUTED_VALUE"""),"+ 0,9 %")</f>
        <v>+ 0,9 %</v>
      </c>
      <c r="E46" s="1" t="str">
        <f>IFERROR(__xludf.DUMMYFUNCTION("""COMPUTED_VALUE"""),"+ 9,2 %")</f>
        <v>+ 9,2 %</v>
      </c>
    </row>
    <row r="47">
      <c r="A47" s="2">
        <f>IFERROR(__xludf.DUMMYFUNCTION("""COMPUTED_VALUE"""),44805.0)</f>
        <v>44805</v>
      </c>
      <c r="B47" s="1" t="str">
        <f>IFERROR(__xludf.DUMMYFUNCTION("""COMPUTED_VALUE"""),"5.513 €/m2")</f>
        <v>5.513 €/m2</v>
      </c>
      <c r="C47" s="1" t="str">
        <f>IFERROR(__xludf.DUMMYFUNCTION("""COMPUTED_VALUE"""),"+ 0,9 %")</f>
        <v>+ 0,9 %</v>
      </c>
      <c r="D47" s="1" t="str">
        <f>IFERROR(__xludf.DUMMYFUNCTION("""COMPUTED_VALUE"""),"+ 1,3 %")</f>
        <v>+ 1,3 %</v>
      </c>
      <c r="E47" s="1" t="str">
        <f>IFERROR(__xludf.DUMMYFUNCTION("""COMPUTED_VALUE"""),"+ 8,1 %")</f>
        <v>+ 8,1 %</v>
      </c>
    </row>
    <row r="48">
      <c r="A48" s="2">
        <f>IFERROR(__xludf.DUMMYFUNCTION("""COMPUTED_VALUE"""),44774.0)</f>
        <v>44774</v>
      </c>
      <c r="B48" s="1" t="str">
        <f>IFERROR(__xludf.DUMMYFUNCTION("""COMPUTED_VALUE"""),"5.465 €/m2")</f>
        <v>5.465 €/m2</v>
      </c>
      <c r="C48" s="1" t="str">
        <f>IFERROR(__xludf.DUMMYFUNCTION("""COMPUTED_VALUE"""),"- 0,7 %")</f>
        <v>- 0,7 %</v>
      </c>
      <c r="D48" s="1" t="str">
        <f>IFERROR(__xludf.DUMMYFUNCTION("""COMPUTED_VALUE"""),"+ 1,5 %")</f>
        <v>+ 1,5 %</v>
      </c>
      <c r="E48" s="1" t="str">
        <f>IFERROR(__xludf.DUMMYFUNCTION("""COMPUTED_VALUE"""),"+ 7,7 %")</f>
        <v>+ 7,7 %</v>
      </c>
    </row>
    <row r="49">
      <c r="A49" s="2">
        <f>IFERROR(__xludf.DUMMYFUNCTION("""COMPUTED_VALUE"""),44743.0)</f>
        <v>44743</v>
      </c>
      <c r="B49" s="1" t="str">
        <f>IFERROR(__xludf.DUMMYFUNCTION("""COMPUTED_VALUE"""),"5.506 €/m2")</f>
        <v>5.506 €/m2</v>
      </c>
      <c r="C49" s="1" t="str">
        <f>IFERROR(__xludf.DUMMYFUNCTION("""COMPUTED_VALUE"""),"+ 1,2 %")</f>
        <v>+ 1,2 %</v>
      </c>
      <c r="D49" s="1" t="str">
        <f>IFERROR(__xludf.DUMMYFUNCTION("""COMPUTED_VALUE"""),"+ 3,8 %")</f>
        <v>+ 3,8 %</v>
      </c>
      <c r="E49" s="1" t="str">
        <f>IFERROR(__xludf.DUMMYFUNCTION("""COMPUTED_VALUE"""),"+ 7,9 %")</f>
        <v>+ 7,9 %</v>
      </c>
    </row>
    <row r="50">
      <c r="A50" s="2">
        <f>IFERROR(__xludf.DUMMYFUNCTION("""COMPUTED_VALUE"""),44713.0)</f>
        <v>44713</v>
      </c>
      <c r="B50" s="1" t="str">
        <f>IFERROR(__xludf.DUMMYFUNCTION("""COMPUTED_VALUE"""),"5.441 €/m2")</f>
        <v>5.441 €/m2</v>
      </c>
      <c r="C50" s="1" t="str">
        <f>IFERROR(__xludf.DUMMYFUNCTION("""COMPUTED_VALUE"""),"+ 1,1 %")</f>
        <v>+ 1,1 %</v>
      </c>
      <c r="D50" s="1" t="str">
        <f>IFERROR(__xludf.DUMMYFUNCTION("""COMPUTED_VALUE"""),"+ 4,3 %")</f>
        <v>+ 4,3 %</v>
      </c>
      <c r="E50" s="1" t="str">
        <f>IFERROR(__xludf.DUMMYFUNCTION("""COMPUTED_VALUE"""),"+ 5,9 %")</f>
        <v>+ 5,9 %</v>
      </c>
    </row>
    <row r="51">
      <c r="A51" s="2">
        <f>IFERROR(__xludf.DUMMYFUNCTION("""COMPUTED_VALUE"""),44682.0)</f>
        <v>44682</v>
      </c>
      <c r="B51" s="1" t="str">
        <f>IFERROR(__xludf.DUMMYFUNCTION("""COMPUTED_VALUE"""),"5.382 €/m2")</f>
        <v>5.382 €/m2</v>
      </c>
      <c r="C51" s="1" t="str">
        <f>IFERROR(__xludf.DUMMYFUNCTION("""COMPUTED_VALUE"""),"+ 1,5 %")</f>
        <v>+ 1,5 %</v>
      </c>
      <c r="D51" s="1" t="str">
        <f>IFERROR(__xludf.DUMMYFUNCTION("""COMPUTED_VALUE"""),"+ 3,6 %")</f>
        <v>+ 3,6 %</v>
      </c>
      <c r="E51" s="1" t="str">
        <f>IFERROR(__xludf.DUMMYFUNCTION("""COMPUTED_VALUE"""),"+ 5,9 %")</f>
        <v>+ 5,9 %</v>
      </c>
    </row>
    <row r="52">
      <c r="A52" s="2">
        <f>IFERROR(__xludf.DUMMYFUNCTION("""COMPUTED_VALUE"""),44652.0)</f>
        <v>44652</v>
      </c>
      <c r="B52" s="1" t="str">
        <f>IFERROR(__xludf.DUMMYFUNCTION("""COMPUTED_VALUE"""),"5.303 €/m2")</f>
        <v>5.303 €/m2</v>
      </c>
      <c r="C52" s="1" t="str">
        <f>IFERROR(__xludf.DUMMYFUNCTION("""COMPUTED_VALUE"""),"+ 1,6 %")</f>
        <v>+ 1,6 %</v>
      </c>
      <c r="D52" s="1" t="str">
        <f>IFERROR(__xludf.DUMMYFUNCTION("""COMPUTED_VALUE"""),"+ 2,3 %")</f>
        <v>+ 2,3 %</v>
      </c>
      <c r="E52" s="1" t="str">
        <f>IFERROR(__xludf.DUMMYFUNCTION("""COMPUTED_VALUE"""),"+ 5,4 %")</f>
        <v>+ 5,4 %</v>
      </c>
    </row>
    <row r="53">
      <c r="A53" s="2">
        <f>IFERROR(__xludf.DUMMYFUNCTION("""COMPUTED_VALUE"""),44621.0)</f>
        <v>44621</v>
      </c>
      <c r="B53" s="1" t="str">
        <f>IFERROR(__xludf.DUMMYFUNCTION("""COMPUTED_VALUE"""),"5.218 €/m2")</f>
        <v>5.218 €/m2</v>
      </c>
      <c r="C53" s="1" t="str">
        <f>IFERROR(__xludf.DUMMYFUNCTION("""COMPUTED_VALUE"""),"+ 0,4 %")</f>
        <v>+ 0,4 %</v>
      </c>
      <c r="D53" s="1" t="str">
        <f>IFERROR(__xludf.DUMMYFUNCTION("""COMPUTED_VALUE"""),"+ 2,5 %")</f>
        <v>+ 2,5 %</v>
      </c>
      <c r="E53" s="1" t="str">
        <f>IFERROR(__xludf.DUMMYFUNCTION("""COMPUTED_VALUE"""),"+ 4,6 %")</f>
        <v>+ 4,6 %</v>
      </c>
    </row>
    <row r="54">
      <c r="A54" s="2">
        <f>IFERROR(__xludf.DUMMYFUNCTION("""COMPUTED_VALUE"""),44593.0)</f>
        <v>44593</v>
      </c>
      <c r="B54" s="1" t="str">
        <f>IFERROR(__xludf.DUMMYFUNCTION("""COMPUTED_VALUE"""),"5.195 €/m2")</f>
        <v>5.195 €/m2</v>
      </c>
      <c r="C54" s="1" t="str">
        <f>IFERROR(__xludf.DUMMYFUNCTION("""COMPUTED_VALUE"""),"+ 0,2 %")</f>
        <v>+ 0,2 %</v>
      </c>
      <c r="D54" s="1" t="str">
        <f>IFERROR(__xludf.DUMMYFUNCTION("""COMPUTED_VALUE"""),"+ 1,9 %")</f>
        <v>+ 1,9 %</v>
      </c>
      <c r="E54" s="1" t="str">
        <f>IFERROR(__xludf.DUMMYFUNCTION("""COMPUTED_VALUE"""),"+ 4,1 %")</f>
        <v>+ 4,1 %</v>
      </c>
    </row>
    <row r="55">
      <c r="A55" s="2">
        <f>IFERROR(__xludf.DUMMYFUNCTION("""COMPUTED_VALUE"""),44562.0)</f>
        <v>44562</v>
      </c>
      <c r="B55" s="1" t="str">
        <f>IFERROR(__xludf.DUMMYFUNCTION("""COMPUTED_VALUE"""),"5.186 €/m2")</f>
        <v>5.186 €/m2</v>
      </c>
      <c r="C55" s="1" t="str">
        <f>IFERROR(__xludf.DUMMYFUNCTION("""COMPUTED_VALUE"""),"+ 1,8 %")</f>
        <v>+ 1,8 %</v>
      </c>
      <c r="D55" s="1" t="str">
        <f>IFERROR(__xludf.DUMMYFUNCTION("""COMPUTED_VALUE"""),"+ 1,9 %")</f>
        <v>+ 1,9 %</v>
      </c>
      <c r="E55" s="1" t="str">
        <f>IFERROR(__xludf.DUMMYFUNCTION("""COMPUTED_VALUE"""),"+ 4,8 %")</f>
        <v>+ 4,8 %</v>
      </c>
    </row>
    <row r="56">
      <c r="A56" s="2">
        <f>IFERROR(__xludf.DUMMYFUNCTION("""COMPUTED_VALUE"""),44531.0)</f>
        <v>44531</v>
      </c>
      <c r="B56" s="1" t="str">
        <f>IFERROR(__xludf.DUMMYFUNCTION("""COMPUTED_VALUE"""),"5.093 €/m2")</f>
        <v>5.093 €/m2</v>
      </c>
      <c r="C56" s="1" t="str">
        <f>IFERROR(__xludf.DUMMYFUNCTION("""COMPUTED_VALUE"""),"- 0,1 %")</f>
        <v>- 0,1 %</v>
      </c>
      <c r="D56" s="1" t="str">
        <f>IFERROR(__xludf.DUMMYFUNCTION("""COMPUTED_VALUE"""),"- 0,2 %")</f>
        <v>- 0,2 %</v>
      </c>
      <c r="E56" s="1" t="str">
        <f>IFERROR(__xludf.DUMMYFUNCTION("""COMPUTED_VALUE"""),"+ 2,0 %")</f>
        <v>+ 2,0 %</v>
      </c>
    </row>
    <row r="57">
      <c r="A57" s="2">
        <f>IFERROR(__xludf.DUMMYFUNCTION("""COMPUTED_VALUE"""),44501.0)</f>
        <v>44501</v>
      </c>
      <c r="B57" s="1" t="str">
        <f>IFERROR(__xludf.DUMMYFUNCTION("""COMPUTED_VALUE"""),"5.097 €/m2")</f>
        <v>5.097 €/m2</v>
      </c>
      <c r="C57" s="1" t="str">
        <f>IFERROR(__xludf.DUMMYFUNCTION("""COMPUTED_VALUE"""),"+ 0,1 %")</f>
        <v>+ 0,1 %</v>
      </c>
      <c r="D57" s="1" t="str">
        <f>IFERROR(__xludf.DUMMYFUNCTION("""COMPUTED_VALUE"""),"+ 0,5 %")</f>
        <v>+ 0,5 %</v>
      </c>
      <c r="E57" s="1" t="str">
        <f>IFERROR(__xludf.DUMMYFUNCTION("""COMPUTED_VALUE"""),"+ 1,5 %")</f>
        <v>+ 1,5 %</v>
      </c>
    </row>
    <row r="58">
      <c r="A58" s="2">
        <f>IFERROR(__xludf.DUMMYFUNCTION("""COMPUTED_VALUE"""),44470.0)</f>
        <v>44470</v>
      </c>
      <c r="B58" s="1" t="str">
        <f>IFERROR(__xludf.DUMMYFUNCTION("""COMPUTED_VALUE"""),"5.090 €/m2")</f>
        <v>5.090 €/m2</v>
      </c>
      <c r="C58" s="1" t="str">
        <f>IFERROR(__xludf.DUMMYFUNCTION("""COMPUTED_VALUE"""),"- 0,2 %")</f>
        <v>- 0,2 %</v>
      </c>
      <c r="D58" s="1" t="str">
        <f>IFERROR(__xludf.DUMMYFUNCTION("""COMPUTED_VALUE"""),"- 0,2 %")</f>
        <v>- 0,2 %</v>
      </c>
      <c r="E58" s="1" t="str">
        <f>IFERROR(__xludf.DUMMYFUNCTION("""COMPUTED_VALUE"""),"+ 1,4 %")</f>
        <v>+ 1,4 %</v>
      </c>
    </row>
    <row r="59">
      <c r="A59" s="2">
        <f>IFERROR(__xludf.DUMMYFUNCTION("""COMPUTED_VALUE"""),44440.0)</f>
        <v>44440</v>
      </c>
      <c r="B59" s="1" t="str">
        <f>IFERROR(__xludf.DUMMYFUNCTION("""COMPUTED_VALUE"""),"5.102 €/m2")</f>
        <v>5.102 €/m2</v>
      </c>
      <c r="C59" s="1" t="str">
        <f>IFERROR(__xludf.DUMMYFUNCTION("""COMPUTED_VALUE"""),"+ 0,6 %")</f>
        <v>+ 0,6 %</v>
      </c>
      <c r="D59" s="1" t="str">
        <f>IFERROR(__xludf.DUMMYFUNCTION("""COMPUTED_VALUE"""),"- 0,7 %")</f>
        <v>- 0,7 %</v>
      </c>
      <c r="E59" s="1" t="str">
        <f>IFERROR(__xludf.DUMMYFUNCTION("""COMPUTED_VALUE"""),"+ 1,4 %")</f>
        <v>+ 1,4 %</v>
      </c>
    </row>
    <row r="60">
      <c r="A60" s="2">
        <f>IFERROR(__xludf.DUMMYFUNCTION("""COMPUTED_VALUE"""),44409.0)</f>
        <v>44409</v>
      </c>
      <c r="B60" s="1" t="str">
        <f>IFERROR(__xludf.DUMMYFUNCTION("""COMPUTED_VALUE"""),"5.072 €/m2")</f>
        <v>5.072 €/m2</v>
      </c>
      <c r="C60" s="1" t="str">
        <f>IFERROR(__xludf.DUMMYFUNCTION("""COMPUTED_VALUE"""),"- 0,6 %")</f>
        <v>- 0,6 %</v>
      </c>
      <c r="D60" s="1" t="str">
        <f>IFERROR(__xludf.DUMMYFUNCTION("""COMPUTED_VALUE"""),"- 0,2 %")</f>
        <v>- 0,2 %</v>
      </c>
      <c r="E60" s="1" t="str">
        <f>IFERROR(__xludf.DUMMYFUNCTION("""COMPUTED_VALUE"""),"+ 0,1 %")</f>
        <v>+ 0,1 %</v>
      </c>
    </row>
    <row r="61">
      <c r="A61" s="2">
        <f>IFERROR(__xludf.DUMMYFUNCTION("""COMPUTED_VALUE"""),44378.0)</f>
        <v>44378</v>
      </c>
      <c r="B61" s="1" t="str">
        <f>IFERROR(__xludf.DUMMYFUNCTION("""COMPUTED_VALUE"""),"5.102 €/m2")</f>
        <v>5.102 €/m2</v>
      </c>
      <c r="C61" s="1" t="str">
        <f>IFERROR(__xludf.DUMMYFUNCTION("""COMPUTED_VALUE"""),"- 0,7 %")</f>
        <v>- 0,7 %</v>
      </c>
      <c r="D61" s="1" t="str">
        <f>IFERROR(__xludf.DUMMYFUNCTION("""COMPUTED_VALUE"""),"+ 1,4 %")</f>
        <v>+ 1,4 %</v>
      </c>
      <c r="E61" s="1" t="str">
        <f>IFERROR(__xludf.DUMMYFUNCTION("""COMPUTED_VALUE"""),"0,0 %")</f>
        <v>0,0 %</v>
      </c>
    </row>
    <row r="62">
      <c r="A62" s="2">
        <f>IFERROR(__xludf.DUMMYFUNCTION("""COMPUTED_VALUE"""),44348.0)</f>
        <v>44348</v>
      </c>
      <c r="B62" s="1" t="str">
        <f>IFERROR(__xludf.DUMMYFUNCTION("""COMPUTED_VALUE"""),"5.137 €/m2")</f>
        <v>5.137 €/m2</v>
      </c>
      <c r="C62" s="1" t="str">
        <f>IFERROR(__xludf.DUMMYFUNCTION("""COMPUTED_VALUE"""),"+ 1,0 %")</f>
        <v>+ 1,0 %</v>
      </c>
      <c r="D62" s="1" t="str">
        <f>IFERROR(__xludf.DUMMYFUNCTION("""COMPUTED_VALUE"""),"+ 3,0 %")</f>
        <v>+ 3,0 %</v>
      </c>
      <c r="E62" s="1" t="str">
        <f>IFERROR(__xludf.DUMMYFUNCTION("""COMPUTED_VALUE"""),"- 1,0 %")</f>
        <v>- 1,0 %</v>
      </c>
    </row>
    <row r="63">
      <c r="A63" s="2">
        <f>IFERROR(__xludf.DUMMYFUNCTION("""COMPUTED_VALUE"""),44317.0)</f>
        <v>44317</v>
      </c>
      <c r="B63" s="1" t="str">
        <f>IFERROR(__xludf.DUMMYFUNCTION("""COMPUTED_VALUE"""),"5.083 €/m2")</f>
        <v>5.083 €/m2</v>
      </c>
      <c r="C63" s="1" t="str">
        <f>IFERROR(__xludf.DUMMYFUNCTION("""COMPUTED_VALUE"""),"+ 1,0 %")</f>
        <v>+ 1,0 %</v>
      </c>
      <c r="D63" s="1" t="str">
        <f>IFERROR(__xludf.DUMMYFUNCTION("""COMPUTED_VALUE"""),"+ 1,8 %")</f>
        <v>+ 1,8 %</v>
      </c>
      <c r="E63" s="1" t="str">
        <f>IFERROR(__xludf.DUMMYFUNCTION("""COMPUTED_VALUE"""),"- 2,3 %")</f>
        <v>- 2,3 %</v>
      </c>
    </row>
    <row r="64">
      <c r="A64" s="2">
        <f>IFERROR(__xludf.DUMMYFUNCTION("""COMPUTED_VALUE"""),44287.0)</f>
        <v>44287</v>
      </c>
      <c r="B64" s="1" t="str">
        <f>IFERROR(__xludf.DUMMYFUNCTION("""COMPUTED_VALUE"""),"5.033 €/m2")</f>
        <v>5.033 €/m2</v>
      </c>
      <c r="C64" s="1" t="str">
        <f>IFERROR(__xludf.DUMMYFUNCTION("""COMPUTED_VALUE"""),"+ 0,9 %")</f>
        <v>+ 0,9 %</v>
      </c>
      <c r="D64" s="1" t="str">
        <f>IFERROR(__xludf.DUMMYFUNCTION("""COMPUTED_VALUE"""),"+ 1,7 %")</f>
        <v>+ 1,7 %</v>
      </c>
      <c r="E64" s="1" t="str">
        <f>IFERROR(__xludf.DUMMYFUNCTION("""COMPUTED_VALUE"""),"- 2,4 %")</f>
        <v>- 2,4 %</v>
      </c>
    </row>
    <row r="65">
      <c r="A65" s="2">
        <f>IFERROR(__xludf.DUMMYFUNCTION("""COMPUTED_VALUE"""),44256.0)</f>
        <v>44256</v>
      </c>
      <c r="B65" s="1" t="str">
        <f>IFERROR(__xludf.DUMMYFUNCTION("""COMPUTED_VALUE"""),"4.988 €/m2")</f>
        <v>4.988 €/m2</v>
      </c>
      <c r="C65" s="1" t="str">
        <f>IFERROR(__xludf.DUMMYFUNCTION("""COMPUTED_VALUE"""),"- 0,1 %")</f>
        <v>- 0,1 %</v>
      </c>
      <c r="D65" s="1" t="str">
        <f>IFERROR(__xludf.DUMMYFUNCTION("""COMPUTED_VALUE"""),"- 0,1 %")</f>
        <v>- 0,1 %</v>
      </c>
      <c r="E65" s="1" t="str">
        <f>IFERROR(__xludf.DUMMYFUNCTION("""COMPUTED_VALUE"""),"- 3,1 %")</f>
        <v>- 3,1 %</v>
      </c>
    </row>
    <row r="66">
      <c r="A66" s="2">
        <f>IFERROR(__xludf.DUMMYFUNCTION("""COMPUTED_VALUE"""),44228.0)</f>
        <v>44228</v>
      </c>
      <c r="B66" s="1" t="str">
        <f>IFERROR(__xludf.DUMMYFUNCTION("""COMPUTED_VALUE"""),"4.991 €/m2")</f>
        <v>4.991 €/m2</v>
      </c>
      <c r="C66" s="1" t="str">
        <f>IFERROR(__xludf.DUMMYFUNCTION("""COMPUTED_VALUE"""),"+ 0,9 %")</f>
        <v>+ 0,9 %</v>
      </c>
      <c r="D66" s="1" t="str">
        <f>IFERROR(__xludf.DUMMYFUNCTION("""COMPUTED_VALUE"""),"- 0,6 %")</f>
        <v>- 0,6 %</v>
      </c>
      <c r="E66" s="1" t="str">
        <f>IFERROR(__xludf.DUMMYFUNCTION("""COMPUTED_VALUE"""),"- 2,6 %")</f>
        <v>- 2,6 %</v>
      </c>
    </row>
    <row r="67">
      <c r="A67" s="2">
        <f>IFERROR(__xludf.DUMMYFUNCTION("""COMPUTED_VALUE"""),44197.0)</f>
        <v>44197</v>
      </c>
      <c r="B67" s="1" t="str">
        <f>IFERROR(__xludf.DUMMYFUNCTION("""COMPUTED_VALUE"""),"4.947 €/m2")</f>
        <v>4.947 €/m2</v>
      </c>
      <c r="C67" s="1" t="str">
        <f>IFERROR(__xludf.DUMMYFUNCTION("""COMPUTED_VALUE"""),"- 1,0 %")</f>
        <v>- 1,0 %</v>
      </c>
      <c r="D67" s="1" t="str">
        <f>IFERROR(__xludf.DUMMYFUNCTION("""COMPUTED_VALUE"""),"- 1,4 %")</f>
        <v>- 1,4 %</v>
      </c>
      <c r="E67" s="1" t="str">
        <f>IFERROR(__xludf.DUMMYFUNCTION("""COMPUTED_VALUE"""),"- 2,5 %")</f>
        <v>- 2,5 %</v>
      </c>
    </row>
    <row r="68">
      <c r="A68" s="2">
        <f>IFERROR(__xludf.DUMMYFUNCTION("""COMPUTED_VALUE"""),44166.0)</f>
        <v>44166</v>
      </c>
      <c r="B68" s="1" t="str">
        <f>IFERROR(__xludf.DUMMYFUNCTION("""COMPUTED_VALUE"""),"4.995 €/m2")</f>
        <v>4.995 €/m2</v>
      </c>
      <c r="C68" s="1" t="str">
        <f>IFERROR(__xludf.DUMMYFUNCTION("""COMPUTED_VALUE"""),"- 0,5 %")</f>
        <v>- 0,5 %</v>
      </c>
      <c r="D68" s="1" t="str">
        <f>IFERROR(__xludf.DUMMYFUNCTION("""COMPUTED_VALUE"""),"- 0,7 %")</f>
        <v>- 0,7 %</v>
      </c>
      <c r="E68" s="1" t="str">
        <f>IFERROR(__xludf.DUMMYFUNCTION("""COMPUTED_VALUE"""),"- 0,8 %")</f>
        <v>- 0,8 %</v>
      </c>
    </row>
    <row r="69">
      <c r="A69" s="2">
        <f>IFERROR(__xludf.DUMMYFUNCTION("""COMPUTED_VALUE"""),44136.0)</f>
        <v>44136</v>
      </c>
      <c r="B69" s="1" t="str">
        <f>IFERROR(__xludf.DUMMYFUNCTION("""COMPUTED_VALUE"""),"5.023 €/m2")</f>
        <v>5.023 €/m2</v>
      </c>
      <c r="C69" s="1" t="str">
        <f>IFERROR(__xludf.DUMMYFUNCTION("""COMPUTED_VALUE"""),"+ 0,1 %")</f>
        <v>+ 0,1 %</v>
      </c>
      <c r="D69" s="1" t="str">
        <f>IFERROR(__xludf.DUMMYFUNCTION("""COMPUTED_VALUE"""),"- 0,9 %")</f>
        <v>- 0,9 %</v>
      </c>
      <c r="E69" s="1" t="str">
        <f>IFERROR(__xludf.DUMMYFUNCTION("""COMPUTED_VALUE"""),"+ 0,7 %")</f>
        <v>+ 0,7 %</v>
      </c>
    </row>
    <row r="70">
      <c r="A70" s="2">
        <f>IFERROR(__xludf.DUMMYFUNCTION("""COMPUTED_VALUE"""),44105.0)</f>
        <v>44105</v>
      </c>
      <c r="B70" s="1" t="str">
        <f>IFERROR(__xludf.DUMMYFUNCTION("""COMPUTED_VALUE"""),"5.019 €/m2")</f>
        <v>5.019 €/m2</v>
      </c>
      <c r="C70" s="1" t="str">
        <f>IFERROR(__xludf.DUMMYFUNCTION("""COMPUTED_VALUE"""),"- 0,2 %")</f>
        <v>- 0,2 %</v>
      </c>
      <c r="D70" s="1" t="str">
        <f>IFERROR(__xludf.DUMMYFUNCTION("""COMPUTED_VALUE"""),"- 1,6 %")</f>
        <v>- 1,6 %</v>
      </c>
      <c r="E70" s="1" t="str">
        <f>IFERROR(__xludf.DUMMYFUNCTION("""COMPUTED_VALUE"""),"+ 0,5 %")</f>
        <v>+ 0,5 %</v>
      </c>
    </row>
    <row r="71">
      <c r="A71" s="2">
        <f>IFERROR(__xludf.DUMMYFUNCTION("""COMPUTED_VALUE"""),44075.0)</f>
        <v>44075</v>
      </c>
      <c r="B71" s="1" t="str">
        <f>IFERROR(__xludf.DUMMYFUNCTION("""COMPUTED_VALUE"""),"5.030 €/m2")</f>
        <v>5.030 €/m2</v>
      </c>
      <c r="C71" s="1" t="str">
        <f>IFERROR(__xludf.DUMMYFUNCTION("""COMPUTED_VALUE"""),"- 0,7 %")</f>
        <v>- 0,7 %</v>
      </c>
      <c r="D71" s="1" t="str">
        <f>IFERROR(__xludf.DUMMYFUNCTION("""COMPUTED_VALUE"""),"- 3,1 %")</f>
        <v>- 3,1 %</v>
      </c>
      <c r="E71" s="1" t="str">
        <f>IFERROR(__xludf.DUMMYFUNCTION("""COMPUTED_VALUE"""),"+ 0,5 %")</f>
        <v>+ 0,5 %</v>
      </c>
    </row>
    <row r="72">
      <c r="A72" s="2">
        <f>IFERROR(__xludf.DUMMYFUNCTION("""COMPUTED_VALUE"""),44044.0)</f>
        <v>44044</v>
      </c>
      <c r="B72" s="1" t="str">
        <f>IFERROR(__xludf.DUMMYFUNCTION("""COMPUTED_VALUE"""),"5.068 €/m2")</f>
        <v>5.068 €/m2</v>
      </c>
      <c r="C72" s="1" t="str">
        <f>IFERROR(__xludf.DUMMYFUNCTION("""COMPUTED_VALUE"""),"- 0,7 %")</f>
        <v>- 0,7 %</v>
      </c>
      <c r="D72" s="1" t="str">
        <f>IFERROR(__xludf.DUMMYFUNCTION("""COMPUTED_VALUE"""),"- 2,6 %")</f>
        <v>- 2,6 %</v>
      </c>
      <c r="E72" s="1" t="str">
        <f>IFERROR(__xludf.DUMMYFUNCTION("""COMPUTED_VALUE"""),"+ 1,8 %")</f>
        <v>+ 1,8 %</v>
      </c>
    </row>
    <row r="73">
      <c r="A73" s="2">
        <f>IFERROR(__xludf.DUMMYFUNCTION("""COMPUTED_VALUE"""),44013.0)</f>
        <v>44013</v>
      </c>
      <c r="B73" s="1" t="str">
        <f>IFERROR(__xludf.DUMMYFUNCTION("""COMPUTED_VALUE"""),"5.103 €/m2")</f>
        <v>5.103 €/m2</v>
      </c>
      <c r="C73" s="1" t="str">
        <f>IFERROR(__xludf.DUMMYFUNCTION("""COMPUTED_VALUE"""),"- 1,7 %")</f>
        <v>- 1,7 %</v>
      </c>
      <c r="D73" s="1" t="str">
        <f>IFERROR(__xludf.DUMMYFUNCTION("""COMPUTED_VALUE"""),"- 1,1 %")</f>
        <v>- 1,1 %</v>
      </c>
      <c r="E73" s="1" t="str">
        <f>IFERROR(__xludf.DUMMYFUNCTION("""COMPUTED_VALUE"""),"+ 2,4 %")</f>
        <v>+ 2,4 %</v>
      </c>
    </row>
    <row r="74">
      <c r="A74" s="2">
        <f>IFERROR(__xludf.DUMMYFUNCTION("""COMPUTED_VALUE"""),43983.0)</f>
        <v>43983</v>
      </c>
      <c r="B74" s="1" t="str">
        <f>IFERROR(__xludf.DUMMYFUNCTION("""COMPUTED_VALUE"""),"5.190 €/m2")</f>
        <v>5.190 €/m2</v>
      </c>
      <c r="C74" s="1" t="str">
        <f>IFERROR(__xludf.DUMMYFUNCTION("""COMPUTED_VALUE"""),"- 0,3 %")</f>
        <v>- 0,3 %</v>
      </c>
      <c r="D74" s="1" t="str">
        <f>IFERROR(__xludf.DUMMYFUNCTION("""COMPUTED_VALUE"""),"+ 0,8 %")</f>
        <v>+ 0,8 %</v>
      </c>
      <c r="E74" s="1" t="str">
        <f>IFERROR(__xludf.DUMMYFUNCTION("""COMPUTED_VALUE"""),"+ 4,8 %")</f>
        <v>+ 4,8 %</v>
      </c>
    </row>
    <row r="75">
      <c r="A75" s="2">
        <f>IFERROR(__xludf.DUMMYFUNCTION("""COMPUTED_VALUE"""),43952.0)</f>
        <v>43952</v>
      </c>
      <c r="B75" s="1" t="str">
        <f>IFERROR(__xludf.DUMMYFUNCTION("""COMPUTED_VALUE"""),"5.205 €/m2")</f>
        <v>5.205 €/m2</v>
      </c>
      <c r="C75" s="1" t="str">
        <f>IFERROR(__xludf.DUMMYFUNCTION("""COMPUTED_VALUE"""),"+ 0,9 %")</f>
        <v>+ 0,9 %</v>
      </c>
      <c r="D75" s="1" t="str">
        <f>IFERROR(__xludf.DUMMYFUNCTION("""COMPUTED_VALUE"""),"+ 1,6 %")</f>
        <v>+ 1,6 %</v>
      </c>
      <c r="E75" s="1" t="str">
        <f>IFERROR(__xludf.DUMMYFUNCTION("""COMPUTED_VALUE"""),"+ 3,8 %")</f>
        <v>+ 3,8 %</v>
      </c>
    </row>
    <row r="76">
      <c r="A76" s="2">
        <f>IFERROR(__xludf.DUMMYFUNCTION("""COMPUTED_VALUE"""),43922.0)</f>
        <v>43922</v>
      </c>
      <c r="B76" s="1" t="str">
        <f>IFERROR(__xludf.DUMMYFUNCTION("""COMPUTED_VALUE"""),"5.158 €/m2")</f>
        <v>5.158 €/m2</v>
      </c>
      <c r="C76" s="1" t="str">
        <f>IFERROR(__xludf.DUMMYFUNCTION("""COMPUTED_VALUE"""),"+ 0,2 %")</f>
        <v>+ 0,2 %</v>
      </c>
      <c r="D76" s="1" t="str">
        <f>IFERROR(__xludf.DUMMYFUNCTION("""COMPUTED_VALUE"""),"+ 1,7 %")</f>
        <v>+ 1,7 %</v>
      </c>
      <c r="E76" s="1" t="str">
        <f>IFERROR(__xludf.DUMMYFUNCTION("""COMPUTED_VALUE"""),"+ 2,3 %")</f>
        <v>+ 2,3 %</v>
      </c>
    </row>
    <row r="77">
      <c r="A77" s="2">
        <f>IFERROR(__xludf.DUMMYFUNCTION("""COMPUTED_VALUE"""),43891.0)</f>
        <v>43891</v>
      </c>
      <c r="B77" s="1" t="str">
        <f>IFERROR(__xludf.DUMMYFUNCTION("""COMPUTED_VALUE"""),"5.148 €/m2")</f>
        <v>5.148 €/m2</v>
      </c>
      <c r="C77" s="1" t="str">
        <f>IFERROR(__xludf.DUMMYFUNCTION("""COMPUTED_VALUE"""),"+ 0,4 %")</f>
        <v>+ 0,4 %</v>
      </c>
      <c r="D77" s="1" t="str">
        <f>IFERROR(__xludf.DUMMYFUNCTION("""COMPUTED_VALUE"""),"+ 2,2 %")</f>
        <v>+ 2,2 %</v>
      </c>
      <c r="E77" s="1" t="str">
        <f>IFERROR(__xludf.DUMMYFUNCTION("""COMPUTED_VALUE"""),"+ 0,9 %")</f>
        <v>+ 0,9 %</v>
      </c>
    </row>
    <row r="78">
      <c r="A78" s="2">
        <f>IFERROR(__xludf.DUMMYFUNCTION("""COMPUTED_VALUE"""),43862.0)</f>
        <v>43862</v>
      </c>
      <c r="B78" s="1" t="str">
        <f>IFERROR(__xludf.DUMMYFUNCTION("""COMPUTED_VALUE"""),"5.125 €/m2")</f>
        <v>5.125 €/m2</v>
      </c>
      <c r="C78" s="1" t="str">
        <f>IFERROR(__xludf.DUMMYFUNCTION("""COMPUTED_VALUE"""),"+ 1,0 %")</f>
        <v>+ 1,0 %</v>
      </c>
      <c r="D78" s="1" t="str">
        <f>IFERROR(__xludf.DUMMYFUNCTION("""COMPUTED_VALUE"""),"+ 2,8 %")</f>
        <v>+ 2,8 %</v>
      </c>
      <c r="E78" s="1" t="str">
        <f>IFERROR(__xludf.DUMMYFUNCTION("""COMPUTED_VALUE"""),"- 0,4 %")</f>
        <v>- 0,4 %</v>
      </c>
    </row>
    <row r="79">
      <c r="A79" s="2">
        <f>IFERROR(__xludf.DUMMYFUNCTION("""COMPUTED_VALUE"""),43831.0)</f>
        <v>43831</v>
      </c>
      <c r="B79" s="1" t="str">
        <f>IFERROR(__xludf.DUMMYFUNCTION("""COMPUTED_VALUE"""),"5.073 €/m2")</f>
        <v>5.073 €/m2</v>
      </c>
      <c r="C79" s="1" t="str">
        <f>IFERROR(__xludf.DUMMYFUNCTION("""COMPUTED_VALUE"""),"+ 0,7 %")</f>
        <v>+ 0,7 %</v>
      </c>
      <c r="D79" s="1" t="str">
        <f>IFERROR(__xludf.DUMMYFUNCTION("""COMPUTED_VALUE"""),"+ 1,6 %")</f>
        <v>+ 1,6 %</v>
      </c>
      <c r="E79" s="1" t="str">
        <f>IFERROR(__xludf.DUMMYFUNCTION("""COMPUTED_VALUE"""),"- 0,7 %")</f>
        <v>- 0,7 %</v>
      </c>
    </row>
    <row r="80">
      <c r="A80" s="2">
        <f>IFERROR(__xludf.DUMMYFUNCTION("""COMPUTED_VALUE"""),43800.0)</f>
        <v>43800</v>
      </c>
      <c r="B80" s="1" t="str">
        <f>IFERROR(__xludf.DUMMYFUNCTION("""COMPUTED_VALUE"""),"5.035 €/m2")</f>
        <v>5.035 €/m2</v>
      </c>
      <c r="C80" s="1" t="str">
        <f>IFERROR(__xludf.DUMMYFUNCTION("""COMPUTED_VALUE"""),"+ 1,0 %")</f>
        <v>+ 1,0 %</v>
      </c>
      <c r="D80" s="1" t="str">
        <f>IFERROR(__xludf.DUMMYFUNCTION("""COMPUTED_VALUE"""),"+ 0,6 %")</f>
        <v>+ 0,6 %</v>
      </c>
      <c r="E80" s="1" t="str">
        <f>IFERROR(__xludf.DUMMYFUNCTION("""COMPUTED_VALUE"""),"- 1,8 %")</f>
        <v>- 1,8 %</v>
      </c>
    </row>
    <row r="81">
      <c r="A81" s="2">
        <f>IFERROR(__xludf.DUMMYFUNCTION("""COMPUTED_VALUE"""),43770.0)</f>
        <v>43770</v>
      </c>
      <c r="B81" s="1" t="str">
        <f>IFERROR(__xludf.DUMMYFUNCTION("""COMPUTED_VALUE"""),"4.986 €/m2")</f>
        <v>4.986 €/m2</v>
      </c>
      <c r="C81" s="1" t="str">
        <f>IFERROR(__xludf.DUMMYFUNCTION("""COMPUTED_VALUE"""),"- 0,2 %")</f>
        <v>- 0,2 %</v>
      </c>
      <c r="D81" s="1" t="str">
        <f>IFERROR(__xludf.DUMMYFUNCTION("""COMPUTED_VALUE"""),"+ 0,2 %")</f>
        <v>+ 0,2 %</v>
      </c>
      <c r="E81" s="1" t="str">
        <f>IFERROR(__xludf.DUMMYFUNCTION("""COMPUTED_VALUE"""),"- 2,5 %")</f>
        <v>- 2,5 %</v>
      </c>
    </row>
    <row r="82">
      <c r="A82" s="2">
        <f>IFERROR(__xludf.DUMMYFUNCTION("""COMPUTED_VALUE"""),43739.0)</f>
        <v>43739</v>
      </c>
      <c r="B82" s="1" t="str">
        <f>IFERROR(__xludf.DUMMYFUNCTION("""COMPUTED_VALUE"""),"4.995 €/m2")</f>
        <v>4.995 €/m2</v>
      </c>
      <c r="C82" s="1" t="str">
        <f>IFERROR(__xludf.DUMMYFUNCTION("""COMPUTED_VALUE"""),"- 0,3 %")</f>
        <v>- 0,3 %</v>
      </c>
      <c r="D82" s="1" t="str">
        <f>IFERROR(__xludf.DUMMYFUNCTION("""COMPUTED_VALUE"""),"+ 0,3 %")</f>
        <v>+ 0,3 %</v>
      </c>
      <c r="E82" s="1" t="str">
        <f>IFERROR(__xludf.DUMMYFUNCTION("""COMPUTED_VALUE"""),"- 1,2 %")</f>
        <v>- 1,2 %</v>
      </c>
    </row>
    <row r="83">
      <c r="A83" s="2">
        <f>IFERROR(__xludf.DUMMYFUNCTION("""COMPUTED_VALUE"""),43709.0)</f>
        <v>43709</v>
      </c>
      <c r="B83" s="1" t="str">
        <f>IFERROR(__xludf.DUMMYFUNCTION("""COMPUTED_VALUE"""),"5.008 €/m2")</f>
        <v>5.008 €/m2</v>
      </c>
      <c r="C83" s="1" t="str">
        <f>IFERROR(__xludf.DUMMYFUNCTION("""COMPUTED_VALUE"""),"+ 0,6 %")</f>
        <v>+ 0,6 %</v>
      </c>
      <c r="D83" s="1" t="str">
        <f>IFERROR(__xludf.DUMMYFUNCTION("""COMPUTED_VALUE"""),"+ 1,1 %")</f>
        <v>+ 1,1 %</v>
      </c>
      <c r="E83" s="1" t="str">
        <f>IFERROR(__xludf.DUMMYFUNCTION("""COMPUTED_VALUE"""),"- 0,2 %")</f>
        <v>- 0,2 %</v>
      </c>
    </row>
    <row r="84">
      <c r="A84" s="2">
        <f>IFERROR(__xludf.DUMMYFUNCTION("""COMPUTED_VALUE"""),43678.0)</f>
        <v>43678</v>
      </c>
      <c r="B84" s="1" t="str">
        <f>IFERROR(__xludf.DUMMYFUNCTION("""COMPUTED_VALUE"""),"4.977 €/m2")</f>
        <v>4.977 €/m2</v>
      </c>
      <c r="C84" s="1" t="str">
        <f>IFERROR(__xludf.DUMMYFUNCTION("""COMPUTED_VALUE"""),"- 0,1 %")</f>
        <v>- 0,1 %</v>
      </c>
      <c r="D84" s="1" t="str">
        <f>IFERROR(__xludf.DUMMYFUNCTION("""COMPUTED_VALUE"""),"- 0,8 %")</f>
        <v>- 0,8 %</v>
      </c>
      <c r="E84" s="1" t="str">
        <f>IFERROR(__xludf.DUMMYFUNCTION("""COMPUTED_VALUE"""),"+ 0,6 %")</f>
        <v>+ 0,6 %</v>
      </c>
    </row>
    <row r="85">
      <c r="A85" s="2">
        <f>IFERROR(__xludf.DUMMYFUNCTION("""COMPUTED_VALUE"""),43647.0)</f>
        <v>43647</v>
      </c>
      <c r="B85" s="1" t="str">
        <f>IFERROR(__xludf.DUMMYFUNCTION("""COMPUTED_VALUE"""),"4.981 €/m2")</f>
        <v>4.981 €/m2</v>
      </c>
      <c r="C85" s="1" t="str">
        <f>IFERROR(__xludf.DUMMYFUNCTION("""COMPUTED_VALUE"""),"+ 0,6 %")</f>
        <v>+ 0,6 %</v>
      </c>
      <c r="D85" s="1" t="str">
        <f>IFERROR(__xludf.DUMMYFUNCTION("""COMPUTED_VALUE"""),"- 1,2 %")</f>
        <v>- 1,2 %</v>
      </c>
      <c r="E85" s="1" t="str">
        <f>IFERROR(__xludf.DUMMYFUNCTION("""COMPUTED_VALUE"""),"+ 1,4 %")</f>
        <v>+ 1,4 %</v>
      </c>
    </row>
    <row r="86">
      <c r="A86" s="2">
        <f>IFERROR(__xludf.DUMMYFUNCTION("""COMPUTED_VALUE"""),43617.0)</f>
        <v>43617</v>
      </c>
      <c r="B86" s="1" t="str">
        <f>IFERROR(__xludf.DUMMYFUNCTION("""COMPUTED_VALUE"""),"4.951 €/m2")</f>
        <v>4.951 €/m2</v>
      </c>
      <c r="C86" s="1" t="str">
        <f>IFERROR(__xludf.DUMMYFUNCTION("""COMPUTED_VALUE"""),"- 1,3 %")</f>
        <v>- 1,3 %</v>
      </c>
      <c r="D86" s="1" t="str">
        <f>IFERROR(__xludf.DUMMYFUNCTION("""COMPUTED_VALUE"""),"- 3,0 %")</f>
        <v>- 3,0 %</v>
      </c>
      <c r="E86" s="1" t="str">
        <f>IFERROR(__xludf.DUMMYFUNCTION("""COMPUTED_VALUE"""),"+ 1,8 %")</f>
        <v>+ 1,8 %</v>
      </c>
    </row>
    <row r="87">
      <c r="A87" s="2">
        <f>IFERROR(__xludf.DUMMYFUNCTION("""COMPUTED_VALUE"""),43586.0)</f>
        <v>43586</v>
      </c>
      <c r="B87" s="1" t="str">
        <f>IFERROR(__xludf.DUMMYFUNCTION("""COMPUTED_VALUE"""),"5.016 €/m2")</f>
        <v>5.016 €/m2</v>
      </c>
      <c r="C87" s="1" t="str">
        <f>IFERROR(__xludf.DUMMYFUNCTION("""COMPUTED_VALUE"""),"- 0,5 %")</f>
        <v>- 0,5 %</v>
      </c>
      <c r="D87" s="1" t="str">
        <f>IFERROR(__xludf.DUMMYFUNCTION("""COMPUTED_VALUE"""),"- 2,5 %")</f>
        <v>- 2,5 %</v>
      </c>
      <c r="E87" s="1" t="str">
        <f>IFERROR(__xludf.DUMMYFUNCTION("""COMPUTED_VALUE"""),"+ 3,4 %")</f>
        <v>+ 3,4 %</v>
      </c>
    </row>
    <row r="88">
      <c r="A88" s="2">
        <f>IFERROR(__xludf.DUMMYFUNCTION("""COMPUTED_VALUE"""),43556.0)</f>
        <v>43556</v>
      </c>
      <c r="B88" s="1" t="str">
        <f>IFERROR(__xludf.DUMMYFUNCTION("""COMPUTED_VALUE"""),"5.041 €/m2")</f>
        <v>5.041 €/m2</v>
      </c>
      <c r="C88" s="1" t="str">
        <f>IFERROR(__xludf.DUMMYFUNCTION("""COMPUTED_VALUE"""),"- 1,2 %")</f>
        <v>- 1,2 %</v>
      </c>
      <c r="D88" s="1" t="str">
        <f>IFERROR(__xludf.DUMMYFUNCTION("""COMPUTED_VALUE"""),"- 1,3 %")</f>
        <v>- 1,3 %</v>
      </c>
      <c r="E88" s="1" t="str">
        <f>IFERROR(__xludf.DUMMYFUNCTION("""COMPUTED_VALUE"""),"+ 5,1 %")</f>
        <v>+ 5,1 %</v>
      </c>
    </row>
    <row r="89">
      <c r="A89" s="2">
        <f>IFERROR(__xludf.DUMMYFUNCTION("""COMPUTED_VALUE"""),43525.0)</f>
        <v>43525</v>
      </c>
      <c r="B89" s="1" t="str">
        <f>IFERROR(__xludf.DUMMYFUNCTION("""COMPUTED_VALUE"""),"5.102 €/m2")</f>
        <v>5.102 €/m2</v>
      </c>
      <c r="C89" s="1" t="str">
        <f>IFERROR(__xludf.DUMMYFUNCTION("""COMPUTED_VALUE"""),"- 0,8 %")</f>
        <v>- 0,8 %</v>
      </c>
      <c r="D89" s="1" t="str">
        <f>IFERROR(__xludf.DUMMYFUNCTION("""COMPUTED_VALUE"""),"- 0,4 %")</f>
        <v>- 0,4 %</v>
      </c>
      <c r="E89" s="1" t="str">
        <f>IFERROR(__xludf.DUMMYFUNCTION("""COMPUTED_VALUE"""),"+ 7,4 %")</f>
        <v>+ 7,4 %</v>
      </c>
    </row>
    <row r="90">
      <c r="A90" s="2">
        <f>IFERROR(__xludf.DUMMYFUNCTION("""COMPUTED_VALUE"""),43497.0)</f>
        <v>43497</v>
      </c>
      <c r="B90" s="1" t="str">
        <f>IFERROR(__xludf.DUMMYFUNCTION("""COMPUTED_VALUE"""),"5.146 €/m2")</f>
        <v>5.146 €/m2</v>
      </c>
      <c r="C90" s="1" t="str">
        <f>IFERROR(__xludf.DUMMYFUNCTION("""COMPUTED_VALUE"""),"+ 0,7 %")</f>
        <v>+ 0,7 %</v>
      </c>
      <c r="D90" s="1" t="str">
        <f>IFERROR(__xludf.DUMMYFUNCTION("""COMPUTED_VALUE"""),"+ 0,7 %")</f>
        <v>+ 0,7 %</v>
      </c>
      <c r="E90" s="1" t="str">
        <f>IFERROR(__xludf.DUMMYFUNCTION("""COMPUTED_VALUE"""),"+ 9,0 %")</f>
        <v>+ 9,0 %</v>
      </c>
    </row>
    <row r="91">
      <c r="A91" s="2">
        <f>IFERROR(__xludf.DUMMYFUNCTION("""COMPUTED_VALUE"""),43466.0)</f>
        <v>43466</v>
      </c>
      <c r="B91" s="1" t="str">
        <f>IFERROR(__xludf.DUMMYFUNCTION("""COMPUTED_VALUE"""),"5.109 €/m2")</f>
        <v>5.109 €/m2</v>
      </c>
      <c r="C91" s="1" t="str">
        <f>IFERROR(__xludf.DUMMYFUNCTION("""COMPUTED_VALUE"""),"- 0,3 %")</f>
        <v>- 0,3 %</v>
      </c>
      <c r="D91" s="1" t="str">
        <f>IFERROR(__xludf.DUMMYFUNCTION("""COMPUTED_VALUE"""),"+ 1,1 %")</f>
        <v>+ 1,1 %</v>
      </c>
      <c r="E91" s="1" t="str">
        <f>IFERROR(__xludf.DUMMYFUNCTION("""COMPUTED_VALUE"""),"+ 10,2 %")</f>
        <v>+ 10,2 %</v>
      </c>
    </row>
    <row r="92">
      <c r="A92" s="2">
        <f>IFERROR(__xludf.DUMMYFUNCTION("""COMPUTED_VALUE"""),43435.0)</f>
        <v>43435</v>
      </c>
      <c r="B92" s="1" t="str">
        <f>IFERROR(__xludf.DUMMYFUNCTION("""COMPUTED_VALUE"""),"5.125 €/m2")</f>
        <v>5.125 €/m2</v>
      </c>
      <c r="C92" s="1" t="str">
        <f>IFERROR(__xludf.DUMMYFUNCTION("""COMPUTED_VALUE"""),"+ 0,3 %")</f>
        <v>+ 0,3 %</v>
      </c>
      <c r="D92" s="1" t="str">
        <f>IFERROR(__xludf.DUMMYFUNCTION("""COMPUTED_VALUE"""),"+ 2,2 %")</f>
        <v>+ 2,2 %</v>
      </c>
      <c r="E92" s="1" t="str">
        <f>IFERROR(__xludf.DUMMYFUNCTION("""COMPUTED_VALUE"""),"+ 12,2 %")</f>
        <v>+ 12,2 %</v>
      </c>
    </row>
    <row r="93">
      <c r="A93" s="2">
        <f>IFERROR(__xludf.DUMMYFUNCTION("""COMPUTED_VALUE"""),43405.0)</f>
        <v>43405</v>
      </c>
      <c r="B93" s="1" t="str">
        <f>IFERROR(__xludf.DUMMYFUNCTION("""COMPUTED_VALUE"""),"5.111 €/m2")</f>
        <v>5.111 €/m2</v>
      </c>
      <c r="C93" s="1" t="str">
        <f>IFERROR(__xludf.DUMMYFUNCTION("""COMPUTED_VALUE"""),"+ 1,1 %")</f>
        <v>+ 1,1 %</v>
      </c>
      <c r="D93" s="1" t="str">
        <f>IFERROR(__xludf.DUMMYFUNCTION("""COMPUTED_VALUE"""),"+ 3,3 %")</f>
        <v>+ 3,3 %</v>
      </c>
      <c r="E93" s="1" t="str">
        <f>IFERROR(__xludf.DUMMYFUNCTION("""COMPUTED_VALUE"""),"+ 12,5 %")</f>
        <v>+ 12,5 %</v>
      </c>
    </row>
    <row r="94">
      <c r="A94" s="2">
        <f>IFERROR(__xludf.DUMMYFUNCTION("""COMPUTED_VALUE"""),43374.0)</f>
        <v>43374</v>
      </c>
      <c r="B94" s="1" t="str">
        <f>IFERROR(__xludf.DUMMYFUNCTION("""COMPUTED_VALUE"""),"5.055 €/m2")</f>
        <v>5.055 €/m2</v>
      </c>
      <c r="C94" s="1" t="str">
        <f>IFERROR(__xludf.DUMMYFUNCTION("""COMPUTED_VALUE"""),"+ 0,8 %")</f>
        <v>+ 0,8 %</v>
      </c>
      <c r="D94" s="1" t="str">
        <f>IFERROR(__xludf.DUMMYFUNCTION("""COMPUTED_VALUE"""),"+ 2,9 %")</f>
        <v>+ 2,9 %</v>
      </c>
      <c r="E94" s="1" t="str">
        <f>IFERROR(__xludf.DUMMYFUNCTION("""COMPUTED_VALUE"""),"+ 11,5 %")</f>
        <v>+ 11,5 %</v>
      </c>
    </row>
    <row r="95">
      <c r="A95" s="2">
        <f>IFERROR(__xludf.DUMMYFUNCTION("""COMPUTED_VALUE"""),43344.0)</f>
        <v>43344</v>
      </c>
      <c r="B95" s="1" t="str">
        <f>IFERROR(__xludf.DUMMYFUNCTION("""COMPUTED_VALUE"""),"5.017 €/m2")</f>
        <v>5.017 €/m2</v>
      </c>
      <c r="C95" s="1" t="str">
        <f>IFERROR(__xludf.DUMMYFUNCTION("""COMPUTED_VALUE"""),"+ 1,4 %")</f>
        <v>+ 1,4 %</v>
      </c>
      <c r="D95" s="1" t="str">
        <f>IFERROR(__xludf.DUMMYFUNCTION("""COMPUTED_VALUE"""),"+ 3,1 %")</f>
        <v>+ 3,1 %</v>
      </c>
      <c r="E95" s="1" t="str">
        <f>IFERROR(__xludf.DUMMYFUNCTION("""COMPUTED_VALUE"""),"+ 11,9 %")</f>
        <v>+ 11,9 %</v>
      </c>
    </row>
    <row r="96">
      <c r="A96" s="2">
        <f>IFERROR(__xludf.DUMMYFUNCTION("""COMPUTED_VALUE"""),43313.0)</f>
        <v>43313</v>
      </c>
      <c r="B96" s="1" t="str">
        <f>IFERROR(__xludf.DUMMYFUNCTION("""COMPUTED_VALUE"""),"4.946 €/m2")</f>
        <v>4.946 €/m2</v>
      </c>
      <c r="C96" s="1" t="str">
        <f>IFERROR(__xludf.DUMMYFUNCTION("""COMPUTED_VALUE"""),"+ 0,7 %")</f>
        <v>+ 0,7 %</v>
      </c>
      <c r="D96" s="1" t="str">
        <f>IFERROR(__xludf.DUMMYFUNCTION("""COMPUTED_VALUE"""),"+ 1,9 %")</f>
        <v>+ 1,9 %</v>
      </c>
      <c r="E96" s="1" t="str">
        <f>IFERROR(__xludf.DUMMYFUNCTION("""COMPUTED_VALUE"""),"+ 11,1 %")</f>
        <v>+ 11,1 %</v>
      </c>
    </row>
    <row r="97">
      <c r="A97" s="2">
        <f>IFERROR(__xludf.DUMMYFUNCTION("""COMPUTED_VALUE"""),43282.0)</f>
        <v>43282</v>
      </c>
      <c r="B97" s="1" t="str">
        <f>IFERROR(__xludf.DUMMYFUNCTION("""COMPUTED_VALUE"""),"4.911 €/m2")</f>
        <v>4.911 €/m2</v>
      </c>
      <c r="C97" s="1" t="str">
        <f>IFERROR(__xludf.DUMMYFUNCTION("""COMPUTED_VALUE"""),"+ 1,0 %")</f>
        <v>+ 1,0 %</v>
      </c>
      <c r="D97" s="1" t="str">
        <f>IFERROR(__xludf.DUMMYFUNCTION("""COMPUTED_VALUE"""),"+ 2,4 %")</f>
        <v>+ 2,4 %</v>
      </c>
      <c r="E97" s="1" t="str">
        <f>IFERROR(__xludf.DUMMYFUNCTION("""COMPUTED_VALUE"""),"+ 11,4 %")</f>
        <v>+ 11,4 %</v>
      </c>
    </row>
    <row r="98">
      <c r="A98" s="2">
        <f>IFERROR(__xludf.DUMMYFUNCTION("""COMPUTED_VALUE"""),43252.0)</f>
        <v>43252</v>
      </c>
      <c r="B98" s="1" t="str">
        <f>IFERROR(__xludf.DUMMYFUNCTION("""COMPUTED_VALUE"""),"4.864 €/m2")</f>
        <v>4.864 €/m2</v>
      </c>
      <c r="C98" s="1" t="str">
        <f>IFERROR(__xludf.DUMMYFUNCTION("""COMPUTED_VALUE"""),"+ 0,2 %")</f>
        <v>+ 0,2 %</v>
      </c>
      <c r="D98" s="1" t="str">
        <f>IFERROR(__xludf.DUMMYFUNCTION("""COMPUTED_VALUE"""),"+ 2,3 %")</f>
        <v>+ 2,3 %</v>
      </c>
      <c r="E98" s="1" t="str">
        <f>IFERROR(__xludf.DUMMYFUNCTION("""COMPUTED_VALUE"""),"+ 10,7 %")</f>
        <v>+ 10,7 %</v>
      </c>
    </row>
    <row r="99">
      <c r="A99" s="2">
        <f>IFERROR(__xludf.DUMMYFUNCTION("""COMPUTED_VALUE"""),43221.0)</f>
        <v>43221</v>
      </c>
      <c r="B99" s="1" t="str">
        <f>IFERROR(__xludf.DUMMYFUNCTION("""COMPUTED_VALUE"""),"4.853 €/m2")</f>
        <v>4.853 €/m2</v>
      </c>
      <c r="C99" s="1" t="str">
        <f>IFERROR(__xludf.DUMMYFUNCTION("""COMPUTED_VALUE"""),"+ 1,2 %")</f>
        <v>+ 1,2 %</v>
      </c>
      <c r="D99" s="1" t="str">
        <f>IFERROR(__xludf.DUMMYFUNCTION("""COMPUTED_VALUE"""),"+ 2,8 %")</f>
        <v>+ 2,8 %</v>
      </c>
      <c r="E99" s="1" t="str">
        <f>IFERROR(__xludf.DUMMYFUNCTION("""COMPUTED_VALUE"""),"+ 11,1 %")</f>
        <v>+ 11,1 %</v>
      </c>
    </row>
    <row r="100">
      <c r="A100" s="2">
        <f>IFERROR(__xludf.DUMMYFUNCTION("""COMPUTED_VALUE"""),43191.0)</f>
        <v>43191</v>
      </c>
      <c r="B100" s="1" t="str">
        <f>IFERROR(__xludf.DUMMYFUNCTION("""COMPUTED_VALUE"""),"4.797 €/m2")</f>
        <v>4.797 €/m2</v>
      </c>
      <c r="C100" s="1" t="str">
        <f>IFERROR(__xludf.DUMMYFUNCTION("""COMPUTED_VALUE"""),"+ 0,9 %")</f>
        <v>+ 0,9 %</v>
      </c>
      <c r="D100" s="1" t="str">
        <f>IFERROR(__xludf.DUMMYFUNCTION("""COMPUTED_VALUE"""),"+ 3,4 %")</f>
        <v>+ 3,4 %</v>
      </c>
      <c r="E100" s="1" t="str">
        <f>IFERROR(__xludf.DUMMYFUNCTION("""COMPUTED_VALUE"""),"+ 10,5 %")</f>
        <v>+ 10,5 %</v>
      </c>
    </row>
    <row r="101">
      <c r="A101" s="2">
        <f>IFERROR(__xludf.DUMMYFUNCTION("""COMPUTED_VALUE"""),43160.0)</f>
        <v>43160</v>
      </c>
      <c r="B101" s="1" t="str">
        <f>IFERROR(__xludf.DUMMYFUNCTION("""COMPUTED_VALUE"""),"4.753 €/m2")</f>
        <v>4.753 €/m2</v>
      </c>
      <c r="C101" s="1" t="str">
        <f>IFERROR(__xludf.DUMMYFUNCTION("""COMPUTED_VALUE"""),"+ 0,7 %")</f>
        <v>+ 0,7 %</v>
      </c>
      <c r="D101" s="1" t="str">
        <f>IFERROR(__xludf.DUMMYFUNCTION("""COMPUTED_VALUE"""),"+ 4,0 %")</f>
        <v>+ 4,0 %</v>
      </c>
      <c r="E101" s="1" t="str">
        <f>IFERROR(__xludf.DUMMYFUNCTION("""COMPUTED_VALUE"""),"+ 10,4 %")</f>
        <v>+ 10,4 %</v>
      </c>
    </row>
    <row r="102">
      <c r="A102" s="2">
        <f>IFERROR(__xludf.DUMMYFUNCTION("""COMPUTED_VALUE"""),43132.0)</f>
        <v>43132</v>
      </c>
      <c r="B102" s="1" t="str">
        <f>IFERROR(__xludf.DUMMYFUNCTION("""COMPUTED_VALUE"""),"4.720 €/m2")</f>
        <v>4.720 €/m2</v>
      </c>
      <c r="C102" s="1" t="str">
        <f>IFERROR(__xludf.DUMMYFUNCTION("""COMPUTED_VALUE"""),"+ 1,8 %")</f>
        <v>+ 1,8 %</v>
      </c>
      <c r="D102" s="1" t="str">
        <f>IFERROR(__xludf.DUMMYFUNCTION("""COMPUTED_VALUE"""),"+ 3,8 %")</f>
        <v>+ 3,8 %</v>
      </c>
      <c r="E102" s="1" t="str">
        <f>IFERROR(__xludf.DUMMYFUNCTION("""COMPUTED_VALUE"""),"+ 10,4 %")</f>
        <v>+ 10,4 %</v>
      </c>
    </row>
    <row r="103">
      <c r="A103" s="2">
        <f>IFERROR(__xludf.DUMMYFUNCTION("""COMPUTED_VALUE"""),43101.0)</f>
        <v>43101</v>
      </c>
      <c r="B103" s="1" t="str">
        <f>IFERROR(__xludf.DUMMYFUNCTION("""COMPUTED_VALUE"""),"4.638 €/m2")</f>
        <v>4.638 €/m2</v>
      </c>
      <c r="C103" s="1" t="str">
        <f>IFERROR(__xludf.DUMMYFUNCTION("""COMPUTED_VALUE"""),"+ 1,5 %")</f>
        <v>+ 1,5 %</v>
      </c>
      <c r="D103" s="1" t="str">
        <f>IFERROR(__xludf.DUMMYFUNCTION("""COMPUTED_VALUE"""),"+ 2,3 %")</f>
        <v>+ 2,3 %</v>
      </c>
      <c r="E103" s="1" t="str">
        <f>IFERROR(__xludf.DUMMYFUNCTION("""COMPUTED_VALUE"""),"+ 9,2 %")</f>
        <v>+ 9,2 %</v>
      </c>
    </row>
    <row r="104">
      <c r="A104" s="2">
        <f>IFERROR(__xludf.DUMMYFUNCTION("""COMPUTED_VALUE"""),43070.0)</f>
        <v>43070</v>
      </c>
      <c r="B104" s="1" t="str">
        <f>IFERROR(__xludf.DUMMYFUNCTION("""COMPUTED_VALUE"""),"4.570 €/m2")</f>
        <v>4.570 €/m2</v>
      </c>
      <c r="C104" s="1" t="str">
        <f>IFERROR(__xludf.DUMMYFUNCTION("""COMPUTED_VALUE"""),"+ 0,5 %")</f>
        <v>+ 0,5 %</v>
      </c>
      <c r="D104" s="1" t="str">
        <f>IFERROR(__xludf.DUMMYFUNCTION("""COMPUTED_VALUE"""),"+ 1,9 %")</f>
        <v>+ 1,9 %</v>
      </c>
      <c r="E104" s="1" t="str">
        <f>IFERROR(__xludf.DUMMYFUNCTION("""COMPUTED_VALUE"""),"+ 8,5 %")</f>
        <v>+ 8,5 %</v>
      </c>
    </row>
    <row r="105">
      <c r="A105" s="2">
        <f>IFERROR(__xludf.DUMMYFUNCTION("""COMPUTED_VALUE"""),43040.0)</f>
        <v>43040</v>
      </c>
      <c r="B105" s="1" t="str">
        <f>IFERROR(__xludf.DUMMYFUNCTION("""COMPUTED_VALUE"""),"4.545 €/m2")</f>
        <v>4.545 €/m2</v>
      </c>
      <c r="C105" s="1" t="str">
        <f>IFERROR(__xludf.DUMMYFUNCTION("""COMPUTED_VALUE"""),"+ 0,3 %")</f>
        <v>+ 0,3 %</v>
      </c>
      <c r="D105" s="1" t="str">
        <f>IFERROR(__xludf.DUMMYFUNCTION("""COMPUTED_VALUE"""),"+ 2,1 %")</f>
        <v>+ 2,1 %</v>
      </c>
      <c r="E105" s="1" t="str">
        <f>IFERROR(__xludf.DUMMYFUNCTION("""COMPUTED_VALUE"""),"+ 7,9 %")</f>
        <v>+ 7,9 %</v>
      </c>
    </row>
    <row r="106">
      <c r="A106" s="2">
        <f>IFERROR(__xludf.DUMMYFUNCTION("""COMPUTED_VALUE"""),43009.0)</f>
        <v>43009</v>
      </c>
      <c r="B106" s="1" t="str">
        <f>IFERROR(__xludf.DUMMYFUNCTION("""COMPUTED_VALUE"""),"4.533 €/m2")</f>
        <v>4.533 €/m2</v>
      </c>
      <c r="C106" s="1" t="str">
        <f>IFERROR(__xludf.DUMMYFUNCTION("""COMPUTED_VALUE"""),"+ 1,1 %")</f>
        <v>+ 1,1 %</v>
      </c>
      <c r="D106" s="1" t="str">
        <f>IFERROR(__xludf.DUMMYFUNCTION("""COMPUTED_VALUE"""),"+ 2,8 %")</f>
        <v>+ 2,8 %</v>
      </c>
      <c r="E106" s="1" t="str">
        <f>IFERROR(__xludf.DUMMYFUNCTION("""COMPUTED_VALUE"""),"+ 7,5 %")</f>
        <v>+ 7,5 %</v>
      </c>
    </row>
    <row r="107">
      <c r="A107" s="2">
        <f>IFERROR(__xludf.DUMMYFUNCTION("""COMPUTED_VALUE"""),42979.0)</f>
        <v>42979</v>
      </c>
      <c r="B107" s="1" t="str">
        <f>IFERROR(__xludf.DUMMYFUNCTION("""COMPUTED_VALUE"""),"4.483 €/m2")</f>
        <v>4.483 €/m2</v>
      </c>
      <c r="C107" s="1" t="str">
        <f>IFERROR(__xludf.DUMMYFUNCTION("""COMPUTED_VALUE"""),"+ 0,7 %")</f>
        <v>+ 0,7 %</v>
      </c>
      <c r="D107" s="1" t="str">
        <f>IFERROR(__xludf.DUMMYFUNCTION("""COMPUTED_VALUE"""),"+ 2,1 %")</f>
        <v>+ 2,1 %</v>
      </c>
      <c r="E107" s="1" t="str">
        <f>IFERROR(__xludf.DUMMYFUNCTION("""COMPUTED_VALUE"""),"+ 6,2 %")</f>
        <v>+ 6,2 %</v>
      </c>
    </row>
    <row r="108">
      <c r="A108" s="2">
        <f>IFERROR(__xludf.DUMMYFUNCTION("""COMPUTED_VALUE"""),42948.0)</f>
        <v>42948</v>
      </c>
      <c r="B108" s="1" t="str">
        <f>IFERROR(__xludf.DUMMYFUNCTION("""COMPUTED_VALUE"""),"4.453 €/m2")</f>
        <v>4.453 €/m2</v>
      </c>
      <c r="C108" s="1" t="str">
        <f>IFERROR(__xludf.DUMMYFUNCTION("""COMPUTED_VALUE"""),"+ 1,0 %")</f>
        <v>+ 1,0 %</v>
      </c>
      <c r="D108" s="1" t="str">
        <f>IFERROR(__xludf.DUMMYFUNCTION("""COMPUTED_VALUE"""),"+ 1,9 %")</f>
        <v>+ 1,9 %</v>
      </c>
      <c r="E108" s="1" t="str">
        <f>IFERROR(__xludf.DUMMYFUNCTION("""COMPUTED_VALUE"""),"+ 6,4 %")</f>
        <v>+ 6,4 %</v>
      </c>
    </row>
    <row r="109">
      <c r="A109" s="2">
        <f>IFERROR(__xludf.DUMMYFUNCTION("""COMPUTED_VALUE"""),42917.0)</f>
        <v>42917</v>
      </c>
      <c r="B109" s="1" t="str">
        <f>IFERROR(__xludf.DUMMYFUNCTION("""COMPUTED_VALUE"""),"4.408 €/m2")</f>
        <v>4.408 €/m2</v>
      </c>
      <c r="C109" s="1" t="str">
        <f>IFERROR(__xludf.DUMMYFUNCTION("""COMPUTED_VALUE"""),"+ 0,4 %")</f>
        <v>+ 0,4 %</v>
      </c>
      <c r="D109" s="1" t="str">
        <f>IFERROR(__xludf.DUMMYFUNCTION("""COMPUTED_VALUE"""),"+ 1,6 %")</f>
        <v>+ 1,6 %</v>
      </c>
      <c r="E109" s="1" t="str">
        <f>IFERROR(__xludf.DUMMYFUNCTION("""COMPUTED_VALUE"""),"+ 6,6 %")</f>
        <v>+ 6,6 %</v>
      </c>
    </row>
    <row r="110">
      <c r="A110" s="2">
        <f>IFERROR(__xludf.DUMMYFUNCTION("""COMPUTED_VALUE"""),42887.0)</f>
        <v>42887</v>
      </c>
      <c r="B110" s="1" t="str">
        <f>IFERROR(__xludf.DUMMYFUNCTION("""COMPUTED_VALUE"""),"4.392 €/m2")</f>
        <v>4.392 €/m2</v>
      </c>
      <c r="C110" s="1" t="str">
        <f>IFERROR(__xludf.DUMMYFUNCTION("""COMPUTED_VALUE"""),"+ 0,5 %")</f>
        <v>+ 0,5 %</v>
      </c>
      <c r="D110" s="1" t="str">
        <f>IFERROR(__xludf.DUMMYFUNCTION("""COMPUTED_VALUE"""),"+ 2,1 %")</f>
        <v>+ 2,1 %</v>
      </c>
      <c r="E110" s="1" t="str">
        <f>IFERROR(__xludf.DUMMYFUNCTION("""COMPUTED_VALUE"""),"+ 6,6 %")</f>
        <v>+ 6,6 %</v>
      </c>
    </row>
    <row r="111">
      <c r="A111" s="2">
        <f>IFERROR(__xludf.DUMMYFUNCTION("""COMPUTED_VALUE"""),42856.0)</f>
        <v>42856</v>
      </c>
      <c r="B111" s="1" t="str">
        <f>IFERROR(__xludf.DUMMYFUNCTION("""COMPUTED_VALUE"""),"4.369 €/m2")</f>
        <v>4.369 €/m2</v>
      </c>
      <c r="C111" s="1" t="str">
        <f>IFERROR(__xludf.DUMMYFUNCTION("""COMPUTED_VALUE"""),"+ 0,7 %")</f>
        <v>+ 0,7 %</v>
      </c>
      <c r="D111" s="1" t="str">
        <f>IFERROR(__xludf.DUMMYFUNCTION("""COMPUTED_VALUE"""),"+ 2,1 %")</f>
        <v>+ 2,1 %</v>
      </c>
      <c r="E111" s="1" t="str">
        <f>IFERROR(__xludf.DUMMYFUNCTION("""COMPUTED_VALUE"""),"+ 5,2 %")</f>
        <v>+ 5,2 %</v>
      </c>
    </row>
    <row r="112">
      <c r="A112" s="2">
        <f>IFERROR(__xludf.DUMMYFUNCTION("""COMPUTED_VALUE"""),42826.0)</f>
        <v>42826</v>
      </c>
      <c r="B112" s="1" t="str">
        <f>IFERROR(__xludf.DUMMYFUNCTION("""COMPUTED_VALUE"""),"4.340 €/m2")</f>
        <v>4.340 €/m2</v>
      </c>
      <c r="C112" s="1" t="str">
        <f>IFERROR(__xludf.DUMMYFUNCTION("""COMPUTED_VALUE"""),"+ 0,8 %")</f>
        <v>+ 0,8 %</v>
      </c>
      <c r="D112" s="1" t="str">
        <f>IFERROR(__xludf.DUMMYFUNCTION("""COMPUTED_VALUE"""),"+ 2,2 %")</f>
        <v>+ 2,2 %</v>
      </c>
      <c r="E112" s="1" t="str">
        <f>IFERROR(__xludf.DUMMYFUNCTION("""COMPUTED_VALUE"""),"+ 5,5 %")</f>
        <v>+ 5,5 %</v>
      </c>
    </row>
    <row r="113">
      <c r="A113" s="2">
        <f>IFERROR(__xludf.DUMMYFUNCTION("""COMPUTED_VALUE"""),42795.0)</f>
        <v>42795</v>
      </c>
      <c r="B113" s="1" t="str">
        <f>IFERROR(__xludf.DUMMYFUNCTION("""COMPUTED_VALUE"""),"4.304 €/m2")</f>
        <v>4.304 €/m2</v>
      </c>
      <c r="C113" s="1" t="str">
        <f>IFERROR(__xludf.DUMMYFUNCTION("""COMPUTED_VALUE"""),"+ 0,6 %")</f>
        <v>+ 0,6 %</v>
      </c>
      <c r="D113" s="1" t="str">
        <f>IFERROR(__xludf.DUMMYFUNCTION("""COMPUTED_VALUE"""),"+ 2,2 %")</f>
        <v>+ 2,2 %</v>
      </c>
      <c r="E113" s="1" t="str">
        <f>IFERROR(__xludf.DUMMYFUNCTION("""COMPUTED_VALUE"""),"+ 5,0 %")</f>
        <v>+ 5,0 %</v>
      </c>
    </row>
    <row r="114">
      <c r="A114" s="2">
        <f>IFERROR(__xludf.DUMMYFUNCTION("""COMPUTED_VALUE"""),42767.0)</f>
        <v>42767</v>
      </c>
      <c r="B114" s="1" t="str">
        <f>IFERROR(__xludf.DUMMYFUNCTION("""COMPUTED_VALUE"""),"4.277 €/m2")</f>
        <v>4.277 €/m2</v>
      </c>
      <c r="C114" s="1" t="str">
        <f>IFERROR(__xludf.DUMMYFUNCTION("""COMPUTED_VALUE"""),"+ 0,7 %")</f>
        <v>+ 0,7 %</v>
      </c>
      <c r="D114" s="1" t="str">
        <f>IFERROR(__xludf.DUMMYFUNCTION("""COMPUTED_VALUE"""),"+ 1,5 %")</f>
        <v>+ 1,5 %</v>
      </c>
      <c r="E114" s="1" t="str">
        <f>IFERROR(__xludf.DUMMYFUNCTION("""COMPUTED_VALUE"""),"+ 5,1 %")</f>
        <v>+ 5,1 %</v>
      </c>
    </row>
    <row r="115">
      <c r="A115" s="2">
        <f>IFERROR(__xludf.DUMMYFUNCTION("""COMPUTED_VALUE"""),42736.0)</f>
        <v>42736</v>
      </c>
      <c r="B115" s="1" t="str">
        <f>IFERROR(__xludf.DUMMYFUNCTION("""COMPUTED_VALUE"""),"4.246 €/m2")</f>
        <v>4.246 €/m2</v>
      </c>
      <c r="C115" s="1" t="str">
        <f>IFERROR(__xludf.DUMMYFUNCTION("""COMPUTED_VALUE"""),"+ 0,8 %")</f>
        <v>+ 0,8 %</v>
      </c>
      <c r="D115" s="1" t="str">
        <f>IFERROR(__xludf.DUMMYFUNCTION("""COMPUTED_VALUE"""),"+ 0,6 %")</f>
        <v>+ 0,6 %</v>
      </c>
      <c r="E115" s="1" t="str">
        <f>IFERROR(__xludf.DUMMYFUNCTION("""COMPUTED_VALUE"""),"+ 4,6 %")</f>
        <v>+ 4,6 %</v>
      </c>
    </row>
    <row r="116">
      <c r="A116" s="2">
        <f>IFERROR(__xludf.DUMMYFUNCTION("""COMPUTED_VALUE"""),42705.0)</f>
        <v>42705</v>
      </c>
      <c r="B116" s="1" t="str">
        <f>IFERROR(__xludf.DUMMYFUNCTION("""COMPUTED_VALUE"""),"4.213 €/m2")</f>
        <v>4.213 €/m2</v>
      </c>
      <c r="C116" s="1" t="str">
        <f>IFERROR(__xludf.DUMMYFUNCTION("""COMPUTED_VALUE"""),"0,0 %")</f>
        <v>0,0 %</v>
      </c>
      <c r="D116" s="1" t="str">
        <f>IFERROR(__xludf.DUMMYFUNCTION("""COMPUTED_VALUE"""),"- 0,2 %")</f>
        <v>- 0,2 %</v>
      </c>
      <c r="E116" s="1" t="str">
        <f>IFERROR(__xludf.DUMMYFUNCTION("""COMPUTED_VALUE"""),"+ 4,8 %")</f>
        <v>+ 4,8 %</v>
      </c>
    </row>
    <row r="117">
      <c r="A117" s="2">
        <f>IFERROR(__xludf.DUMMYFUNCTION("""COMPUTED_VALUE"""),42675.0)</f>
        <v>42675</v>
      </c>
      <c r="B117" s="1" t="str">
        <f>IFERROR(__xludf.DUMMYFUNCTION("""COMPUTED_VALUE"""),"4.214 €/m2")</f>
        <v>4.214 €/m2</v>
      </c>
      <c r="C117" s="1" t="str">
        <f>IFERROR(__xludf.DUMMYFUNCTION("""COMPUTED_VALUE"""),"- 0,1 %")</f>
        <v>- 0,1 %</v>
      </c>
      <c r="D117" s="1" t="str">
        <f>IFERROR(__xludf.DUMMYFUNCTION("""COMPUTED_VALUE"""),"+ 0,7 %")</f>
        <v>+ 0,7 %</v>
      </c>
      <c r="E117" s="1" t="str">
        <f>IFERROR(__xludf.DUMMYFUNCTION("""COMPUTED_VALUE"""),"+ 5,1 %")</f>
        <v>+ 5,1 %</v>
      </c>
    </row>
    <row r="118">
      <c r="A118" s="2">
        <f>IFERROR(__xludf.DUMMYFUNCTION("""COMPUTED_VALUE"""),42644.0)</f>
        <v>42644</v>
      </c>
      <c r="B118" s="1" t="str">
        <f>IFERROR(__xludf.DUMMYFUNCTION("""COMPUTED_VALUE"""),"4.219 €/m2")</f>
        <v>4.219 €/m2</v>
      </c>
      <c r="C118" s="1" t="str">
        <f>IFERROR(__xludf.DUMMYFUNCTION("""COMPUTED_VALUE"""),"- 0,1 %")</f>
        <v>- 0,1 %</v>
      </c>
      <c r="D118" s="1" t="str">
        <f>IFERROR(__xludf.DUMMYFUNCTION("""COMPUTED_VALUE"""),"+ 2,0 %")</f>
        <v>+ 2,0 %</v>
      </c>
      <c r="E118" s="1" t="str">
        <f>IFERROR(__xludf.DUMMYFUNCTION("""COMPUTED_VALUE"""),"+ 6,0 %")</f>
        <v>+ 6,0 %</v>
      </c>
    </row>
    <row r="119">
      <c r="A119" s="2">
        <f>IFERROR(__xludf.DUMMYFUNCTION("""COMPUTED_VALUE"""),42614.0)</f>
        <v>42614</v>
      </c>
      <c r="B119" s="1" t="str">
        <f>IFERROR(__xludf.DUMMYFUNCTION("""COMPUTED_VALUE"""),"4.223 €/m2")</f>
        <v>4.223 €/m2</v>
      </c>
      <c r="C119" s="1" t="str">
        <f>IFERROR(__xludf.DUMMYFUNCTION("""COMPUTED_VALUE"""),"+ 0,9 %")</f>
        <v>+ 0,9 %</v>
      </c>
      <c r="D119" s="1" t="str">
        <f>IFERROR(__xludf.DUMMYFUNCTION("""COMPUTED_VALUE"""),"+ 2,5 %")</f>
        <v>+ 2,5 %</v>
      </c>
      <c r="E119" s="1" t="str">
        <f>IFERROR(__xludf.DUMMYFUNCTION("""COMPUTED_VALUE"""),"+ 5,6 %")</f>
        <v>+ 5,6 %</v>
      </c>
    </row>
    <row r="120">
      <c r="A120" s="2">
        <f>IFERROR(__xludf.DUMMYFUNCTION("""COMPUTED_VALUE"""),42583.0)</f>
        <v>42583</v>
      </c>
      <c r="B120" s="1" t="str">
        <f>IFERROR(__xludf.DUMMYFUNCTION("""COMPUTED_VALUE"""),"4.184 €/m2")</f>
        <v>4.184 €/m2</v>
      </c>
      <c r="C120" s="1" t="str">
        <f>IFERROR(__xludf.DUMMYFUNCTION("""COMPUTED_VALUE"""),"+ 1,2 %")</f>
        <v>+ 1,2 %</v>
      </c>
      <c r="D120" s="1" t="str">
        <f>IFERROR(__xludf.DUMMYFUNCTION("""COMPUTED_VALUE"""),"+ 0,8 %")</f>
        <v>+ 0,8 %</v>
      </c>
      <c r="E120" s="1" t="str">
        <f>IFERROR(__xludf.DUMMYFUNCTION("""COMPUTED_VALUE"""),"+ 5,1 %")</f>
        <v>+ 5,1 %</v>
      </c>
    </row>
    <row r="121">
      <c r="A121" s="2">
        <f>IFERROR(__xludf.DUMMYFUNCTION("""COMPUTED_VALUE"""),42552.0)</f>
        <v>42552</v>
      </c>
      <c r="B121" s="1" t="str">
        <f>IFERROR(__xludf.DUMMYFUNCTION("""COMPUTED_VALUE"""),"4.134 €/m2")</f>
        <v>4.134 €/m2</v>
      </c>
      <c r="C121" s="1" t="str">
        <f>IFERROR(__xludf.DUMMYFUNCTION("""COMPUTED_VALUE"""),"+ 0,4 %")</f>
        <v>+ 0,4 %</v>
      </c>
      <c r="D121" s="1" t="str">
        <f>IFERROR(__xludf.DUMMYFUNCTION("""COMPUTED_VALUE"""),"+ 0,5 %")</f>
        <v>+ 0,5 %</v>
      </c>
      <c r="E121" s="1" t="str">
        <f>IFERROR(__xludf.DUMMYFUNCTION("""COMPUTED_VALUE"""),"+ 3,4 %")</f>
        <v>+ 3,4 %</v>
      </c>
    </row>
    <row r="122">
      <c r="A122" s="2">
        <f>IFERROR(__xludf.DUMMYFUNCTION("""COMPUTED_VALUE"""),42522.0)</f>
        <v>42522</v>
      </c>
      <c r="B122" s="1" t="str">
        <f>IFERROR(__xludf.DUMMYFUNCTION("""COMPUTED_VALUE"""),"4.119 €/m2")</f>
        <v>4.119 €/m2</v>
      </c>
      <c r="C122" s="1" t="str">
        <f>IFERROR(__xludf.DUMMYFUNCTION("""COMPUTED_VALUE"""),"- 0,8 %")</f>
        <v>- 0,8 %</v>
      </c>
      <c r="D122" s="1" t="str">
        <f>IFERROR(__xludf.DUMMYFUNCTION("""COMPUTED_VALUE"""),"+ 0,5 %")</f>
        <v>+ 0,5 %</v>
      </c>
      <c r="E122" s="1" t="str">
        <f>IFERROR(__xludf.DUMMYFUNCTION("""COMPUTED_VALUE"""),"+ 2,9 %")</f>
        <v>+ 2,9 %</v>
      </c>
    </row>
    <row r="123">
      <c r="A123" s="2">
        <f>IFERROR(__xludf.DUMMYFUNCTION("""COMPUTED_VALUE"""),42491.0)</f>
        <v>42491</v>
      </c>
      <c r="B123" s="1" t="str">
        <f>IFERROR(__xludf.DUMMYFUNCTION("""COMPUTED_VALUE"""),"4.151 €/m2")</f>
        <v>4.151 €/m2</v>
      </c>
      <c r="C123" s="1" t="str">
        <f>IFERROR(__xludf.DUMMYFUNCTION("""COMPUTED_VALUE"""),"+ 0,9 %")</f>
        <v>+ 0,9 %</v>
      </c>
      <c r="D123" s="1" t="str">
        <f>IFERROR(__xludf.DUMMYFUNCTION("""COMPUTED_VALUE"""),"+ 2,0 %")</f>
        <v>+ 2,0 %</v>
      </c>
      <c r="E123" s="1" t="str">
        <f>IFERROR(__xludf.DUMMYFUNCTION("""COMPUTED_VALUE"""),"+ 4,8 %")</f>
        <v>+ 4,8 %</v>
      </c>
    </row>
    <row r="124">
      <c r="A124" s="2">
        <f>IFERROR(__xludf.DUMMYFUNCTION("""COMPUTED_VALUE"""),42461.0)</f>
        <v>42461</v>
      </c>
      <c r="B124" s="1" t="str">
        <f>IFERROR(__xludf.DUMMYFUNCTION("""COMPUTED_VALUE"""),"4.112 €/m2")</f>
        <v>4.112 €/m2</v>
      </c>
      <c r="C124" s="1" t="str">
        <f>IFERROR(__xludf.DUMMYFUNCTION("""COMPUTED_VALUE"""),"+ 0,4 %")</f>
        <v>+ 0,4 %</v>
      </c>
      <c r="D124" s="1" t="str">
        <f>IFERROR(__xludf.DUMMYFUNCTION("""COMPUTED_VALUE"""),"+ 1,3 %")</f>
        <v>+ 1,3 %</v>
      </c>
      <c r="E124" s="1" t="str">
        <f>IFERROR(__xludf.DUMMYFUNCTION("""COMPUTED_VALUE"""),"+ 4,0 %")</f>
        <v>+ 4,0 %</v>
      </c>
    </row>
    <row r="125">
      <c r="A125" s="2">
        <f>IFERROR(__xludf.DUMMYFUNCTION("""COMPUTED_VALUE"""),42430.0)</f>
        <v>42430</v>
      </c>
      <c r="B125" s="1" t="str">
        <f>IFERROR(__xludf.DUMMYFUNCTION("""COMPUTED_VALUE"""),"4.098 €/m2")</f>
        <v>4.098 €/m2</v>
      </c>
      <c r="C125" s="1" t="str">
        <f>IFERROR(__xludf.DUMMYFUNCTION("""COMPUTED_VALUE"""),"+ 0,7 %")</f>
        <v>+ 0,7 %</v>
      </c>
      <c r="D125" s="1" t="str">
        <f>IFERROR(__xludf.DUMMYFUNCTION("""COMPUTED_VALUE"""),"+ 1,9 %")</f>
        <v>+ 1,9 %</v>
      </c>
      <c r="E125" s="1" t="str">
        <f>IFERROR(__xludf.DUMMYFUNCTION("""COMPUTED_VALUE"""),"+ 3,5 %")</f>
        <v>+ 3,5 %</v>
      </c>
    </row>
    <row r="126">
      <c r="A126" s="2">
        <f>IFERROR(__xludf.DUMMYFUNCTION("""COMPUTED_VALUE"""),42401.0)</f>
        <v>42401</v>
      </c>
      <c r="B126" s="1" t="str">
        <f>IFERROR(__xludf.DUMMYFUNCTION("""COMPUTED_VALUE"""),"4.069 €/m2")</f>
        <v>4.069 €/m2</v>
      </c>
      <c r="C126" s="1" t="str">
        <f>IFERROR(__xludf.DUMMYFUNCTION("""COMPUTED_VALUE"""),"+ 0,2 %")</f>
        <v>+ 0,2 %</v>
      </c>
      <c r="D126" s="1" t="str">
        <f>IFERROR(__xludf.DUMMYFUNCTION("""COMPUTED_VALUE"""),"+ 1,5 %")</f>
        <v>+ 1,5 %</v>
      </c>
      <c r="E126" s="1" t="str">
        <f>IFERROR(__xludf.DUMMYFUNCTION("""COMPUTED_VALUE"""),"+ 3,4 %")</f>
        <v>+ 3,4 %</v>
      </c>
    </row>
    <row r="127">
      <c r="A127" s="2">
        <f>IFERROR(__xludf.DUMMYFUNCTION("""COMPUTED_VALUE"""),42370.0)</f>
        <v>42370</v>
      </c>
      <c r="B127" s="1" t="str">
        <f>IFERROR(__xludf.DUMMYFUNCTION("""COMPUTED_VALUE"""),"4.059 €/m2")</f>
        <v>4.059 €/m2</v>
      </c>
      <c r="C127" s="1" t="str">
        <f>IFERROR(__xludf.DUMMYFUNCTION("""COMPUTED_VALUE"""),"+ 1,0 %")</f>
        <v>+ 1,0 %</v>
      </c>
      <c r="D127" s="1" t="str">
        <f>IFERROR(__xludf.DUMMYFUNCTION("""COMPUTED_VALUE"""),"+ 2,0 %")</f>
        <v>+ 2,0 %</v>
      </c>
      <c r="E127" s="1" t="str">
        <f>IFERROR(__xludf.DUMMYFUNCTION("""COMPUTED_VALUE"""),"+ 3,7 %")</f>
        <v>+ 3,7 %</v>
      </c>
    </row>
    <row r="128">
      <c r="A128" s="2">
        <f>IFERROR(__xludf.DUMMYFUNCTION("""COMPUTED_VALUE"""),42339.0)</f>
        <v>42339</v>
      </c>
      <c r="B128" s="1" t="str">
        <f>IFERROR(__xludf.DUMMYFUNCTION("""COMPUTED_VALUE"""),"4.020 €/m2")</f>
        <v>4.020 €/m2</v>
      </c>
      <c r="C128" s="1" t="str">
        <f>IFERROR(__xludf.DUMMYFUNCTION("""COMPUTED_VALUE"""),"+ 0,3 %")</f>
        <v>+ 0,3 %</v>
      </c>
      <c r="D128" s="1" t="str">
        <f>IFERROR(__xludf.DUMMYFUNCTION("""COMPUTED_VALUE"""),"+ 0,5 %")</f>
        <v>+ 0,5 %</v>
      </c>
      <c r="E128" s="1" t="str">
        <f>IFERROR(__xludf.DUMMYFUNCTION("""COMPUTED_VALUE"""),"+ 3,4 %")</f>
        <v>+ 3,4 %</v>
      </c>
    </row>
    <row r="129">
      <c r="A129" s="2">
        <f>IFERROR(__xludf.DUMMYFUNCTION("""COMPUTED_VALUE"""),42309.0)</f>
        <v>42309</v>
      </c>
      <c r="B129" s="1" t="str">
        <f>IFERROR(__xludf.DUMMYFUNCTION("""COMPUTED_VALUE"""),"4.010 €/m2")</f>
        <v>4.010 €/m2</v>
      </c>
      <c r="C129" s="1" t="str">
        <f>IFERROR(__xludf.DUMMYFUNCTION("""COMPUTED_VALUE"""),"+ 0,8 %")</f>
        <v>+ 0,8 %</v>
      </c>
      <c r="D129" s="1" t="str">
        <f>IFERROR(__xludf.DUMMYFUNCTION("""COMPUTED_VALUE"""),"+ 0,7 %")</f>
        <v>+ 0,7 %</v>
      </c>
      <c r="E129" s="1" t="str">
        <f>IFERROR(__xludf.DUMMYFUNCTION("""COMPUTED_VALUE"""),"+ 3,2 %")</f>
        <v>+ 3,2 %</v>
      </c>
    </row>
    <row r="130">
      <c r="A130" s="2">
        <f>IFERROR(__xludf.DUMMYFUNCTION("""COMPUTED_VALUE"""),42278.0)</f>
        <v>42278</v>
      </c>
      <c r="B130" s="1" t="str">
        <f>IFERROR(__xludf.DUMMYFUNCTION("""COMPUTED_VALUE"""),"3.979 €/m2")</f>
        <v>3.979 €/m2</v>
      </c>
      <c r="C130" s="1" t="str">
        <f>IFERROR(__xludf.DUMMYFUNCTION("""COMPUTED_VALUE"""),"- 0,5 %")</f>
        <v>- 0,5 %</v>
      </c>
      <c r="D130" s="1" t="str">
        <f>IFERROR(__xludf.DUMMYFUNCTION("""COMPUTED_VALUE"""),"- 0,5 %")</f>
        <v>- 0,5 %</v>
      </c>
      <c r="E130" s="1" t="str">
        <f>IFERROR(__xludf.DUMMYFUNCTION("""COMPUTED_VALUE"""),"+ 2,6 %")</f>
        <v>+ 2,6 %</v>
      </c>
    </row>
    <row r="131">
      <c r="A131" s="2">
        <f>IFERROR(__xludf.DUMMYFUNCTION("""COMPUTED_VALUE"""),42248.0)</f>
        <v>42248</v>
      </c>
      <c r="B131" s="1" t="str">
        <f>IFERROR(__xludf.DUMMYFUNCTION("""COMPUTED_VALUE"""),"3.999 €/m2")</f>
        <v>3.999 €/m2</v>
      </c>
      <c r="C131" s="1" t="str">
        <f>IFERROR(__xludf.DUMMYFUNCTION("""COMPUTED_VALUE"""),"+ 0,5 %")</f>
        <v>+ 0,5 %</v>
      </c>
      <c r="D131" s="1" t="str">
        <f>IFERROR(__xludf.DUMMYFUNCTION("""COMPUTED_VALUE"""),"- 0,1 %")</f>
        <v>- 0,1 %</v>
      </c>
      <c r="E131" s="1" t="str">
        <f>IFERROR(__xludf.DUMMYFUNCTION("""COMPUTED_VALUE"""),"+ 3,0 %")</f>
        <v>+ 3,0 %</v>
      </c>
    </row>
    <row r="132">
      <c r="A132" s="2">
        <f>IFERROR(__xludf.DUMMYFUNCTION("""COMPUTED_VALUE"""),42217.0)</f>
        <v>42217</v>
      </c>
      <c r="B132" s="1" t="str">
        <f>IFERROR(__xludf.DUMMYFUNCTION("""COMPUTED_VALUE"""),"3.980 €/m2")</f>
        <v>3.980 €/m2</v>
      </c>
      <c r="C132" s="1" t="str">
        <f>IFERROR(__xludf.DUMMYFUNCTION("""COMPUTED_VALUE"""),"- 0,5 %")</f>
        <v>- 0,5 %</v>
      </c>
      <c r="D132" s="1" t="str">
        <f>IFERROR(__xludf.DUMMYFUNCTION("""COMPUTED_VALUE"""),"+ 0,5 %")</f>
        <v>+ 0,5 %</v>
      </c>
      <c r="E132" s="1" t="str">
        <f>IFERROR(__xludf.DUMMYFUNCTION("""COMPUTED_VALUE"""),"+ 2,5 %")</f>
        <v>+ 2,5 %</v>
      </c>
    </row>
    <row r="133">
      <c r="A133" s="2">
        <f>IFERROR(__xludf.DUMMYFUNCTION("""COMPUTED_VALUE"""),42186.0)</f>
        <v>42186</v>
      </c>
      <c r="B133" s="1" t="str">
        <f>IFERROR(__xludf.DUMMYFUNCTION("""COMPUTED_VALUE"""),"4.000 €/m2")</f>
        <v>4.000 €/m2</v>
      </c>
      <c r="C133" s="1" t="str">
        <f>IFERROR(__xludf.DUMMYFUNCTION("""COMPUTED_VALUE"""),"- 0,1 %")</f>
        <v>- 0,1 %</v>
      </c>
      <c r="D133" s="1" t="str">
        <f>IFERROR(__xludf.DUMMYFUNCTION("""COMPUTED_VALUE"""),"+ 1,2 %")</f>
        <v>+ 1,2 %</v>
      </c>
      <c r="E133" s="1" t="str">
        <f>IFERROR(__xludf.DUMMYFUNCTION("""COMPUTED_VALUE"""),"+ 2,2 %")</f>
        <v>+ 2,2 %</v>
      </c>
    </row>
    <row r="134">
      <c r="A134" s="2">
        <f>IFERROR(__xludf.DUMMYFUNCTION("""COMPUTED_VALUE"""),42156.0)</f>
        <v>42156</v>
      </c>
      <c r="B134" s="1" t="str">
        <f>IFERROR(__xludf.DUMMYFUNCTION("""COMPUTED_VALUE"""),"4.004 €/m2")</f>
        <v>4.004 €/m2</v>
      </c>
      <c r="C134" s="1" t="str">
        <f>IFERROR(__xludf.DUMMYFUNCTION("""COMPUTED_VALUE"""),"+ 1,1 %")</f>
        <v>+ 1,1 %</v>
      </c>
      <c r="D134" s="1" t="str">
        <f>IFERROR(__xludf.DUMMYFUNCTION("""COMPUTED_VALUE"""),"+ 1,1 %")</f>
        <v>+ 1,1 %</v>
      </c>
      <c r="E134" s="1" t="str">
        <f>IFERROR(__xludf.DUMMYFUNCTION("""COMPUTED_VALUE"""),"+ 2,6 %")</f>
        <v>+ 2,6 %</v>
      </c>
    </row>
    <row r="135">
      <c r="A135" s="2">
        <f>IFERROR(__xludf.DUMMYFUNCTION("""COMPUTED_VALUE"""),42125.0)</f>
        <v>42125</v>
      </c>
      <c r="B135" s="1" t="str">
        <f>IFERROR(__xludf.DUMMYFUNCTION("""COMPUTED_VALUE"""),"3.962 €/m2")</f>
        <v>3.962 €/m2</v>
      </c>
      <c r="C135" s="1" t="str">
        <f>IFERROR(__xludf.DUMMYFUNCTION("""COMPUTED_VALUE"""),"+ 0,2 %")</f>
        <v>+ 0,2 %</v>
      </c>
      <c r="D135" s="1" t="str">
        <f>IFERROR(__xludf.DUMMYFUNCTION("""COMPUTED_VALUE"""),"+ 0,6 %")</f>
        <v>+ 0,6 %</v>
      </c>
      <c r="E135" s="1" t="str">
        <f>IFERROR(__xludf.DUMMYFUNCTION("""COMPUTED_VALUE"""),"+ 2,5 %")</f>
        <v>+ 2,5 %</v>
      </c>
    </row>
    <row r="136">
      <c r="A136" s="2">
        <f>IFERROR(__xludf.DUMMYFUNCTION("""COMPUTED_VALUE"""),42095.0)</f>
        <v>42095</v>
      </c>
      <c r="B136" s="1" t="str">
        <f>IFERROR(__xludf.DUMMYFUNCTION("""COMPUTED_VALUE"""),"3.953 €/m2")</f>
        <v>3.953 €/m2</v>
      </c>
      <c r="C136" s="1" t="str">
        <f>IFERROR(__xludf.DUMMYFUNCTION("""COMPUTED_VALUE"""),"- 0,2 %")</f>
        <v>- 0,2 %</v>
      </c>
      <c r="D136" s="1" t="str">
        <f>IFERROR(__xludf.DUMMYFUNCTION("""COMPUTED_VALUE"""),"+ 1,0 %")</f>
        <v>+ 1,0 %</v>
      </c>
      <c r="E136" s="1" t="str">
        <f>IFERROR(__xludf.DUMMYFUNCTION("""COMPUTED_VALUE"""),"+ 1,6 %")</f>
        <v>+ 1,6 %</v>
      </c>
    </row>
    <row r="137">
      <c r="A137" s="2">
        <f>IFERROR(__xludf.DUMMYFUNCTION("""COMPUTED_VALUE"""),42064.0)</f>
        <v>42064</v>
      </c>
      <c r="B137" s="1" t="str">
        <f>IFERROR(__xludf.DUMMYFUNCTION("""COMPUTED_VALUE"""),"3.960 €/m2")</f>
        <v>3.960 €/m2</v>
      </c>
      <c r="C137" s="1" t="str">
        <f>IFERROR(__xludf.DUMMYFUNCTION("""COMPUTED_VALUE"""),"+ 0,6 %")</f>
        <v>+ 0,6 %</v>
      </c>
      <c r="D137" s="1" t="str">
        <f>IFERROR(__xludf.DUMMYFUNCTION("""COMPUTED_VALUE"""),"+ 1,8 %")</f>
        <v>+ 1,8 %</v>
      </c>
      <c r="E137" s="1" t="str">
        <f>IFERROR(__xludf.DUMMYFUNCTION("""COMPUTED_VALUE"""),"+ 2,2 %")</f>
        <v>+ 2,2 %</v>
      </c>
    </row>
    <row r="138">
      <c r="A138" s="2">
        <f>IFERROR(__xludf.DUMMYFUNCTION("""COMPUTED_VALUE"""),42036.0)</f>
        <v>42036</v>
      </c>
      <c r="B138" s="1" t="str">
        <f>IFERROR(__xludf.DUMMYFUNCTION("""COMPUTED_VALUE"""),"3.937 €/m2")</f>
        <v>3.937 €/m2</v>
      </c>
      <c r="C138" s="1" t="str">
        <f>IFERROR(__xludf.DUMMYFUNCTION("""COMPUTED_VALUE"""),"+ 0,6 %")</f>
        <v>+ 0,6 %</v>
      </c>
      <c r="D138" s="1" t="str">
        <f>IFERROR(__xludf.DUMMYFUNCTION("""COMPUTED_VALUE"""),"+ 1,3 %")</f>
        <v>+ 1,3 %</v>
      </c>
      <c r="E138" s="1" t="str">
        <f>IFERROR(__xludf.DUMMYFUNCTION("""COMPUTED_VALUE"""),"+ 1,9 %")</f>
        <v>+ 1,9 %</v>
      </c>
    </row>
    <row r="139">
      <c r="A139" s="2">
        <f>IFERROR(__xludf.DUMMYFUNCTION("""COMPUTED_VALUE"""),42005.0)</f>
        <v>42005</v>
      </c>
      <c r="B139" s="1" t="str">
        <f>IFERROR(__xludf.DUMMYFUNCTION("""COMPUTED_VALUE"""),"3.914 €/m2")</f>
        <v>3.914 €/m2</v>
      </c>
      <c r="C139" s="1" t="str">
        <f>IFERROR(__xludf.DUMMYFUNCTION("""COMPUTED_VALUE"""),"+ 0,7 %")</f>
        <v>+ 0,7 %</v>
      </c>
      <c r="D139" s="1" t="str">
        <f>IFERROR(__xludf.DUMMYFUNCTION("""COMPUTED_VALUE"""),"+ 0,9 %")</f>
        <v>+ 0,9 %</v>
      </c>
      <c r="E139" s="1" t="str">
        <f>IFERROR(__xludf.DUMMYFUNCTION("""COMPUTED_VALUE"""),"+ 1,1 %")</f>
        <v>+ 1,1 %</v>
      </c>
    </row>
    <row r="140">
      <c r="A140" s="2">
        <f>IFERROR(__xludf.DUMMYFUNCTION("""COMPUTED_VALUE"""),41974.0)</f>
        <v>41974</v>
      </c>
      <c r="B140" s="1" t="str">
        <f>IFERROR(__xludf.DUMMYFUNCTION("""COMPUTED_VALUE"""),"3.889 €/m2")</f>
        <v>3.889 €/m2</v>
      </c>
      <c r="C140" s="1" t="str">
        <f>IFERROR(__xludf.DUMMYFUNCTION("""COMPUTED_VALUE"""),"0,0 %")</f>
        <v>0,0 %</v>
      </c>
      <c r="D140" s="1" t="str">
        <f>IFERROR(__xludf.DUMMYFUNCTION("""COMPUTED_VALUE"""),"+ 0,1 %")</f>
        <v>+ 0,1 %</v>
      </c>
      <c r="E140" s="1" t="str">
        <f>IFERROR(__xludf.DUMMYFUNCTION("""COMPUTED_VALUE"""),"+ 0,4 %")</f>
        <v>+ 0,4 %</v>
      </c>
    </row>
    <row r="141">
      <c r="A141" s="2">
        <f>IFERROR(__xludf.DUMMYFUNCTION("""COMPUTED_VALUE"""),41944.0)</f>
        <v>41944</v>
      </c>
      <c r="B141" s="1" t="str">
        <f>IFERROR(__xludf.DUMMYFUNCTION("""COMPUTED_VALUE"""),"3.887 €/m2")</f>
        <v>3.887 €/m2</v>
      </c>
      <c r="C141" s="1" t="str">
        <f>IFERROR(__xludf.DUMMYFUNCTION("""COMPUTED_VALUE"""),"+ 0,2 %")</f>
        <v>+ 0,2 %</v>
      </c>
      <c r="D141" s="1" t="str">
        <f>IFERROR(__xludf.DUMMYFUNCTION("""COMPUTED_VALUE"""),"+ 0,1 %")</f>
        <v>+ 0,1 %</v>
      </c>
      <c r="E141" s="1" t="str">
        <f>IFERROR(__xludf.DUMMYFUNCTION("""COMPUTED_VALUE"""),"- 0,4 %")</f>
        <v>- 0,4 %</v>
      </c>
    </row>
    <row r="142">
      <c r="A142" s="2">
        <f>IFERROR(__xludf.DUMMYFUNCTION("""COMPUTED_VALUE"""),41913.0)</f>
        <v>41913</v>
      </c>
      <c r="B142" s="1" t="str">
        <f>IFERROR(__xludf.DUMMYFUNCTION("""COMPUTED_VALUE"""),"3.877 €/m2")</f>
        <v>3.877 €/m2</v>
      </c>
      <c r="C142" s="1" t="str">
        <f>IFERROR(__xludf.DUMMYFUNCTION("""COMPUTED_VALUE"""),"- 0,2 %")</f>
        <v>- 0,2 %</v>
      </c>
      <c r="D142" s="1" t="str">
        <f>IFERROR(__xludf.DUMMYFUNCTION("""COMPUTED_VALUE"""),"- 0,9 %")</f>
        <v>- 0,9 %</v>
      </c>
      <c r="E142" s="1" t="str">
        <f>IFERROR(__xludf.DUMMYFUNCTION("""COMPUTED_VALUE"""),"- 0,3 %")</f>
        <v>- 0,3 %</v>
      </c>
    </row>
    <row r="143">
      <c r="A143" s="2">
        <f>IFERROR(__xludf.DUMMYFUNCTION("""COMPUTED_VALUE"""),41883.0)</f>
        <v>41883</v>
      </c>
      <c r="B143" s="1" t="str">
        <f>IFERROR(__xludf.DUMMYFUNCTION("""COMPUTED_VALUE"""),"3.884 €/m2")</f>
        <v>3.884 €/m2</v>
      </c>
      <c r="C143" s="1" t="str">
        <f>IFERROR(__xludf.DUMMYFUNCTION("""COMPUTED_VALUE"""),"0,0 %")</f>
        <v>0,0 %</v>
      </c>
      <c r="D143" s="1" t="str">
        <f>IFERROR(__xludf.DUMMYFUNCTION("""COMPUTED_VALUE"""),"- 0,5 %")</f>
        <v>- 0,5 %</v>
      </c>
      <c r="E143" s="1" t="str">
        <f>IFERROR(__xludf.DUMMYFUNCTION("""COMPUTED_VALUE"""),"- 1,0 %")</f>
        <v>- 1,0 %</v>
      </c>
    </row>
    <row r="144">
      <c r="A144" s="2">
        <f>IFERROR(__xludf.DUMMYFUNCTION("""COMPUTED_VALUE"""),41852.0)</f>
        <v>41852</v>
      </c>
      <c r="B144" s="1" t="str">
        <f>IFERROR(__xludf.DUMMYFUNCTION("""COMPUTED_VALUE"""),"3.885 €/m2")</f>
        <v>3.885 €/m2</v>
      </c>
      <c r="C144" s="1" t="str">
        <f>IFERROR(__xludf.DUMMYFUNCTION("""COMPUTED_VALUE"""),"- 0,7 %")</f>
        <v>- 0,7 %</v>
      </c>
      <c r="D144" s="1" t="str">
        <f>IFERROR(__xludf.DUMMYFUNCTION("""COMPUTED_VALUE"""),"+ 0,5 %")</f>
        <v>+ 0,5 %</v>
      </c>
      <c r="E144" s="1" t="str">
        <f>IFERROR(__xludf.DUMMYFUNCTION("""COMPUTED_VALUE"""),"- 0,8 %")</f>
        <v>- 0,8 %</v>
      </c>
    </row>
    <row r="145">
      <c r="A145" s="2">
        <f>IFERROR(__xludf.DUMMYFUNCTION("""COMPUTED_VALUE"""),41821.0)</f>
        <v>41821</v>
      </c>
      <c r="B145" s="1" t="str">
        <f>IFERROR(__xludf.DUMMYFUNCTION("""COMPUTED_VALUE"""),"3.912 €/m2")</f>
        <v>3.912 €/m2</v>
      </c>
      <c r="C145" s="1" t="str">
        <f>IFERROR(__xludf.DUMMYFUNCTION("""COMPUTED_VALUE"""),"+ 0,2 %")</f>
        <v>+ 0,2 %</v>
      </c>
      <c r="D145" s="1" t="str">
        <f>IFERROR(__xludf.DUMMYFUNCTION("""COMPUTED_VALUE"""),"+ 0,6 %")</f>
        <v>+ 0,6 %</v>
      </c>
      <c r="E145" s="1" t="str">
        <f>IFERROR(__xludf.DUMMYFUNCTION("""COMPUTED_VALUE"""),"- 0,8 %")</f>
        <v>- 0,8 %</v>
      </c>
    </row>
    <row r="146">
      <c r="A146" s="2">
        <f>IFERROR(__xludf.DUMMYFUNCTION("""COMPUTED_VALUE"""),41791.0)</f>
        <v>41791</v>
      </c>
      <c r="B146" s="1" t="str">
        <f>IFERROR(__xludf.DUMMYFUNCTION("""COMPUTED_VALUE"""),"3.904 €/m2")</f>
        <v>3.904 €/m2</v>
      </c>
      <c r="C146" s="1" t="str">
        <f>IFERROR(__xludf.DUMMYFUNCTION("""COMPUTED_VALUE"""),"+ 1,0 %")</f>
        <v>+ 1,0 %</v>
      </c>
      <c r="D146" s="1" t="str">
        <f>IFERROR(__xludf.DUMMYFUNCTION("""COMPUTED_VALUE"""),"+ 0,8 %")</f>
        <v>+ 0,8 %</v>
      </c>
      <c r="E146" s="1" t="str">
        <f>IFERROR(__xludf.DUMMYFUNCTION("""COMPUTED_VALUE"""),"- 1,1 %")</f>
        <v>- 1,1 %</v>
      </c>
    </row>
    <row r="147">
      <c r="A147" s="2">
        <f>IFERROR(__xludf.DUMMYFUNCTION("""COMPUTED_VALUE"""),41760.0)</f>
        <v>41760</v>
      </c>
      <c r="B147" s="1" t="str">
        <f>IFERROR(__xludf.DUMMYFUNCTION("""COMPUTED_VALUE"""),"3.866 €/m2")</f>
        <v>3.866 €/m2</v>
      </c>
      <c r="C147" s="1" t="str">
        <f>IFERROR(__xludf.DUMMYFUNCTION("""COMPUTED_VALUE"""),"- 0,6 %")</f>
        <v>- 0,6 %</v>
      </c>
      <c r="D147" s="1" t="str">
        <f>IFERROR(__xludf.DUMMYFUNCTION("""COMPUTED_VALUE"""),"0,0 %")</f>
        <v>0,0 %</v>
      </c>
      <c r="E147" s="1" t="str">
        <f>IFERROR(__xludf.DUMMYFUNCTION("""COMPUTED_VALUE"""),"- 2,1 %")</f>
        <v>- 2,1 %</v>
      </c>
    </row>
    <row r="148">
      <c r="A148" s="2">
        <f>IFERROR(__xludf.DUMMYFUNCTION("""COMPUTED_VALUE"""),41730.0)</f>
        <v>41730</v>
      </c>
      <c r="B148" s="1" t="str">
        <f>IFERROR(__xludf.DUMMYFUNCTION("""COMPUTED_VALUE"""),"3.889 €/m2")</f>
        <v>3.889 €/m2</v>
      </c>
      <c r="C148" s="1" t="str">
        <f>IFERROR(__xludf.DUMMYFUNCTION("""COMPUTED_VALUE"""),"+ 0,4 %")</f>
        <v>+ 0,4 %</v>
      </c>
      <c r="D148" s="1" t="str">
        <f>IFERROR(__xludf.DUMMYFUNCTION("""COMPUTED_VALUE"""),"+ 0,4 %")</f>
        <v>+ 0,4 %</v>
      </c>
      <c r="E148" s="1" t="str">
        <f>IFERROR(__xludf.DUMMYFUNCTION("""COMPUTED_VALUE"""),"- 2,1 %")</f>
        <v>- 2,1 %</v>
      </c>
    </row>
    <row r="149">
      <c r="A149" s="2">
        <f>IFERROR(__xludf.DUMMYFUNCTION("""COMPUTED_VALUE"""),41699.0)</f>
        <v>41699</v>
      </c>
      <c r="B149" s="1" t="str">
        <f>IFERROR(__xludf.DUMMYFUNCTION("""COMPUTED_VALUE"""),"3.875 €/m2")</f>
        <v>3.875 €/m2</v>
      </c>
      <c r="C149" s="1" t="str">
        <f>IFERROR(__xludf.DUMMYFUNCTION("""COMPUTED_VALUE"""),"+ 0,3 %")</f>
        <v>+ 0,3 %</v>
      </c>
      <c r="D149" s="1" t="str">
        <f>IFERROR(__xludf.DUMMYFUNCTION("""COMPUTED_VALUE"""),"+ 0,1 %")</f>
        <v>+ 0,1 %</v>
      </c>
      <c r="E149" s="1" t="str">
        <f>IFERROR(__xludf.DUMMYFUNCTION("""COMPUTED_VALUE"""),"- 2,9 %")</f>
        <v>- 2,9 %</v>
      </c>
    </row>
    <row r="150">
      <c r="A150" s="2">
        <f>IFERROR(__xludf.DUMMYFUNCTION("""COMPUTED_VALUE"""),41671.0)</f>
        <v>41671</v>
      </c>
      <c r="B150" s="1" t="str">
        <f>IFERROR(__xludf.DUMMYFUNCTION("""COMPUTED_VALUE"""),"3.864 €/m2")</f>
        <v>3.864 €/m2</v>
      </c>
      <c r="C150" s="1" t="str">
        <f>IFERROR(__xludf.DUMMYFUNCTION("""COMPUTED_VALUE"""),"- 0,2 %")</f>
        <v>- 0,2 %</v>
      </c>
      <c r="D150" s="1" t="str">
        <f>IFERROR(__xludf.DUMMYFUNCTION("""COMPUTED_VALUE"""),"- 0,9 %")</f>
        <v>- 0,9 %</v>
      </c>
      <c r="E150" s="1" t="str">
        <f>IFERROR(__xludf.DUMMYFUNCTION("""COMPUTED_VALUE"""),"- 4,1 %")</f>
        <v>- 4,1 %</v>
      </c>
    </row>
    <row r="151">
      <c r="A151" s="2">
        <f>IFERROR(__xludf.DUMMYFUNCTION("""COMPUTED_VALUE"""),41640.0)</f>
        <v>41640</v>
      </c>
      <c r="B151" s="1" t="str">
        <f>IFERROR(__xludf.DUMMYFUNCTION("""COMPUTED_VALUE"""),"3.873 €/m2")</f>
        <v>3.873 €/m2</v>
      </c>
      <c r="C151" s="1" t="str">
        <f>IFERROR(__xludf.DUMMYFUNCTION("""COMPUTED_VALUE"""),"0,0 %")</f>
        <v>0,0 %</v>
      </c>
      <c r="D151" s="1" t="str">
        <f>IFERROR(__xludf.DUMMYFUNCTION("""COMPUTED_VALUE"""),"- 0,5 %")</f>
        <v>- 0,5 %</v>
      </c>
      <c r="E151" s="1" t="str">
        <f>IFERROR(__xludf.DUMMYFUNCTION("""COMPUTED_VALUE"""),"- 4,4 %")</f>
        <v>- 4,4 %</v>
      </c>
    </row>
    <row r="152">
      <c r="A152" s="2">
        <f>IFERROR(__xludf.DUMMYFUNCTION("""COMPUTED_VALUE"""),41609.0)</f>
        <v>41609</v>
      </c>
      <c r="B152" s="1" t="str">
        <f>IFERROR(__xludf.DUMMYFUNCTION("""COMPUTED_VALUE"""),"3.871 €/m2")</f>
        <v>3.871 €/m2</v>
      </c>
      <c r="C152" s="1" t="str">
        <f>IFERROR(__xludf.DUMMYFUNCTION("""COMPUTED_VALUE"""),"- 0,7 %")</f>
        <v>- 0,7 %</v>
      </c>
      <c r="D152" s="1" t="str">
        <f>IFERROR(__xludf.DUMMYFUNCTION("""COMPUTED_VALUE"""),"- 1,4 %")</f>
        <v>- 1,4 %</v>
      </c>
      <c r="E152" s="1" t="str">
        <f>IFERROR(__xludf.DUMMYFUNCTION("""COMPUTED_VALUE"""),"- 4,2 %")</f>
        <v>- 4,2 %</v>
      </c>
    </row>
    <row r="153">
      <c r="A153" s="2">
        <f>IFERROR(__xludf.DUMMYFUNCTION("""COMPUTED_VALUE"""),41579.0)</f>
        <v>41579</v>
      </c>
      <c r="B153" s="1" t="str">
        <f>IFERROR(__xludf.DUMMYFUNCTION("""COMPUTED_VALUE"""),"3.901 €/m2")</f>
        <v>3.901 €/m2</v>
      </c>
      <c r="C153" s="1" t="str">
        <f>IFERROR(__xludf.DUMMYFUNCTION("""COMPUTED_VALUE"""),"+ 0,3 %")</f>
        <v>+ 0,3 %</v>
      </c>
      <c r="D153" s="1" t="str">
        <f>IFERROR(__xludf.DUMMYFUNCTION("""COMPUTED_VALUE"""),"- 0,4 %")</f>
        <v>- 0,4 %</v>
      </c>
      <c r="E153" s="1" t="str">
        <f>IFERROR(__xludf.DUMMYFUNCTION("""COMPUTED_VALUE"""),"- 4,5 %")</f>
        <v>- 4,5 %</v>
      </c>
    </row>
    <row r="154">
      <c r="A154" s="2">
        <f>IFERROR(__xludf.DUMMYFUNCTION("""COMPUTED_VALUE"""),41548.0)</f>
        <v>41548</v>
      </c>
      <c r="B154" s="1" t="str">
        <f>IFERROR(__xludf.DUMMYFUNCTION("""COMPUTED_VALUE"""),"3.891 €/m2")</f>
        <v>3.891 €/m2</v>
      </c>
      <c r="C154" s="1" t="str">
        <f>IFERROR(__xludf.DUMMYFUNCTION("""COMPUTED_VALUE"""),"- 0,9 %")</f>
        <v>- 0,9 %</v>
      </c>
      <c r="D154" s="1" t="str">
        <f>IFERROR(__xludf.DUMMYFUNCTION("""COMPUTED_VALUE"""),"- 1,3 %")</f>
        <v>- 1,3 %</v>
      </c>
      <c r="E154" s="1" t="str">
        <f>IFERROR(__xludf.DUMMYFUNCTION("""COMPUTED_VALUE"""),"- 5,8 %")</f>
        <v>- 5,8 %</v>
      </c>
    </row>
    <row r="155">
      <c r="A155" s="2">
        <f>IFERROR(__xludf.DUMMYFUNCTION("""COMPUTED_VALUE"""),41518.0)</f>
        <v>41518</v>
      </c>
      <c r="B155" s="1" t="str">
        <f>IFERROR(__xludf.DUMMYFUNCTION("""COMPUTED_VALUE"""),"3.925 €/m2")</f>
        <v>3.925 €/m2</v>
      </c>
      <c r="C155" s="1" t="str">
        <f>IFERROR(__xludf.DUMMYFUNCTION("""COMPUTED_VALUE"""),"+ 0,2 %")</f>
        <v>+ 0,2 %</v>
      </c>
      <c r="D155" s="1" t="str">
        <f>IFERROR(__xludf.DUMMYFUNCTION("""COMPUTED_VALUE"""),"- 0,6 %")</f>
        <v>- 0,6 %</v>
      </c>
      <c r="E155" s="1" t="str">
        <f>IFERROR(__xludf.DUMMYFUNCTION("""COMPUTED_VALUE"""),"- 4,7 %")</f>
        <v>- 4,7 %</v>
      </c>
    </row>
    <row r="156">
      <c r="A156" s="2">
        <f>IFERROR(__xludf.DUMMYFUNCTION("""COMPUTED_VALUE"""),41487.0)</f>
        <v>41487</v>
      </c>
      <c r="B156" s="1" t="str">
        <f>IFERROR(__xludf.DUMMYFUNCTION("""COMPUTED_VALUE"""),"3.916 €/m2")</f>
        <v>3.916 €/m2</v>
      </c>
      <c r="C156" s="1" t="str">
        <f>IFERROR(__xludf.DUMMYFUNCTION("""COMPUTED_VALUE"""),"- 0,7 %")</f>
        <v>- 0,7 %</v>
      </c>
      <c r="D156" s="1" t="str">
        <f>IFERROR(__xludf.DUMMYFUNCTION("""COMPUTED_VALUE"""),"- 0,8 %")</f>
        <v>- 0,8 %</v>
      </c>
      <c r="E156" s="1" t="str">
        <f>IFERROR(__xludf.DUMMYFUNCTION("""COMPUTED_VALUE"""),"- 5,3 %")</f>
        <v>- 5,3 %</v>
      </c>
    </row>
    <row r="157">
      <c r="A157" s="2">
        <f>IFERROR(__xludf.DUMMYFUNCTION("""COMPUTED_VALUE"""),41456.0)</f>
        <v>41456</v>
      </c>
      <c r="B157" s="1" t="str">
        <f>IFERROR(__xludf.DUMMYFUNCTION("""COMPUTED_VALUE"""),"3.943 €/m2")</f>
        <v>3.943 €/m2</v>
      </c>
      <c r="C157" s="1" t="str">
        <f>IFERROR(__xludf.DUMMYFUNCTION("""COMPUTED_VALUE"""),"- 0,1 %")</f>
        <v>- 0,1 %</v>
      </c>
      <c r="D157" s="1" t="str">
        <f>IFERROR(__xludf.DUMMYFUNCTION("""COMPUTED_VALUE"""),"- 0,8 %")</f>
        <v>- 0,8 %</v>
      </c>
      <c r="E157" s="1" t="str">
        <f>IFERROR(__xludf.DUMMYFUNCTION("""COMPUTED_VALUE"""),"- 5,8 %")</f>
        <v>- 5,8 %</v>
      </c>
    </row>
    <row r="158">
      <c r="A158" s="2">
        <f>IFERROR(__xludf.DUMMYFUNCTION("""COMPUTED_VALUE"""),41426.0)</f>
        <v>41426</v>
      </c>
      <c r="B158" s="1" t="str">
        <f>IFERROR(__xludf.DUMMYFUNCTION("""COMPUTED_VALUE"""),"3.947 €/m2")</f>
        <v>3.947 €/m2</v>
      </c>
      <c r="C158" s="1" t="str">
        <f>IFERROR(__xludf.DUMMYFUNCTION("""COMPUTED_VALUE"""),"- 0,1 %")</f>
        <v>- 0,1 %</v>
      </c>
      <c r="D158" s="1" t="str">
        <f>IFERROR(__xludf.DUMMYFUNCTION("""COMPUTED_VALUE"""),"- 1,0 %")</f>
        <v>- 1,0 %</v>
      </c>
      <c r="E158" s="1" t="str">
        <f>IFERROR(__xludf.DUMMYFUNCTION("""COMPUTED_VALUE"""),"- 7,0 %")</f>
        <v>- 7,0 %</v>
      </c>
    </row>
    <row r="159">
      <c r="A159" s="2">
        <f>IFERROR(__xludf.DUMMYFUNCTION("""COMPUTED_VALUE"""),41395.0)</f>
        <v>41395</v>
      </c>
      <c r="B159" s="1" t="str">
        <f>IFERROR(__xludf.DUMMYFUNCTION("""COMPUTED_VALUE"""),"3.949 €/m2")</f>
        <v>3.949 €/m2</v>
      </c>
      <c r="C159" s="1" t="str">
        <f>IFERROR(__xludf.DUMMYFUNCTION("""COMPUTED_VALUE"""),"- 0,6 %")</f>
        <v>- 0,6 %</v>
      </c>
      <c r="D159" s="1" t="str">
        <f>IFERROR(__xludf.DUMMYFUNCTION("""COMPUTED_VALUE"""),"- 2,0 %")</f>
        <v>- 2,0 %</v>
      </c>
      <c r="E159" s="1" t="str">
        <f>IFERROR(__xludf.DUMMYFUNCTION("""COMPUTED_VALUE"""),"- 7,5 %")</f>
        <v>- 7,5 %</v>
      </c>
    </row>
    <row r="160">
      <c r="A160" s="2">
        <f>IFERROR(__xludf.DUMMYFUNCTION("""COMPUTED_VALUE"""),41365.0)</f>
        <v>41365</v>
      </c>
      <c r="B160" s="1" t="str">
        <f>IFERROR(__xludf.DUMMYFUNCTION("""COMPUTED_VALUE"""),"3.973 €/m2")</f>
        <v>3.973 €/m2</v>
      </c>
      <c r="C160" s="1" t="str">
        <f>IFERROR(__xludf.DUMMYFUNCTION("""COMPUTED_VALUE"""),"- 0,4 %")</f>
        <v>- 0,4 %</v>
      </c>
      <c r="D160" s="1" t="str">
        <f>IFERROR(__xludf.DUMMYFUNCTION("""COMPUTED_VALUE"""),"- 1,9 %")</f>
        <v>- 1,9 %</v>
      </c>
      <c r="E160" s="1" t="str">
        <f>IFERROR(__xludf.DUMMYFUNCTION("""COMPUTED_VALUE"""),"- 7,5 %")</f>
        <v>- 7,5 %</v>
      </c>
    </row>
    <row r="161">
      <c r="A161" s="2">
        <f>IFERROR(__xludf.DUMMYFUNCTION("""COMPUTED_VALUE"""),41334.0)</f>
        <v>41334</v>
      </c>
      <c r="B161" s="1" t="str">
        <f>IFERROR(__xludf.DUMMYFUNCTION("""COMPUTED_VALUE"""),"3.988 €/m2")</f>
        <v>3.988 €/m2</v>
      </c>
      <c r="C161" s="1" t="str">
        <f>IFERROR(__xludf.DUMMYFUNCTION("""COMPUTED_VALUE"""),"- 1,0 %")</f>
        <v>- 1,0 %</v>
      </c>
      <c r="D161" s="1" t="str">
        <f>IFERROR(__xludf.DUMMYFUNCTION("""COMPUTED_VALUE"""),"- 1,3 %")</f>
        <v>- 1,3 %</v>
      </c>
      <c r="E161" s="1" t="str">
        <f>IFERROR(__xludf.DUMMYFUNCTION("""COMPUTED_VALUE"""),"- 7,0 %")</f>
        <v>- 7,0 %</v>
      </c>
    </row>
    <row r="162">
      <c r="A162" s="2">
        <f>IFERROR(__xludf.DUMMYFUNCTION("""COMPUTED_VALUE"""),41306.0)</f>
        <v>41306</v>
      </c>
      <c r="B162" s="1" t="str">
        <f>IFERROR(__xludf.DUMMYFUNCTION("""COMPUTED_VALUE"""),"4.029 €/m2")</f>
        <v>4.029 €/m2</v>
      </c>
      <c r="C162" s="1" t="str">
        <f>IFERROR(__xludf.DUMMYFUNCTION("""COMPUTED_VALUE"""),"- 0,5 %")</f>
        <v>- 0,5 %</v>
      </c>
      <c r="D162" s="1" t="str">
        <f>IFERROR(__xludf.DUMMYFUNCTION("""COMPUTED_VALUE"""),"- 1,3 %")</f>
        <v>- 1,3 %</v>
      </c>
      <c r="E162" s="1" t="str">
        <f>IFERROR(__xludf.DUMMYFUNCTION("""COMPUTED_VALUE"""),"- 7,0 %")</f>
        <v>- 7,0 %</v>
      </c>
    </row>
    <row r="163">
      <c r="A163" s="2">
        <f>IFERROR(__xludf.DUMMYFUNCTION("""COMPUTED_VALUE"""),41275.0)</f>
        <v>41275</v>
      </c>
      <c r="B163" s="1" t="str">
        <f>IFERROR(__xludf.DUMMYFUNCTION("""COMPUTED_VALUE"""),"4.051 €/m2")</f>
        <v>4.051 €/m2</v>
      </c>
      <c r="C163" s="1" t="str">
        <f>IFERROR(__xludf.DUMMYFUNCTION("""COMPUTED_VALUE"""),"+ 0,2 %")</f>
        <v>+ 0,2 %</v>
      </c>
      <c r="D163" s="1" t="str">
        <f>IFERROR(__xludf.DUMMYFUNCTION("""COMPUTED_VALUE"""),"- 1,9 %")</f>
        <v>- 1,9 %</v>
      </c>
      <c r="E163" s="1" t="str">
        <f>IFERROR(__xludf.DUMMYFUNCTION("""COMPUTED_VALUE"""),"- 7,1 %")</f>
        <v>- 7,1 %</v>
      </c>
    </row>
    <row r="164">
      <c r="A164" s="2">
        <f>IFERROR(__xludf.DUMMYFUNCTION("""COMPUTED_VALUE"""),41244.0)</f>
        <v>41244</v>
      </c>
      <c r="B164" s="1" t="str">
        <f>IFERROR(__xludf.DUMMYFUNCTION("""COMPUTED_VALUE"""),"4.041 €/m2")</f>
        <v>4.041 €/m2</v>
      </c>
      <c r="C164" s="1" t="str">
        <f>IFERROR(__xludf.DUMMYFUNCTION("""COMPUTED_VALUE"""),"- 1,0 %")</f>
        <v>- 1,0 %</v>
      </c>
      <c r="D164" s="1" t="str">
        <f>IFERROR(__xludf.DUMMYFUNCTION("""COMPUTED_VALUE"""),"- 1,9 %")</f>
        <v>- 1,9 %</v>
      </c>
      <c r="E164" s="1" t="str">
        <f>IFERROR(__xludf.DUMMYFUNCTION("""COMPUTED_VALUE"""),"- 7,4 %")</f>
        <v>- 7,4 %</v>
      </c>
    </row>
    <row r="165">
      <c r="A165" s="2">
        <f>IFERROR(__xludf.DUMMYFUNCTION("""COMPUTED_VALUE"""),41214.0)</f>
        <v>41214</v>
      </c>
      <c r="B165" s="1" t="str">
        <f>IFERROR(__xludf.DUMMYFUNCTION("""COMPUTED_VALUE"""),"4.083 €/m2")</f>
        <v>4.083 €/m2</v>
      </c>
      <c r="C165" s="1" t="str">
        <f>IFERROR(__xludf.DUMMYFUNCTION("""COMPUTED_VALUE"""),"- 1,1 %")</f>
        <v>- 1,1 %</v>
      </c>
      <c r="D165" s="1" t="str">
        <f>IFERROR(__xludf.DUMMYFUNCTION("""COMPUTED_VALUE"""),"- 1,2 %")</f>
        <v>- 1,2 %</v>
      </c>
      <c r="E165" s="1" t="str">
        <f>IFERROR(__xludf.DUMMYFUNCTION("""COMPUTED_VALUE"""),"- 7,6 %")</f>
        <v>- 7,6 %</v>
      </c>
    </row>
    <row r="166">
      <c r="A166" s="2">
        <f>IFERROR(__xludf.DUMMYFUNCTION("""COMPUTED_VALUE"""),41183.0)</f>
        <v>41183</v>
      </c>
      <c r="B166" s="1" t="str">
        <f>IFERROR(__xludf.DUMMYFUNCTION("""COMPUTED_VALUE"""),"4.128 €/m2")</f>
        <v>4.128 €/m2</v>
      </c>
      <c r="C166" s="1" t="str">
        <f>IFERROR(__xludf.DUMMYFUNCTION("""COMPUTED_VALUE"""),"+ 0,3 %")</f>
        <v>+ 0,3 %</v>
      </c>
      <c r="D166" s="1" t="str">
        <f>IFERROR(__xludf.DUMMYFUNCTION("""COMPUTED_VALUE"""),"- 1,3 %")</f>
        <v>- 1,3 %</v>
      </c>
      <c r="E166" s="1" t="str">
        <f>IFERROR(__xludf.DUMMYFUNCTION("""COMPUTED_VALUE"""),"- 6,7 %")</f>
        <v>- 6,7 %</v>
      </c>
    </row>
    <row r="167">
      <c r="A167" s="2">
        <f>IFERROR(__xludf.DUMMYFUNCTION("""COMPUTED_VALUE"""),41153.0)</f>
        <v>41153</v>
      </c>
      <c r="B167" s="1" t="str">
        <f>IFERROR(__xludf.DUMMYFUNCTION("""COMPUTED_VALUE"""),"4.118 €/m2")</f>
        <v>4.118 €/m2</v>
      </c>
      <c r="C167" s="1" t="str">
        <f>IFERROR(__xludf.DUMMYFUNCTION("""COMPUTED_VALUE"""),"- 0,4 %")</f>
        <v>- 0,4 %</v>
      </c>
      <c r="D167" s="1" t="str">
        <f>IFERROR(__xludf.DUMMYFUNCTION("""COMPUTED_VALUE"""),"- 3,0 %")</f>
        <v>- 3,0 %</v>
      </c>
      <c r="E167" s="1" t="str">
        <f>IFERROR(__xludf.DUMMYFUNCTION("""COMPUTED_VALUE"""),"- 7,4 %")</f>
        <v>- 7,4 %</v>
      </c>
    </row>
    <row r="168">
      <c r="A168" s="2">
        <f>IFERROR(__xludf.DUMMYFUNCTION("""COMPUTED_VALUE"""),41122.0)</f>
        <v>41122</v>
      </c>
      <c r="B168" s="1" t="str">
        <f>IFERROR(__xludf.DUMMYFUNCTION("""COMPUTED_VALUE"""),"4.133 €/m2")</f>
        <v>4.133 €/m2</v>
      </c>
      <c r="C168" s="1" t="str">
        <f>IFERROR(__xludf.DUMMYFUNCTION("""COMPUTED_VALUE"""),"- 1,2 %")</f>
        <v>- 1,2 %</v>
      </c>
      <c r="D168" s="1" t="str">
        <f>IFERROR(__xludf.DUMMYFUNCTION("""COMPUTED_VALUE"""),"- 3,2 %")</f>
        <v>- 3,2 %</v>
      </c>
      <c r="E168" s="1" t="str">
        <f>IFERROR(__xludf.DUMMYFUNCTION("""COMPUTED_VALUE"""),"- 7,6 %")</f>
        <v>- 7,6 %</v>
      </c>
    </row>
    <row r="169">
      <c r="A169" s="2">
        <f>IFERROR(__xludf.DUMMYFUNCTION("""COMPUTED_VALUE"""),41091.0)</f>
        <v>41091</v>
      </c>
      <c r="B169" s="1" t="str">
        <f>IFERROR(__xludf.DUMMYFUNCTION("""COMPUTED_VALUE"""),"4.184 €/m2")</f>
        <v>4.184 €/m2</v>
      </c>
      <c r="C169" s="1" t="str">
        <f>IFERROR(__xludf.DUMMYFUNCTION("""COMPUTED_VALUE"""),"- 1,4 %")</f>
        <v>- 1,4 %</v>
      </c>
      <c r="D169" s="1" t="str">
        <f>IFERROR(__xludf.DUMMYFUNCTION("""COMPUTED_VALUE"""),"- 2,5 %")</f>
        <v>- 2,5 %</v>
      </c>
      <c r="E169" s="1" t="str">
        <f>IFERROR(__xludf.DUMMYFUNCTION("""COMPUTED_VALUE"""),"- 7,6 %")</f>
        <v>- 7,6 %</v>
      </c>
    </row>
    <row r="170">
      <c r="A170" s="2">
        <f>IFERROR(__xludf.DUMMYFUNCTION("""COMPUTED_VALUE"""),41061.0)</f>
        <v>41061</v>
      </c>
      <c r="B170" s="1" t="str">
        <f>IFERROR(__xludf.DUMMYFUNCTION("""COMPUTED_VALUE"""),"4.245 €/m2")</f>
        <v>4.245 €/m2</v>
      </c>
      <c r="C170" s="1" t="str">
        <f>IFERROR(__xludf.DUMMYFUNCTION("""COMPUTED_VALUE"""),"- 0,5 %")</f>
        <v>- 0,5 %</v>
      </c>
      <c r="D170" s="1" t="str">
        <f>IFERROR(__xludf.DUMMYFUNCTION("""COMPUTED_VALUE"""),"- 1,0 %")</f>
        <v>- 1,0 %</v>
      </c>
      <c r="E170" s="1" t="str">
        <f>IFERROR(__xludf.DUMMYFUNCTION("""COMPUTED_VALUE"""),"- 7,5 %")</f>
        <v>- 7,5 %</v>
      </c>
    </row>
    <row r="171">
      <c r="A171" s="2">
        <f>IFERROR(__xludf.DUMMYFUNCTION("""COMPUTED_VALUE"""),41030.0)</f>
        <v>41030</v>
      </c>
      <c r="B171" s="1" t="str">
        <f>IFERROR(__xludf.DUMMYFUNCTION("""COMPUTED_VALUE"""),"4.268 €/m2")</f>
        <v>4.268 €/m2</v>
      </c>
      <c r="C171" s="1" t="str">
        <f>IFERROR(__xludf.DUMMYFUNCTION("""COMPUTED_VALUE"""),"- 0,6 %")</f>
        <v>- 0,6 %</v>
      </c>
      <c r="D171" s="1" t="str">
        <f>IFERROR(__xludf.DUMMYFUNCTION("""COMPUTED_VALUE"""),"- 1,5 %")</f>
        <v>- 1,5 %</v>
      </c>
      <c r="E171" s="1" t="str">
        <f>IFERROR(__xludf.DUMMYFUNCTION("""COMPUTED_VALUE"""),"- 7,1 %")</f>
        <v>- 7,1 %</v>
      </c>
    </row>
    <row r="172">
      <c r="A172" s="2">
        <f>IFERROR(__xludf.DUMMYFUNCTION("""COMPUTED_VALUE"""),41000.0)</f>
        <v>41000</v>
      </c>
      <c r="B172" s="1" t="str">
        <f>IFERROR(__xludf.DUMMYFUNCTION("""COMPUTED_VALUE"""),"4.294 €/m2")</f>
        <v>4.294 €/m2</v>
      </c>
      <c r="C172" s="1" t="str">
        <f>IFERROR(__xludf.DUMMYFUNCTION("""COMPUTED_VALUE"""),"+ 0,2 %")</f>
        <v>+ 0,2 %</v>
      </c>
      <c r="D172" s="1" t="str">
        <f>IFERROR(__xludf.DUMMYFUNCTION("""COMPUTED_VALUE"""),"- 1,5 %")</f>
        <v>- 1,5 %</v>
      </c>
      <c r="E172" s="1" t="str">
        <f>IFERROR(__xludf.DUMMYFUNCTION("""COMPUTED_VALUE"""),"- 6,2 %")</f>
        <v>- 6,2 %</v>
      </c>
    </row>
    <row r="173">
      <c r="A173" s="2">
        <f>IFERROR(__xludf.DUMMYFUNCTION("""COMPUTED_VALUE"""),40969.0)</f>
        <v>40969</v>
      </c>
      <c r="B173" s="1" t="str">
        <f>IFERROR(__xludf.DUMMYFUNCTION("""COMPUTED_VALUE"""),"4.287 €/m2")</f>
        <v>4.287 €/m2</v>
      </c>
      <c r="C173" s="1" t="str">
        <f>IFERROR(__xludf.DUMMYFUNCTION("""COMPUTED_VALUE"""),"- 1,0 %")</f>
        <v>- 1,0 %</v>
      </c>
      <c r="D173" s="1" t="str">
        <f>IFERROR(__xludf.DUMMYFUNCTION("""COMPUTED_VALUE"""),"- 1,8 %")</f>
        <v>- 1,8 %</v>
      </c>
      <c r="E173" s="1" t="str">
        <f>IFERROR(__xludf.DUMMYFUNCTION("""COMPUTED_VALUE"""),"- 6,3 %")</f>
        <v>- 6,3 %</v>
      </c>
    </row>
    <row r="174">
      <c r="A174" s="2">
        <f>IFERROR(__xludf.DUMMYFUNCTION("""COMPUTED_VALUE"""),40940.0)</f>
        <v>40940</v>
      </c>
      <c r="B174" s="1" t="str">
        <f>IFERROR(__xludf.DUMMYFUNCTION("""COMPUTED_VALUE"""),"4.331 €/m2")</f>
        <v>4.331 €/m2</v>
      </c>
      <c r="C174" s="1" t="str">
        <f>IFERROR(__xludf.DUMMYFUNCTION("""COMPUTED_VALUE"""),"- 0,6 %")</f>
        <v>- 0,6 %</v>
      </c>
      <c r="D174" s="1" t="str">
        <f>IFERROR(__xludf.DUMMYFUNCTION("""COMPUTED_VALUE"""),"- 1,9 %")</f>
        <v>- 1,9 %</v>
      </c>
      <c r="E174" s="1" t="str">
        <f>IFERROR(__xludf.DUMMYFUNCTION("""COMPUTED_VALUE"""),"- 6,2 %")</f>
        <v>- 6,2 %</v>
      </c>
    </row>
    <row r="175">
      <c r="A175" s="2">
        <f>IFERROR(__xludf.DUMMYFUNCTION("""COMPUTED_VALUE"""),40909.0)</f>
        <v>40909</v>
      </c>
      <c r="B175" s="1" t="str">
        <f>IFERROR(__xludf.DUMMYFUNCTION("""COMPUTED_VALUE"""),"4.359 €/m2")</f>
        <v>4.359 €/m2</v>
      </c>
      <c r="C175" s="1" t="str">
        <f>IFERROR(__xludf.DUMMYFUNCTION("""COMPUTED_VALUE"""),"- 0,2 %")</f>
        <v>- 0,2 %</v>
      </c>
      <c r="D175" s="1" t="str">
        <f>IFERROR(__xludf.DUMMYFUNCTION("""COMPUTED_VALUE"""),"- 1,5 %")</f>
        <v>- 1,5 %</v>
      </c>
      <c r="E175" s="1" t="str">
        <f>IFERROR(__xludf.DUMMYFUNCTION("""COMPUTED_VALUE"""),"- 6,4 %")</f>
        <v>- 6,4 %</v>
      </c>
    </row>
    <row r="176">
      <c r="A176" s="2">
        <f>IFERROR(__xludf.DUMMYFUNCTION("""COMPUTED_VALUE"""),40878.0)</f>
        <v>40878</v>
      </c>
      <c r="B176" s="1" t="str">
        <f>IFERROR(__xludf.DUMMYFUNCTION("""COMPUTED_VALUE"""),"4.367 €/m2")</f>
        <v>4.367 €/m2</v>
      </c>
      <c r="C176" s="1" t="str">
        <f>IFERROR(__xludf.DUMMYFUNCTION("""COMPUTED_VALUE"""),"- 1,2 %")</f>
        <v>- 1,2 %</v>
      </c>
      <c r="D176" s="1" t="str">
        <f>IFERROR(__xludf.DUMMYFUNCTION("""COMPUTED_VALUE"""),"- 1,8 %")</f>
        <v>- 1,8 %</v>
      </c>
      <c r="E176" s="1" t="str">
        <f>IFERROR(__xludf.DUMMYFUNCTION("""COMPUTED_VALUE"""),"- 7,0 %")</f>
        <v>- 7,0 %</v>
      </c>
    </row>
    <row r="177">
      <c r="A177" s="2">
        <f>IFERROR(__xludf.DUMMYFUNCTION("""COMPUTED_VALUE"""),40848.0)</f>
        <v>40848</v>
      </c>
      <c r="B177" s="1" t="str">
        <f>IFERROR(__xludf.DUMMYFUNCTION("""COMPUTED_VALUE"""),"4.417 €/m2")</f>
        <v>4.417 €/m2</v>
      </c>
      <c r="C177" s="1" t="str">
        <f>IFERROR(__xludf.DUMMYFUNCTION("""COMPUTED_VALUE"""),"- 0,2 %")</f>
        <v>- 0,2 %</v>
      </c>
      <c r="D177" s="1" t="str">
        <f>IFERROR(__xludf.DUMMYFUNCTION("""COMPUTED_VALUE"""),"- 1,2 %")</f>
        <v>- 1,2 %</v>
      </c>
      <c r="E177" s="1" t="str">
        <f>IFERROR(__xludf.DUMMYFUNCTION("""COMPUTED_VALUE"""),"- 5,8 %")</f>
        <v>- 5,8 %</v>
      </c>
    </row>
    <row r="178">
      <c r="A178" s="2">
        <f>IFERROR(__xludf.DUMMYFUNCTION("""COMPUTED_VALUE"""),40817.0)</f>
        <v>40817</v>
      </c>
      <c r="B178" s="1" t="str">
        <f>IFERROR(__xludf.DUMMYFUNCTION("""COMPUTED_VALUE"""),"4.426 €/m2")</f>
        <v>4.426 €/m2</v>
      </c>
      <c r="C178" s="1" t="str">
        <f>IFERROR(__xludf.DUMMYFUNCTION("""COMPUTED_VALUE"""),"- 0,4 %")</f>
        <v>- 0,4 %</v>
      </c>
      <c r="D178" s="1" t="str">
        <f>IFERROR(__xludf.DUMMYFUNCTION("""COMPUTED_VALUE"""),"- 2,3 %")</f>
        <v>- 2,3 %</v>
      </c>
      <c r="E178" s="1" t="str">
        <f>IFERROR(__xludf.DUMMYFUNCTION("""COMPUTED_VALUE"""),"- 6,6 %")</f>
        <v>- 6,6 %</v>
      </c>
    </row>
    <row r="179">
      <c r="A179" s="2">
        <f>IFERROR(__xludf.DUMMYFUNCTION("""COMPUTED_VALUE"""),40787.0)</f>
        <v>40787</v>
      </c>
      <c r="B179" s="1" t="str">
        <f>IFERROR(__xludf.DUMMYFUNCTION("""COMPUTED_VALUE"""),"4.446 €/m2")</f>
        <v>4.446 €/m2</v>
      </c>
      <c r="C179" s="1" t="str">
        <f>IFERROR(__xludf.DUMMYFUNCTION("""COMPUTED_VALUE"""),"- 0,6 %")</f>
        <v>- 0,6 %</v>
      </c>
      <c r="D179" s="1" t="str">
        <f>IFERROR(__xludf.DUMMYFUNCTION("""COMPUTED_VALUE"""),"- 3,2 %")</f>
        <v>- 3,2 %</v>
      </c>
      <c r="E179" s="1" t="str">
        <f>IFERROR(__xludf.DUMMYFUNCTION("""COMPUTED_VALUE"""),"- 5,0 %")</f>
        <v>- 5,0 %</v>
      </c>
    </row>
    <row r="180">
      <c r="A180" s="2">
        <f>IFERROR(__xludf.DUMMYFUNCTION("""COMPUTED_VALUE"""),40756.0)</f>
        <v>40756</v>
      </c>
      <c r="B180" s="1" t="str">
        <f>IFERROR(__xludf.DUMMYFUNCTION("""COMPUTED_VALUE"""),"4.472 €/m2")</f>
        <v>4.472 €/m2</v>
      </c>
      <c r="C180" s="1" t="str">
        <f>IFERROR(__xludf.DUMMYFUNCTION("""COMPUTED_VALUE"""),"- 1,3 %")</f>
        <v>- 1,3 %</v>
      </c>
      <c r="D180" s="1" t="str">
        <f>IFERROR(__xludf.DUMMYFUNCTION("""COMPUTED_VALUE"""),"- 2,7 %")</f>
        <v>- 2,7 %</v>
      </c>
      <c r="E180" s="1" t="str">
        <f>IFERROR(__xludf.DUMMYFUNCTION("""COMPUTED_VALUE"""),"- 4,0 %")</f>
        <v>- 4,0 %</v>
      </c>
    </row>
    <row r="181">
      <c r="A181" s="2">
        <f>IFERROR(__xludf.DUMMYFUNCTION("""COMPUTED_VALUE"""),40725.0)</f>
        <v>40725</v>
      </c>
      <c r="B181" s="1" t="str">
        <f>IFERROR(__xludf.DUMMYFUNCTION("""COMPUTED_VALUE"""),"4.529 €/m2")</f>
        <v>4.529 €/m2</v>
      </c>
      <c r="C181" s="1" t="str">
        <f>IFERROR(__xludf.DUMMYFUNCTION("""COMPUTED_VALUE"""),"- 1,3 %")</f>
        <v>- 1,3 %</v>
      </c>
      <c r="D181" s="1" t="str">
        <f>IFERROR(__xludf.DUMMYFUNCTION("""COMPUTED_VALUE"""),"- 1,1 %")</f>
        <v>- 1,1 %</v>
      </c>
      <c r="E181" s="1" t="str">
        <f>IFERROR(__xludf.DUMMYFUNCTION("""COMPUTED_VALUE"""),"- 3,4 %")</f>
        <v>- 3,4 %</v>
      </c>
    </row>
    <row r="182">
      <c r="A182" s="2">
        <f>IFERROR(__xludf.DUMMYFUNCTION("""COMPUTED_VALUE"""),40695.0)</f>
        <v>40695</v>
      </c>
      <c r="B182" s="1" t="str">
        <f>IFERROR(__xludf.DUMMYFUNCTION("""COMPUTED_VALUE"""),"4.591 €/m2")</f>
        <v>4.591 €/m2</v>
      </c>
      <c r="C182" s="1" t="str">
        <f>IFERROR(__xludf.DUMMYFUNCTION("""COMPUTED_VALUE"""),"- 0,1 %")</f>
        <v>- 0,1 %</v>
      </c>
      <c r="D182" s="1" t="str">
        <f>IFERROR(__xludf.DUMMYFUNCTION("""COMPUTED_VALUE"""),"+ 0,4 %")</f>
        <v>+ 0,4 %</v>
      </c>
      <c r="E182" s="1" t="str">
        <f>IFERROR(__xludf.DUMMYFUNCTION("""COMPUTED_VALUE"""),"- 2,7 %")</f>
        <v>- 2,7 %</v>
      </c>
    </row>
    <row r="183">
      <c r="A183" s="2">
        <f>IFERROR(__xludf.DUMMYFUNCTION("""COMPUTED_VALUE"""),40664.0)</f>
        <v>40664</v>
      </c>
      <c r="B183" s="1" t="str">
        <f>IFERROR(__xludf.DUMMYFUNCTION("""COMPUTED_VALUE"""),"4.593 €/m2")</f>
        <v>4.593 €/m2</v>
      </c>
      <c r="C183" s="1" t="str">
        <f>IFERROR(__xludf.DUMMYFUNCTION("""COMPUTED_VALUE"""),"+ 0,3 %")</f>
        <v>+ 0,3 %</v>
      </c>
      <c r="D183" s="1" t="str">
        <f>IFERROR(__xludf.DUMMYFUNCTION("""COMPUTED_VALUE"""),"- 0,6 %")</f>
        <v>- 0,6 %</v>
      </c>
      <c r="E183" s="1" t="str">
        <f>IFERROR(__xludf.DUMMYFUNCTION("""COMPUTED_VALUE"""),"- 3,1 %")</f>
        <v>- 3,1 %</v>
      </c>
    </row>
    <row r="184">
      <c r="A184" s="2">
        <f>IFERROR(__xludf.DUMMYFUNCTION("""COMPUTED_VALUE"""),40634.0)</f>
        <v>40634</v>
      </c>
      <c r="B184" s="1" t="str">
        <f>IFERROR(__xludf.DUMMYFUNCTION("""COMPUTED_VALUE"""),"4.579 €/m2")</f>
        <v>4.579 €/m2</v>
      </c>
      <c r="C184" s="1" t="str">
        <f>IFERROR(__xludf.DUMMYFUNCTION("""COMPUTED_VALUE"""),"+ 0,1 %")</f>
        <v>+ 0,1 %</v>
      </c>
      <c r="D184" s="1" t="str">
        <f>IFERROR(__xludf.DUMMYFUNCTION("""COMPUTED_VALUE"""),"- 1,6 %")</f>
        <v>- 1,6 %</v>
      </c>
      <c r="E184" s="1" t="str">
        <f>IFERROR(__xludf.DUMMYFUNCTION("""COMPUTED_VALUE"""),"- 0,7 %")</f>
        <v>- 0,7 %</v>
      </c>
    </row>
    <row r="185">
      <c r="A185" s="2">
        <f>IFERROR(__xludf.DUMMYFUNCTION("""COMPUTED_VALUE"""),40603.0)</f>
        <v>40603</v>
      </c>
      <c r="B185" s="1" t="str">
        <f>IFERROR(__xludf.DUMMYFUNCTION("""COMPUTED_VALUE"""),"4.574 €/m2")</f>
        <v>4.574 €/m2</v>
      </c>
      <c r="C185" s="1" t="str">
        <f>IFERROR(__xludf.DUMMYFUNCTION("""COMPUTED_VALUE"""),"- 1,0 %")</f>
        <v>- 1,0 %</v>
      </c>
      <c r="D185" s="1" t="str">
        <f>IFERROR(__xludf.DUMMYFUNCTION("""COMPUTED_VALUE"""),"- 2,5 %")</f>
        <v>- 2,5 %</v>
      </c>
      <c r="E185" s="1" t="str">
        <f>IFERROR(__xludf.DUMMYFUNCTION("""COMPUTED_VALUE"""),"+ 0,6 %")</f>
        <v>+ 0,6 %</v>
      </c>
    </row>
    <row r="186">
      <c r="A186" s="2">
        <f>IFERROR(__xludf.DUMMYFUNCTION("""COMPUTED_VALUE"""),40575.0)</f>
        <v>40575</v>
      </c>
      <c r="B186" s="1" t="str">
        <f>IFERROR(__xludf.DUMMYFUNCTION("""COMPUTED_VALUE"""),"4.619 €/m2")</f>
        <v>4.619 €/m2</v>
      </c>
      <c r="C186" s="1" t="str">
        <f>IFERROR(__xludf.DUMMYFUNCTION("""COMPUTED_VALUE"""),"- 0,8 %")</f>
        <v>- 0,8 %</v>
      </c>
      <c r="D186" s="1" t="str">
        <f>IFERROR(__xludf.DUMMYFUNCTION("""COMPUTED_VALUE"""),"- 1,4 %")</f>
        <v>- 1,4 %</v>
      </c>
      <c r="E186" s="1" t="str">
        <f>IFERROR(__xludf.DUMMYFUNCTION("""COMPUTED_VALUE"""),"+ 1,0 %")</f>
        <v>+ 1,0 %</v>
      </c>
    </row>
    <row r="187">
      <c r="A187" s="2">
        <f>IFERROR(__xludf.DUMMYFUNCTION("""COMPUTED_VALUE"""),40544.0)</f>
        <v>40544</v>
      </c>
      <c r="B187" s="1" t="str">
        <f>IFERROR(__xludf.DUMMYFUNCTION("""COMPUTED_VALUE"""),"4.655 €/m2")</f>
        <v>4.655 €/m2</v>
      </c>
      <c r="C187" s="1" t="str">
        <f>IFERROR(__xludf.DUMMYFUNCTION("""COMPUTED_VALUE"""),"- 0,8 %")</f>
        <v>- 0,8 %</v>
      </c>
      <c r="D187" s="1" t="str">
        <f>IFERROR(__xludf.DUMMYFUNCTION("""COMPUTED_VALUE"""),"- 1,8 %")</f>
        <v>- 1,8 %</v>
      </c>
      <c r="E187" s="1" t="str">
        <f>IFERROR(__xludf.DUMMYFUNCTION("""COMPUTED_VALUE"""),"+ 0,5 %")</f>
        <v>+ 0,5 %</v>
      </c>
    </row>
    <row r="188">
      <c r="A188" s="2">
        <f>IFERROR(__xludf.DUMMYFUNCTION("""COMPUTED_VALUE"""),40513.0)</f>
        <v>40513</v>
      </c>
      <c r="B188" s="1" t="str">
        <f>IFERROR(__xludf.DUMMYFUNCTION("""COMPUTED_VALUE"""),"4.693 €/m2")</f>
        <v>4.693 €/m2</v>
      </c>
      <c r="C188" s="1" t="str">
        <f>IFERROR(__xludf.DUMMYFUNCTION("""COMPUTED_VALUE"""),"+ 0,1 %")</f>
        <v>+ 0,1 %</v>
      </c>
      <c r="D188" s="1" t="str">
        <f>IFERROR(__xludf.DUMMYFUNCTION("""COMPUTED_VALUE"""),"+ 0,3 %")</f>
        <v>+ 0,3 %</v>
      </c>
      <c r="E188" s="1" t="str">
        <f>IFERROR(__xludf.DUMMYFUNCTION("""COMPUTED_VALUE"""),"+ 1,3 %")</f>
        <v>+ 1,3 %</v>
      </c>
    </row>
    <row r="189">
      <c r="A189" s="2">
        <f>IFERROR(__xludf.DUMMYFUNCTION("""COMPUTED_VALUE"""),40483.0)</f>
        <v>40483</v>
      </c>
      <c r="B189" s="1" t="str">
        <f>IFERROR(__xludf.DUMMYFUNCTION("""COMPUTED_VALUE"""),"4.687 €/m2")</f>
        <v>4.687 €/m2</v>
      </c>
      <c r="C189" s="1" t="str">
        <f>IFERROR(__xludf.DUMMYFUNCTION("""COMPUTED_VALUE"""),"- 1,1 %")</f>
        <v>- 1,1 %</v>
      </c>
      <c r="D189" s="1" t="str">
        <f>IFERROR(__xludf.DUMMYFUNCTION("""COMPUTED_VALUE"""),"+ 0,6 %")</f>
        <v>+ 0,6 %</v>
      </c>
      <c r="E189" s="1" t="str">
        <f>IFERROR(__xludf.DUMMYFUNCTION("""COMPUTED_VALUE"""),"+ 1,0 %")</f>
        <v>+ 1,0 %</v>
      </c>
    </row>
    <row r="190">
      <c r="A190" s="2">
        <f>IFERROR(__xludf.DUMMYFUNCTION("""COMPUTED_VALUE"""),40452.0)</f>
        <v>40452</v>
      </c>
      <c r="B190" s="1" t="str">
        <f>IFERROR(__xludf.DUMMYFUNCTION("""COMPUTED_VALUE"""),"4.740 €/m2")</f>
        <v>4.740 €/m2</v>
      </c>
      <c r="C190" s="1" t="str">
        <f>IFERROR(__xludf.DUMMYFUNCTION("""COMPUTED_VALUE"""),"+ 1,2 %")</f>
        <v>+ 1,2 %</v>
      </c>
      <c r="D190" s="1" t="str">
        <f>IFERROR(__xludf.DUMMYFUNCTION("""COMPUTED_VALUE"""),"+ 1,1 %")</f>
        <v>+ 1,1 %</v>
      </c>
      <c r="E190" s="1" t="str">
        <f>IFERROR(__xludf.DUMMYFUNCTION("""COMPUTED_VALUE"""),"+ 3,7 %")</f>
        <v>+ 3,7 %</v>
      </c>
    </row>
    <row r="191">
      <c r="A191" s="2">
        <f>IFERROR(__xludf.DUMMYFUNCTION("""COMPUTED_VALUE"""),40422.0)</f>
        <v>40422</v>
      </c>
      <c r="B191" s="1" t="str">
        <f>IFERROR(__xludf.DUMMYFUNCTION("""COMPUTED_VALUE"""),"4.682 €/m2")</f>
        <v>4.682 €/m2</v>
      </c>
      <c r="C191" s="1" t="str">
        <f>IFERROR(__xludf.DUMMYFUNCTION("""COMPUTED_VALUE"""),"+ 0,5 %")</f>
        <v>+ 0,5 %</v>
      </c>
      <c r="D191" s="1" t="str">
        <f>IFERROR(__xludf.DUMMYFUNCTION("""COMPUTED_VALUE"""),"- 0,8 %")</f>
        <v>- 0,8 %</v>
      </c>
      <c r="E191" s="1" t="str">
        <f>IFERROR(__xludf.DUMMYFUNCTION("""COMPUTED_VALUE"""),"+ 3,1 %")</f>
        <v>+ 3,1 %</v>
      </c>
    </row>
    <row r="192">
      <c r="A192" s="2">
        <f>IFERROR(__xludf.DUMMYFUNCTION("""COMPUTED_VALUE"""),40391.0)</f>
        <v>40391</v>
      </c>
      <c r="B192" s="1" t="str">
        <f>IFERROR(__xludf.DUMMYFUNCTION("""COMPUTED_VALUE"""),"4.657 €/m2")</f>
        <v>4.657 €/m2</v>
      </c>
      <c r="C192" s="1" t="str">
        <f>IFERROR(__xludf.DUMMYFUNCTION("""COMPUTED_VALUE"""),"- 0,6 %")</f>
        <v>- 0,6 %</v>
      </c>
      <c r="D192" s="1" t="str">
        <f>IFERROR(__xludf.DUMMYFUNCTION("""COMPUTED_VALUE"""),"- 1,7 %")</f>
        <v>- 1,7 %</v>
      </c>
      <c r="E192" s="1" t="str">
        <f>IFERROR(__xludf.DUMMYFUNCTION("""COMPUTED_VALUE"""),"+ 5,4 %")</f>
        <v>+ 5,4 %</v>
      </c>
    </row>
    <row r="193">
      <c r="A193" s="2">
        <f>IFERROR(__xludf.DUMMYFUNCTION("""COMPUTED_VALUE"""),40360.0)</f>
        <v>40360</v>
      </c>
      <c r="B193" s="1" t="str">
        <f>IFERROR(__xludf.DUMMYFUNCTION("""COMPUTED_VALUE"""),"4.688 €/m2")</f>
        <v>4.688 €/m2</v>
      </c>
      <c r="C193" s="1" t="str">
        <f>IFERROR(__xludf.DUMMYFUNCTION("""COMPUTED_VALUE"""),"- 0,6 %")</f>
        <v>- 0,6 %</v>
      </c>
      <c r="D193" s="1" t="str">
        <f>IFERROR(__xludf.DUMMYFUNCTION("""COMPUTED_VALUE"""),"+ 1,7 %")</f>
        <v>+ 1,7 %</v>
      </c>
      <c r="E193" s="1" t="str">
        <f>IFERROR(__xludf.DUMMYFUNCTION("""COMPUTED_VALUE"""),"+ 4,3 %")</f>
        <v>+ 4,3 %</v>
      </c>
    </row>
    <row r="194">
      <c r="A194" s="2">
        <f>IFERROR(__xludf.DUMMYFUNCTION("""COMPUTED_VALUE"""),40330.0)</f>
        <v>40330</v>
      </c>
      <c r="B194" s="1" t="str">
        <f>IFERROR(__xludf.DUMMYFUNCTION("""COMPUTED_VALUE"""),"4.718 €/m2")</f>
        <v>4.718 €/m2</v>
      </c>
      <c r="C194" s="1" t="str">
        <f>IFERROR(__xludf.DUMMYFUNCTION("""COMPUTED_VALUE"""),"- 0,4 %")</f>
        <v>- 0,4 %</v>
      </c>
      <c r="D194" s="1" t="str">
        <f>IFERROR(__xludf.DUMMYFUNCTION("""COMPUTED_VALUE"""),"+ 3,8 %")</f>
        <v>+ 3,8 %</v>
      </c>
      <c r="E194" s="1" t="str">
        <f>IFERROR(__xludf.DUMMYFUNCTION("""COMPUTED_VALUE"""),"+ 2,1 %")</f>
        <v>+ 2,1 %</v>
      </c>
    </row>
    <row r="195">
      <c r="A195" s="2">
        <f>IFERROR(__xludf.DUMMYFUNCTION("""COMPUTED_VALUE"""),40299.0)</f>
        <v>40299</v>
      </c>
      <c r="B195" s="1" t="str">
        <f>IFERROR(__xludf.DUMMYFUNCTION("""COMPUTED_VALUE"""),"4.739 €/m2")</f>
        <v>4.739 €/m2</v>
      </c>
      <c r="C195" s="1" t="str">
        <f>IFERROR(__xludf.DUMMYFUNCTION("""COMPUTED_VALUE"""),"+ 2,8 %")</f>
        <v>+ 2,8 %</v>
      </c>
      <c r="D195" s="1" t="str">
        <f>IFERROR(__xludf.DUMMYFUNCTION("""COMPUTED_VALUE"""),"+ 3,6 %")</f>
        <v>+ 3,6 %</v>
      </c>
      <c r="E195" s="1" t="str">
        <f>IFERROR(__xludf.DUMMYFUNCTION("""COMPUTED_VALUE"""),"+ 0,4 %")</f>
        <v>+ 0,4 %</v>
      </c>
    </row>
    <row r="196">
      <c r="A196" s="2">
        <f>IFERROR(__xludf.DUMMYFUNCTION("""COMPUTED_VALUE"""),40269.0)</f>
        <v>40269</v>
      </c>
      <c r="B196" s="1" t="str">
        <f>IFERROR(__xludf.DUMMYFUNCTION("""COMPUTED_VALUE"""),"4.611 €/m2")</f>
        <v>4.611 €/m2</v>
      </c>
      <c r="C196" s="1" t="str">
        <f>IFERROR(__xludf.DUMMYFUNCTION("""COMPUTED_VALUE"""),"+ 1,4 %")</f>
        <v>+ 1,4 %</v>
      </c>
      <c r="D196" s="1" t="str">
        <f>IFERROR(__xludf.DUMMYFUNCTION("""COMPUTED_VALUE"""),"- 0,5 %")</f>
        <v>- 0,5 %</v>
      </c>
      <c r="E196" s="1" t="str">
        <f>IFERROR(__xludf.DUMMYFUNCTION("""COMPUTED_VALUE"""),"- 4,3 %")</f>
        <v>- 4,3 %</v>
      </c>
    </row>
    <row r="197">
      <c r="A197" s="2">
        <f>IFERROR(__xludf.DUMMYFUNCTION("""COMPUTED_VALUE"""),40238.0)</f>
        <v>40238</v>
      </c>
      <c r="B197" s="1" t="str">
        <f>IFERROR(__xludf.DUMMYFUNCTION("""COMPUTED_VALUE"""),"4.546 €/m2")</f>
        <v>4.546 €/m2</v>
      </c>
      <c r="C197" s="1" t="str">
        <f>IFERROR(__xludf.DUMMYFUNCTION("""COMPUTED_VALUE"""),"- 0,6 %")</f>
        <v>- 0,6 %</v>
      </c>
      <c r="D197" s="1" t="str">
        <f>IFERROR(__xludf.DUMMYFUNCTION("""COMPUTED_VALUE"""),"- 1,9 %")</f>
        <v>- 1,9 %</v>
      </c>
      <c r="E197" s="1" t="str">
        <f>IFERROR(__xludf.DUMMYFUNCTION("""COMPUTED_VALUE"""),"- 6,1 %")</f>
        <v>- 6,1 %</v>
      </c>
    </row>
    <row r="198">
      <c r="A198" s="2">
        <f>IFERROR(__xludf.DUMMYFUNCTION("""COMPUTED_VALUE"""),40210.0)</f>
        <v>40210</v>
      </c>
      <c r="B198" s="1" t="str">
        <f>IFERROR(__xludf.DUMMYFUNCTION("""COMPUTED_VALUE"""),"4.573 €/m2")</f>
        <v>4.573 €/m2</v>
      </c>
      <c r="C198" s="1" t="str">
        <f>IFERROR(__xludf.DUMMYFUNCTION("""COMPUTED_VALUE"""),"- 1,3 %")</f>
        <v>- 1,3 %</v>
      </c>
      <c r="D198" s="1" t="str">
        <f>IFERROR(__xludf.DUMMYFUNCTION("""COMPUTED_VALUE"""),"- 1,4 %")</f>
        <v>- 1,4 %</v>
      </c>
      <c r="E198" s="1" t="str">
        <f>IFERROR(__xludf.DUMMYFUNCTION("""COMPUTED_VALUE"""),"- 4,5 %")</f>
        <v>- 4,5 %</v>
      </c>
    </row>
    <row r="199">
      <c r="A199" s="2">
        <f>IFERROR(__xludf.DUMMYFUNCTION("""COMPUTED_VALUE"""),40179.0)</f>
        <v>40179</v>
      </c>
      <c r="B199" s="1" t="str">
        <f>IFERROR(__xludf.DUMMYFUNCTION("""COMPUTED_VALUE"""),"4.632 €/m2")</f>
        <v>4.632 €/m2</v>
      </c>
      <c r="C199" s="1" t="str">
        <f>IFERROR(__xludf.DUMMYFUNCTION("""COMPUTED_VALUE"""),"0,0 %")</f>
        <v>0,0 %</v>
      </c>
      <c r="D199" s="1" t="str">
        <f>IFERROR(__xludf.DUMMYFUNCTION("""COMPUTED_VALUE"""),"+ 1,4 %")</f>
        <v>+ 1,4 %</v>
      </c>
      <c r="E199" s="1" t="str">
        <f>IFERROR(__xludf.DUMMYFUNCTION("""COMPUTED_VALUE"""),"- 2,9 %")</f>
        <v>- 2,9 %</v>
      </c>
    </row>
    <row r="200">
      <c r="A200" s="2">
        <f>IFERROR(__xludf.DUMMYFUNCTION("""COMPUTED_VALUE"""),40148.0)</f>
        <v>40148</v>
      </c>
      <c r="B200" s="1" t="str">
        <f>IFERROR(__xludf.DUMMYFUNCTION("""COMPUTED_VALUE"""),"4.631 €/m2")</f>
        <v>4.631 €/m2</v>
      </c>
      <c r="C200" s="1" t="str">
        <f>IFERROR(__xludf.DUMMYFUNCTION("""COMPUTED_VALUE"""),"- 0,2 %")</f>
        <v>- 0,2 %</v>
      </c>
      <c r="D200" s="1" t="str">
        <f>IFERROR(__xludf.DUMMYFUNCTION("""COMPUTED_VALUE"""),"+ 2,0 %")</f>
        <v>+ 2,0 %</v>
      </c>
      <c r="E200" s="1" t="str">
        <f>IFERROR(__xludf.DUMMYFUNCTION("""COMPUTED_VALUE"""),"+ 0,3 %")</f>
        <v>+ 0,3 %</v>
      </c>
    </row>
    <row r="201">
      <c r="A201" s="2">
        <f>IFERROR(__xludf.DUMMYFUNCTION("""COMPUTED_VALUE"""),40118.0)</f>
        <v>40118</v>
      </c>
      <c r="B201" s="1" t="str">
        <f>IFERROR(__xludf.DUMMYFUNCTION("""COMPUTED_VALUE"""),"4.639 €/m2")</f>
        <v>4.639 €/m2</v>
      </c>
      <c r="C201" s="1" t="str">
        <f>IFERROR(__xludf.DUMMYFUNCTION("""COMPUTED_VALUE"""),"+ 1,5 %")</f>
        <v>+ 1,5 %</v>
      </c>
      <c r="D201" s="1" t="str">
        <f>IFERROR(__xludf.DUMMYFUNCTION("""COMPUTED_VALUE"""),"+ 5,0 %")</f>
        <v>+ 5,0 %</v>
      </c>
      <c r="E201" s="1" t="str">
        <f>IFERROR(__xludf.DUMMYFUNCTION("""COMPUTED_VALUE"""),"- 0,3 %")</f>
        <v>- 0,3 %</v>
      </c>
    </row>
    <row r="202">
      <c r="A202" s="2">
        <f>IFERROR(__xludf.DUMMYFUNCTION("""COMPUTED_VALUE"""),40087.0)</f>
        <v>40087</v>
      </c>
      <c r="B202" s="1" t="str">
        <f>IFERROR(__xludf.DUMMYFUNCTION("""COMPUTED_VALUE"""),"4.569 €/m2")</f>
        <v>4.569 €/m2</v>
      </c>
      <c r="C202" s="1" t="str">
        <f>IFERROR(__xludf.DUMMYFUNCTION("""COMPUTED_VALUE"""),"+ 0,6 %")</f>
        <v>+ 0,6 %</v>
      </c>
      <c r="D202" s="1" t="str">
        <f>IFERROR(__xludf.DUMMYFUNCTION("""COMPUTED_VALUE"""),"+ 1,6 %")</f>
        <v>+ 1,6 %</v>
      </c>
      <c r="E202" s="1" t="str">
        <f>IFERROR(__xludf.DUMMYFUNCTION("""COMPUTED_VALUE"""),"- 2,6 %")</f>
        <v>- 2,6 %</v>
      </c>
    </row>
    <row r="203">
      <c r="A203" s="2">
        <f>IFERROR(__xludf.DUMMYFUNCTION("""COMPUTED_VALUE"""),40057.0)</f>
        <v>40057</v>
      </c>
      <c r="B203" s="1" t="str">
        <f>IFERROR(__xludf.DUMMYFUNCTION("""COMPUTED_VALUE"""),"4.542 €/m2")</f>
        <v>4.542 €/m2</v>
      </c>
      <c r="C203" s="1" t="str">
        <f>IFERROR(__xludf.DUMMYFUNCTION("""COMPUTED_VALUE"""),"+ 2,8 %")</f>
        <v>+ 2,8 %</v>
      </c>
      <c r="D203" s="1" t="str">
        <f>IFERROR(__xludf.DUMMYFUNCTION("""COMPUTED_VALUE"""),"- 1,7 %")</f>
        <v>- 1,7 %</v>
      </c>
      <c r="E203" s="1" t="str">
        <f>IFERROR(__xludf.DUMMYFUNCTION("""COMPUTED_VALUE"""),"- 5,0 %")</f>
        <v>- 5,0 %</v>
      </c>
    </row>
    <row r="204">
      <c r="A204" s="2">
        <f>IFERROR(__xludf.DUMMYFUNCTION("""COMPUTED_VALUE"""),40026.0)</f>
        <v>40026</v>
      </c>
      <c r="B204" s="1" t="str">
        <f>IFERROR(__xludf.DUMMYFUNCTION("""COMPUTED_VALUE"""),"4.418 €/m2")</f>
        <v>4.418 €/m2</v>
      </c>
      <c r="C204" s="1" t="str">
        <f>IFERROR(__xludf.DUMMYFUNCTION("""COMPUTED_VALUE"""),"- 1,7 %")</f>
        <v>- 1,7 %</v>
      </c>
      <c r="D204" s="1" t="str">
        <f>IFERROR(__xludf.DUMMYFUNCTION("""COMPUTED_VALUE"""),"- 6,4 %")</f>
        <v>- 6,4 %</v>
      </c>
      <c r="E204" s="1" t="str">
        <f>IFERROR(__xludf.DUMMYFUNCTION("""COMPUTED_VALUE"""),"- 5,9 %")</f>
        <v>- 5,9 %</v>
      </c>
    </row>
    <row r="205">
      <c r="A205" s="2">
        <f>IFERROR(__xludf.DUMMYFUNCTION("""COMPUTED_VALUE"""),39995.0)</f>
        <v>39995</v>
      </c>
      <c r="B205" s="1" t="str">
        <f>IFERROR(__xludf.DUMMYFUNCTION("""COMPUTED_VALUE"""),"4.494 €/m2")</f>
        <v>4.494 €/m2</v>
      </c>
      <c r="C205" s="1" t="str">
        <f>IFERROR(__xludf.DUMMYFUNCTION("""COMPUTED_VALUE"""),"- 2,7 %")</f>
        <v>- 2,7 %</v>
      </c>
      <c r="D205" s="1" t="str">
        <f>IFERROR(__xludf.DUMMYFUNCTION("""COMPUTED_VALUE"""),"- 6,7 %")</f>
        <v>- 6,7 %</v>
      </c>
      <c r="E205" s="1" t="str">
        <f>IFERROR(__xludf.DUMMYFUNCTION("""COMPUTED_VALUE"""),"- 4,3 %")</f>
        <v>- 4,3 %</v>
      </c>
    </row>
    <row r="206">
      <c r="A206" s="2">
        <f>IFERROR(__xludf.DUMMYFUNCTION("""COMPUTED_VALUE"""),39965.0)</f>
        <v>39965</v>
      </c>
      <c r="B206" s="1" t="str">
        <f>IFERROR(__xludf.DUMMYFUNCTION("""COMPUTED_VALUE"""),"4.621 €/m2")</f>
        <v>4.621 €/m2</v>
      </c>
      <c r="C206" s="1" t="str">
        <f>IFERROR(__xludf.DUMMYFUNCTION("""COMPUTED_VALUE"""),"- 2,1 %")</f>
        <v>- 2,1 %</v>
      </c>
      <c r="D206" s="1" t="str">
        <f>IFERROR(__xludf.DUMMYFUNCTION("""COMPUTED_VALUE"""),"- 4,5 %")</f>
        <v>- 4,5 %</v>
      </c>
      <c r="E206" s="1" t="str">
        <f>IFERROR(__xludf.DUMMYFUNCTION("""COMPUTED_VALUE"""),"- 0,4 %")</f>
        <v>- 0,4 %</v>
      </c>
    </row>
    <row r="207">
      <c r="A207" s="2">
        <f>IFERROR(__xludf.DUMMYFUNCTION("""COMPUTED_VALUE"""),39934.0)</f>
        <v>39934</v>
      </c>
      <c r="B207" s="1" t="str">
        <f>IFERROR(__xludf.DUMMYFUNCTION("""COMPUTED_VALUE"""),"4.719 €/m2")</f>
        <v>4.719 €/m2</v>
      </c>
      <c r="C207" s="1" t="str">
        <f>IFERROR(__xludf.DUMMYFUNCTION("""COMPUTED_VALUE"""),"- 2,1 %")</f>
        <v>- 2,1 %</v>
      </c>
      <c r="D207" s="1" t="str">
        <f>IFERROR(__xludf.DUMMYFUNCTION("""COMPUTED_VALUE"""),"- 1,5 %")</f>
        <v>- 1,5 %</v>
      </c>
      <c r="E207" s="1" t="str">
        <f>IFERROR(__xludf.DUMMYFUNCTION("""COMPUTED_VALUE"""),"+ 1,3 %")</f>
        <v>+ 1,3 %</v>
      </c>
    </row>
    <row r="208">
      <c r="A208" s="2">
        <f>IFERROR(__xludf.DUMMYFUNCTION("""COMPUTED_VALUE"""),39904.0)</f>
        <v>39904</v>
      </c>
      <c r="B208" s="1" t="str">
        <f>IFERROR(__xludf.DUMMYFUNCTION("""COMPUTED_VALUE"""),"4.818 €/m2")</f>
        <v>4.818 €/m2</v>
      </c>
      <c r="C208" s="1" t="str">
        <f>IFERROR(__xludf.DUMMYFUNCTION("""COMPUTED_VALUE"""),"- 0,5 %")</f>
        <v>- 0,5 %</v>
      </c>
      <c r="D208" s="1" t="str">
        <f>IFERROR(__xludf.DUMMYFUNCTION("""COMPUTED_VALUE"""),"+ 1,0 %")</f>
        <v>+ 1,0 %</v>
      </c>
      <c r="E208" s="1" t="str">
        <f>IFERROR(__xludf.DUMMYFUNCTION("""COMPUTED_VALUE"""),"+ 0,5 %")</f>
        <v>+ 0,5 %</v>
      </c>
    </row>
    <row r="209">
      <c r="A209" s="2">
        <f>IFERROR(__xludf.DUMMYFUNCTION("""COMPUTED_VALUE"""),39873.0)</f>
        <v>39873</v>
      </c>
      <c r="B209" s="1" t="str">
        <f>IFERROR(__xludf.DUMMYFUNCTION("""COMPUTED_VALUE"""),"4.840 €/m2")</f>
        <v>4.840 €/m2</v>
      </c>
      <c r="C209" s="1" t="str">
        <f>IFERROR(__xludf.DUMMYFUNCTION("""COMPUTED_VALUE"""),"+ 1,1 %")</f>
        <v>+ 1,1 %</v>
      </c>
      <c r="D209" s="1" t="str">
        <f>IFERROR(__xludf.DUMMYFUNCTION("""COMPUTED_VALUE"""),"+ 4,9 %")</f>
        <v>+ 4,9 %</v>
      </c>
      <c r="E209" s="1" t="str">
        <f>IFERROR(__xludf.DUMMYFUNCTION("""COMPUTED_VALUE"""),"- 2,3 %")</f>
        <v>- 2,3 %</v>
      </c>
    </row>
    <row r="210">
      <c r="A210" s="2">
        <f>IFERROR(__xludf.DUMMYFUNCTION("""COMPUTED_VALUE"""),39845.0)</f>
        <v>39845</v>
      </c>
      <c r="B210" s="1" t="str">
        <f>IFERROR(__xludf.DUMMYFUNCTION("""COMPUTED_VALUE"""),"4.789 €/m2")</f>
        <v>4.789 €/m2</v>
      </c>
      <c r="C210" s="1" t="str">
        <f>IFERROR(__xludf.DUMMYFUNCTION("""COMPUTED_VALUE"""),"+ 0,3 %")</f>
        <v>+ 0,3 %</v>
      </c>
      <c r="D210" s="1" t="str">
        <f>IFERROR(__xludf.DUMMYFUNCTION("""COMPUTED_VALUE"""),"+ 2,9 %")</f>
        <v>+ 2,9 %</v>
      </c>
      <c r="E210" s="1" t="str">
        <f>IFERROR(__xludf.DUMMYFUNCTION("""COMPUTED_VALUE"""),"+ 0,7 %")</f>
        <v>+ 0,7 %</v>
      </c>
    </row>
    <row r="211">
      <c r="A211" s="2">
        <f>IFERROR(__xludf.DUMMYFUNCTION("""COMPUTED_VALUE"""),39814.0)</f>
        <v>39814</v>
      </c>
      <c r="B211" s="1" t="str">
        <f>IFERROR(__xludf.DUMMYFUNCTION("""COMPUTED_VALUE"""),"4.772 €/m2")</f>
        <v>4.772 €/m2</v>
      </c>
      <c r="C211" s="1" t="str">
        <f>IFERROR(__xludf.DUMMYFUNCTION("""COMPUTED_VALUE"""),"+ 3,4 %")</f>
        <v>+ 3,4 %</v>
      </c>
      <c r="D211" s="1" t="str">
        <f>IFERROR(__xludf.DUMMYFUNCTION("""COMPUTED_VALUE"""),"+ 1,7 %")</f>
        <v>+ 1,7 %</v>
      </c>
      <c r="E211" s="1" t="str">
        <f>IFERROR(__xludf.DUMMYFUNCTION("""COMPUTED_VALUE"""),"+ 0,4 %")</f>
        <v>+ 0,4 %</v>
      </c>
    </row>
    <row r="212">
      <c r="A212" s="2">
        <f>IFERROR(__xludf.DUMMYFUNCTION("""COMPUTED_VALUE"""),39783.0)</f>
        <v>39783</v>
      </c>
      <c r="B212" s="1" t="str">
        <f>IFERROR(__xludf.DUMMYFUNCTION("""COMPUTED_VALUE"""),"4.615 €/m2")</f>
        <v>4.615 €/m2</v>
      </c>
      <c r="C212" s="1" t="str">
        <f>IFERROR(__xludf.DUMMYFUNCTION("""COMPUTED_VALUE"""),"- 0,8 %")</f>
        <v>- 0,8 %</v>
      </c>
      <c r="D212" s="1" t="str">
        <f>IFERROR(__xludf.DUMMYFUNCTION("""COMPUTED_VALUE"""),"- 3,5 %")</f>
        <v>- 3,5 %</v>
      </c>
      <c r="E212" s="1" t="str">
        <f>IFERROR(__xludf.DUMMYFUNCTION("""COMPUTED_VALUE"""),"+ 1,5 %")</f>
        <v>+ 1,5 %</v>
      </c>
    </row>
    <row r="213">
      <c r="A213" s="2">
        <f>IFERROR(__xludf.DUMMYFUNCTION("""COMPUTED_VALUE"""),39753.0)</f>
        <v>39753</v>
      </c>
      <c r="B213" s="1" t="str">
        <f>IFERROR(__xludf.DUMMYFUNCTION("""COMPUTED_VALUE"""),"4.651 €/m2")</f>
        <v>4.651 €/m2</v>
      </c>
      <c r="C213" s="1" t="str">
        <f>IFERROR(__xludf.DUMMYFUNCTION("""COMPUTED_VALUE"""),"- 0,9 %")</f>
        <v>- 0,9 %</v>
      </c>
      <c r="D213" s="1" t="str">
        <f>IFERROR(__xludf.DUMMYFUNCTION("""COMPUTED_VALUE"""),"- 0,9 %")</f>
        <v>- 0,9 %</v>
      </c>
      <c r="E213" s="1" t="str">
        <f>IFERROR(__xludf.DUMMYFUNCTION("""COMPUTED_VALUE"""),"+ 0,9 %")</f>
        <v>+ 0,9 %</v>
      </c>
    </row>
    <row r="214">
      <c r="A214" s="2">
        <f>IFERROR(__xludf.DUMMYFUNCTION("""COMPUTED_VALUE"""),39722.0)</f>
        <v>39722</v>
      </c>
      <c r="B214" s="1" t="str">
        <f>IFERROR(__xludf.DUMMYFUNCTION("""COMPUTED_VALUE"""),"4.693 €/m2")</f>
        <v>4.693 €/m2</v>
      </c>
      <c r="C214" s="1" t="str">
        <f>IFERROR(__xludf.DUMMYFUNCTION("""COMPUTED_VALUE"""),"- 1,9 %")</f>
        <v>- 1,9 %</v>
      </c>
      <c r="D214" s="1" t="str">
        <f>IFERROR(__xludf.DUMMYFUNCTION("""COMPUTED_VALUE"""),"- 0,1 %")</f>
        <v>- 0,1 %</v>
      </c>
      <c r="E214" s="1" t="str">
        <f>IFERROR(__xludf.DUMMYFUNCTION("""COMPUTED_VALUE"""),"+ 3,6 %")</f>
        <v>+ 3,6 %</v>
      </c>
    </row>
    <row r="215">
      <c r="A215" s="2">
        <f>IFERROR(__xludf.DUMMYFUNCTION("""COMPUTED_VALUE"""),39692.0)</f>
        <v>39692</v>
      </c>
      <c r="B215" s="1" t="str">
        <f>IFERROR(__xludf.DUMMYFUNCTION("""COMPUTED_VALUE"""),"4.781 €/m2")</f>
        <v>4.781 €/m2</v>
      </c>
      <c r="C215" s="1" t="str">
        <f>IFERROR(__xludf.DUMMYFUNCTION("""COMPUTED_VALUE"""),"+ 1,8 %")</f>
        <v>+ 1,8 %</v>
      </c>
      <c r="D215" s="1" t="str">
        <f>IFERROR(__xludf.DUMMYFUNCTION("""COMPUTED_VALUE"""),"+ 3,0 %")</f>
        <v>+ 3,0 %</v>
      </c>
      <c r="E215" s="1" t="str">
        <f>IFERROR(__xludf.DUMMYFUNCTION("""COMPUTED_VALUE"""),"n.d.")</f>
        <v>n.d.</v>
      </c>
    </row>
    <row r="216">
      <c r="A216" s="2">
        <f>IFERROR(__xludf.DUMMYFUNCTION("""COMPUTED_VALUE"""),39661.0)</f>
        <v>39661</v>
      </c>
      <c r="B216" s="1" t="str">
        <f>IFERROR(__xludf.DUMMYFUNCTION("""COMPUTED_VALUE"""),"4.695 €/m2")</f>
        <v>4.695 €/m2</v>
      </c>
      <c r="C216" s="1" t="str">
        <f>IFERROR(__xludf.DUMMYFUNCTION("""COMPUTED_VALUE"""),"0,0 %")</f>
        <v>0,0 %</v>
      </c>
      <c r="D216" s="1" t="str">
        <f>IFERROR(__xludf.DUMMYFUNCTION("""COMPUTED_VALUE"""),"+ 0,8 %")</f>
        <v>+ 0,8 %</v>
      </c>
      <c r="E216" s="1" t="str">
        <f>IFERROR(__xludf.DUMMYFUNCTION("""COMPUTED_VALUE"""),"n.d.")</f>
        <v>n.d.</v>
      </c>
    </row>
    <row r="217">
      <c r="A217" s="2">
        <f>IFERROR(__xludf.DUMMYFUNCTION("""COMPUTED_VALUE"""),39630.0)</f>
        <v>39630</v>
      </c>
      <c r="B217" s="1" t="str">
        <f>IFERROR(__xludf.DUMMYFUNCTION("""COMPUTED_VALUE"""),"4.697 €/m2")</f>
        <v>4.697 €/m2</v>
      </c>
      <c r="C217" s="1" t="str">
        <f>IFERROR(__xludf.DUMMYFUNCTION("""COMPUTED_VALUE"""),"+ 1,2 %")</f>
        <v>+ 1,2 %</v>
      </c>
      <c r="D217" s="1" t="str">
        <f>IFERROR(__xludf.DUMMYFUNCTION("""COMPUTED_VALUE"""),"- 2,0 %")</f>
        <v>- 2,0 %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IFERROR(__xludf.DUMMYFUNCTION("""COMPUTED_VALUE"""),"4.640 €/m2")</f>
        <v>4.640 €/m2</v>
      </c>
      <c r="C218" s="1" t="str">
        <f>IFERROR(__xludf.DUMMYFUNCTION("""COMPUTED_VALUE"""),"- 0,4 %")</f>
        <v>- 0,4 %</v>
      </c>
      <c r="D218" s="1" t="str">
        <f>IFERROR(__xludf.DUMMYFUNCTION("""COMPUTED_VALUE"""),"- 6,4 %")</f>
        <v>- 6,4 %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IFERROR(__xludf.DUMMYFUNCTION("""COMPUTED_VALUE"""),"4.657 €/m2")</f>
        <v>4.657 €/m2</v>
      </c>
      <c r="C219" s="1" t="str">
        <f>IFERROR(__xludf.DUMMYFUNCTION("""COMPUTED_VALUE"""),"- 2,9 %")</f>
        <v>- 2,9 %</v>
      </c>
      <c r="D219" s="1" t="str">
        <f>IFERROR(__xludf.DUMMYFUNCTION("""COMPUTED_VALUE"""),"- 2,1 %")</f>
        <v>- 2,1 %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IFERROR(__xludf.DUMMYFUNCTION("""COMPUTED_VALUE"""),"4.795 €/m2")</f>
        <v>4.795 €/m2</v>
      </c>
      <c r="C220" s="1" t="str">
        <f>IFERROR(__xludf.DUMMYFUNCTION("""COMPUTED_VALUE"""),"- 3,2 %")</f>
        <v>- 3,2 %</v>
      </c>
      <c r="D220" s="1" t="str">
        <f>IFERROR(__xludf.DUMMYFUNCTION("""COMPUTED_VALUE"""),"+ 0,9 %")</f>
        <v>+ 0,9 %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IFERROR(__xludf.DUMMYFUNCTION("""COMPUTED_VALUE"""),"4.956 €/m2")</f>
        <v>4.956 €/m2</v>
      </c>
      <c r="C221" s="1" t="str">
        <f>IFERROR(__xludf.DUMMYFUNCTION("""COMPUTED_VALUE"""),"+ 4,2 %")</f>
        <v>+ 4,2 %</v>
      </c>
      <c r="D221" s="1" t="str">
        <f>IFERROR(__xludf.DUMMYFUNCTION("""COMPUTED_VALUE"""),"+ 9,0 %")</f>
        <v>+ 9,0 %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IFERROR(__xludf.DUMMYFUNCTION("""COMPUTED_VALUE"""),"4.756 €/m2")</f>
        <v>4.756 €/m2</v>
      </c>
      <c r="C222" s="1" t="str">
        <f>IFERROR(__xludf.DUMMYFUNCTION("""COMPUTED_VALUE"""),"+ 0,1 %")</f>
        <v>+ 0,1 %</v>
      </c>
      <c r="D222" s="1" t="str">
        <f>IFERROR(__xludf.DUMMYFUNCTION("""COMPUTED_VALUE"""),"+ 3,1 %")</f>
        <v>+ 3,1 %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IFERROR(__xludf.DUMMYFUNCTION("""COMPUTED_VALUE"""),"4.753 €/m2")</f>
        <v>4.753 €/m2</v>
      </c>
      <c r="C223" s="1" t="str">
        <f>IFERROR(__xludf.DUMMYFUNCTION("""COMPUTED_VALUE"""),"+ 4,5 %")</f>
        <v>+ 4,5 %</v>
      </c>
      <c r="D223" s="1" t="str">
        <f>IFERROR(__xludf.DUMMYFUNCTION("""COMPUTED_VALUE"""),"+ 5,0 %")</f>
        <v>+ 5,0 %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IFERROR(__xludf.DUMMYFUNCTION("""COMPUTED_VALUE"""),"4.549 €/m2")</f>
        <v>4.549 €/m2</v>
      </c>
      <c r="C224" s="1" t="str">
        <f>IFERROR(__xludf.DUMMYFUNCTION("""COMPUTED_VALUE"""),"- 1,4 %")</f>
        <v>- 1,4 %</v>
      </c>
      <c r="D224" s="1" t="str">
        <f>IFERROR(__xludf.DUMMYFUNCTION("""COMPUTED_VALUE"""),"n.d.")</f>
        <v>n.d.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IFERROR(__xludf.DUMMYFUNCTION("""COMPUTED_VALUE"""),"4.611 €/m2")</f>
        <v>4.611 €/m2</v>
      </c>
      <c r="C225" s="1" t="str">
        <f>IFERROR(__xludf.DUMMYFUNCTION("""COMPUTED_VALUE"""),"+ 1,8 %")</f>
        <v>+ 1,8 %</v>
      </c>
      <c r="D225" s="1" t="str">
        <f>IFERROR(__xludf.DUMMYFUNCTION("""COMPUTED_VALUE"""),"n.d.")</f>
        <v>n.d.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IFERROR(__xludf.DUMMYFUNCTION("""COMPUTED_VALUE"""),"4.528 €/m2")</f>
        <v>4.528 €/m2</v>
      </c>
      <c r="C226" s="1" t="str">
        <f>IFERROR(__xludf.DUMMYFUNCTION("""COMPUTED_VALUE"""),"n.d.")</f>
        <v>n.d.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IFERROR(__xludf.DUMMYFUNCTION("""COMPUTED_VALUE"""),"n.d.")</f>
        <v>n.d.</v>
      </c>
      <c r="C227" s="1" t="str">
        <f>IFERROR(__xludf.DUMMYFUNCTION("""COMPUTED_VALUE"""),"n.d.")</f>
        <v>n.d.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IFERROR(__xludf.DUMMYFUNCTION("""COMPUTED_VALUE"""),"n.d.")</f>
        <v>n.d.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IFERROR(__xludf.DUMMYFUNCTION("IMPORTHTML(""https://www.idealista.com/sala-de-prensa/informes-precio-vivienda/venta/madrid-comunidad/madrid-provincia/madrid/chamberi/historico/"",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IFERROR(__xludf.DUMMYFUNCTION("""COMPUTED_VALUE"""),"8.971 €/m2")</f>
        <v>8.971 €/m2</v>
      </c>
      <c r="C2" s="1" t="str">
        <f>IFERROR(__xludf.DUMMYFUNCTION("""COMPUTED_VALUE"""),"0,0 %")</f>
        <v>0,0 %</v>
      </c>
      <c r="D2" s="1" t="str">
        <f>IFERROR(__xludf.DUMMYFUNCTION("""COMPUTED_VALUE"""),"- 0,3 %")</f>
        <v>- 0,3 %</v>
      </c>
      <c r="E2" s="1" t="str">
        <f>IFERROR(__xludf.DUMMYFUNCTION("""COMPUTED_VALUE"""),"+ 7,7 %")</f>
        <v>+ 7,7 %</v>
      </c>
    </row>
    <row r="3">
      <c r="A3" s="2">
        <f>IFERROR(__xludf.DUMMYFUNCTION("""COMPUTED_VALUE"""),46143.0)</f>
        <v>46143</v>
      </c>
      <c r="B3" s="1" t="str">
        <f>IFERROR(__xludf.DUMMYFUNCTION("""COMPUTED_VALUE"""),"8.967 €/m2")</f>
        <v>8.967 €/m2</v>
      </c>
      <c r="C3" s="1" t="str">
        <f>IFERROR(__xludf.DUMMYFUNCTION("""COMPUTED_VALUE"""),"- 0,3 %")</f>
        <v>- 0,3 %</v>
      </c>
      <c r="D3" s="1" t="str">
        <f>IFERROR(__xludf.DUMMYFUNCTION("""COMPUTED_VALUE"""),"+ 0,2 %")</f>
        <v>+ 0,2 %</v>
      </c>
      <c r="E3" s="1" t="str">
        <f>IFERROR(__xludf.DUMMYFUNCTION("""COMPUTED_VALUE"""),"+ 10,7 %")</f>
        <v>+ 10,7 %</v>
      </c>
    </row>
    <row r="4">
      <c r="A4" s="2">
        <f>IFERROR(__xludf.DUMMYFUNCTION("""COMPUTED_VALUE"""),46113.0)</f>
        <v>46113</v>
      </c>
      <c r="B4" s="1" t="str">
        <f>IFERROR(__xludf.DUMMYFUNCTION("""COMPUTED_VALUE"""),"8.992 €/m2")</f>
        <v>8.992 €/m2</v>
      </c>
      <c r="C4" s="1" t="str">
        <f>IFERROR(__xludf.DUMMYFUNCTION("""COMPUTED_VALUE"""),"0,0 %")</f>
        <v>0,0 %</v>
      </c>
      <c r="D4" s="1" t="str">
        <f>IFERROR(__xludf.DUMMYFUNCTION("""COMPUTED_VALUE"""),"+ 1,3 %")</f>
        <v>+ 1,3 %</v>
      </c>
      <c r="E4" s="1" t="str">
        <f>IFERROR(__xludf.DUMMYFUNCTION("""COMPUTED_VALUE"""),"+ 14,2 %")</f>
        <v>+ 14,2 %</v>
      </c>
    </row>
    <row r="5">
      <c r="A5" s="2">
        <f>IFERROR(__xludf.DUMMYFUNCTION("""COMPUTED_VALUE"""),46082.0)</f>
        <v>46082</v>
      </c>
      <c r="B5" s="1" t="str">
        <f>IFERROR(__xludf.DUMMYFUNCTION("""COMPUTED_VALUE"""),"8.995 €/m2")</f>
        <v>8.995 €/m2</v>
      </c>
      <c r="C5" s="1" t="str">
        <f>IFERROR(__xludf.DUMMYFUNCTION("""COMPUTED_VALUE"""),"+ 0,5 %")</f>
        <v>+ 0,5 %</v>
      </c>
      <c r="D5" s="1" t="str">
        <f>IFERROR(__xludf.DUMMYFUNCTION("""COMPUTED_VALUE"""),"+ 2,3 %")</f>
        <v>+ 2,3 %</v>
      </c>
      <c r="E5" s="1" t="str">
        <f>IFERROR(__xludf.DUMMYFUNCTION("""COMPUTED_VALUE"""),"+ 17,2 %")</f>
        <v>+ 17,2 %</v>
      </c>
    </row>
    <row r="6">
      <c r="A6" s="2">
        <f>IFERROR(__xludf.DUMMYFUNCTION("""COMPUTED_VALUE"""),46054.0)</f>
        <v>46054</v>
      </c>
      <c r="B6" s="1" t="str">
        <f>IFERROR(__xludf.DUMMYFUNCTION("""COMPUTED_VALUE"""),"8.951 €/m2")</f>
        <v>8.951 €/m2</v>
      </c>
      <c r="C6" s="1" t="str">
        <f>IFERROR(__xludf.DUMMYFUNCTION("""COMPUTED_VALUE"""),"+ 0,9 %")</f>
        <v>+ 0,9 %</v>
      </c>
      <c r="D6" s="1" t="str">
        <f>IFERROR(__xludf.DUMMYFUNCTION("""COMPUTED_VALUE"""),"+ 2,9 %")</f>
        <v>+ 2,9 %</v>
      </c>
      <c r="E6" s="1" t="str">
        <f>IFERROR(__xludf.DUMMYFUNCTION("""COMPUTED_VALUE"""),"+ 18,4 %")</f>
        <v>+ 18,4 %</v>
      </c>
    </row>
    <row r="7">
      <c r="A7" s="2">
        <f>IFERROR(__xludf.DUMMYFUNCTION("""COMPUTED_VALUE"""),46023.0)</f>
        <v>46023</v>
      </c>
      <c r="B7" s="1" t="str">
        <f>IFERROR(__xludf.DUMMYFUNCTION("""COMPUTED_VALUE"""),"8.873 €/m2")</f>
        <v>8.873 €/m2</v>
      </c>
      <c r="C7" s="1" t="str">
        <f>IFERROR(__xludf.DUMMYFUNCTION("""COMPUTED_VALUE"""),"+ 0,9 %")</f>
        <v>+ 0,9 %</v>
      </c>
      <c r="D7" s="1" t="str">
        <f>IFERROR(__xludf.DUMMYFUNCTION("""COMPUTED_VALUE"""),"+ 5,1 %")</f>
        <v>+ 5,1 %</v>
      </c>
      <c r="E7" s="1" t="str">
        <f>IFERROR(__xludf.DUMMYFUNCTION("""COMPUTED_VALUE"""),"+ 20,0 %")</f>
        <v>+ 20,0 %</v>
      </c>
    </row>
    <row r="8">
      <c r="A8" s="2">
        <f>IFERROR(__xludf.DUMMYFUNCTION("""COMPUTED_VALUE"""),45992.0)</f>
        <v>45992</v>
      </c>
      <c r="B8" s="1" t="str">
        <f>IFERROR(__xludf.DUMMYFUNCTION("""COMPUTED_VALUE"""),"8.791 €/m2")</f>
        <v>8.791 €/m2</v>
      </c>
      <c r="C8" s="1" t="str">
        <f>IFERROR(__xludf.DUMMYFUNCTION("""COMPUTED_VALUE"""),"+ 1,1 %")</f>
        <v>+ 1,1 %</v>
      </c>
      <c r="D8" s="1" t="str">
        <f>IFERROR(__xludf.DUMMYFUNCTION("""COMPUTED_VALUE"""),"+ 5,7 %")</f>
        <v>+ 5,7 %</v>
      </c>
      <c r="E8" s="1" t="str">
        <f>IFERROR(__xludf.DUMMYFUNCTION("""COMPUTED_VALUE"""),"+ 20,4 %")</f>
        <v>+ 20,4 %</v>
      </c>
    </row>
    <row r="9">
      <c r="A9" s="2">
        <f>IFERROR(__xludf.DUMMYFUNCTION("""COMPUTED_VALUE"""),45962.0)</f>
        <v>45962</v>
      </c>
      <c r="B9" s="1" t="str">
        <f>IFERROR(__xludf.DUMMYFUNCTION("""COMPUTED_VALUE"""),"8.695 €/m2")</f>
        <v>8.695 €/m2</v>
      </c>
      <c r="C9" s="1" t="str">
        <f>IFERROR(__xludf.DUMMYFUNCTION("""COMPUTED_VALUE"""),"+ 2,9 %")</f>
        <v>+ 2,9 %</v>
      </c>
      <c r="D9" s="1" t="str">
        <f>IFERROR(__xludf.DUMMYFUNCTION("""COMPUTED_VALUE"""),"+ 3,7 %")</f>
        <v>+ 3,7 %</v>
      </c>
      <c r="E9" s="1" t="str">
        <f>IFERROR(__xludf.DUMMYFUNCTION("""COMPUTED_VALUE"""),"+ 21,2 %")</f>
        <v>+ 21,2 %</v>
      </c>
    </row>
    <row r="10">
      <c r="A10" s="2">
        <f>IFERROR(__xludf.DUMMYFUNCTION("""COMPUTED_VALUE"""),45931.0)</f>
        <v>45931</v>
      </c>
      <c r="B10" s="1" t="str">
        <f>IFERROR(__xludf.DUMMYFUNCTION("""COMPUTED_VALUE"""),"8.447 €/m2")</f>
        <v>8.447 €/m2</v>
      </c>
      <c r="C10" s="1" t="str">
        <f>IFERROR(__xludf.DUMMYFUNCTION("""COMPUTED_VALUE"""),"+ 1,6 %")</f>
        <v>+ 1,6 %</v>
      </c>
      <c r="D10" s="1" t="str">
        <f>IFERROR(__xludf.DUMMYFUNCTION("""COMPUTED_VALUE"""),"+ 1,0 %")</f>
        <v>+ 1,0 %</v>
      </c>
      <c r="E10" s="1" t="str">
        <f>IFERROR(__xludf.DUMMYFUNCTION("""COMPUTED_VALUE"""),"+ 18,9 %")</f>
        <v>+ 18,9 %</v>
      </c>
    </row>
    <row r="11">
      <c r="A11" s="2">
        <f>IFERROR(__xludf.DUMMYFUNCTION("""COMPUTED_VALUE"""),45901.0)</f>
        <v>45901</v>
      </c>
      <c r="B11" s="1" t="str">
        <f>IFERROR(__xludf.DUMMYFUNCTION("""COMPUTED_VALUE"""),"8.317 €/m2")</f>
        <v>8.317 €/m2</v>
      </c>
      <c r="C11" s="1" t="str">
        <f>IFERROR(__xludf.DUMMYFUNCTION("""COMPUTED_VALUE"""),"- 0,8 %")</f>
        <v>- 0,8 %</v>
      </c>
      <c r="D11" s="1" t="str">
        <f>IFERROR(__xludf.DUMMYFUNCTION("""COMPUTED_VALUE"""),"- 0,2 %")</f>
        <v>- 0,2 %</v>
      </c>
      <c r="E11" s="1" t="str">
        <f>IFERROR(__xludf.DUMMYFUNCTION("""COMPUTED_VALUE"""),"+ 19,2 %")</f>
        <v>+ 19,2 %</v>
      </c>
    </row>
    <row r="12">
      <c r="A12" s="2">
        <f>IFERROR(__xludf.DUMMYFUNCTION("""COMPUTED_VALUE"""),45870.0)</f>
        <v>45870</v>
      </c>
      <c r="B12" s="1" t="str">
        <f>IFERROR(__xludf.DUMMYFUNCTION("""COMPUTED_VALUE"""),"8.381 €/m2")</f>
        <v>8.381 €/m2</v>
      </c>
      <c r="C12" s="1" t="str">
        <f>IFERROR(__xludf.DUMMYFUNCTION("""COMPUTED_VALUE"""),"+ 0,2 %")</f>
        <v>+ 0,2 %</v>
      </c>
      <c r="D12" s="1" t="str">
        <f>IFERROR(__xludf.DUMMYFUNCTION("""COMPUTED_VALUE"""),"+ 3,5 %")</f>
        <v>+ 3,5 %</v>
      </c>
      <c r="E12" s="1" t="str">
        <f>IFERROR(__xludf.DUMMYFUNCTION("""COMPUTED_VALUE"""),"+ 21,0 %")</f>
        <v>+ 21,0 %</v>
      </c>
    </row>
    <row r="13">
      <c r="A13" s="2">
        <f>IFERROR(__xludf.DUMMYFUNCTION("""COMPUTED_VALUE"""),45839.0)</f>
        <v>45839</v>
      </c>
      <c r="B13" s="1" t="str">
        <f>IFERROR(__xludf.DUMMYFUNCTION("""COMPUTED_VALUE"""),"8.361 €/m2")</f>
        <v>8.361 €/m2</v>
      </c>
      <c r="C13" s="1" t="str">
        <f>IFERROR(__xludf.DUMMYFUNCTION("""COMPUTED_VALUE"""),"+ 0,3 %")</f>
        <v>+ 0,3 %</v>
      </c>
      <c r="D13" s="1" t="str">
        <f>IFERROR(__xludf.DUMMYFUNCTION("""COMPUTED_VALUE"""),"+ 6,2 %")</f>
        <v>+ 6,2 %</v>
      </c>
      <c r="E13" s="1" t="str">
        <f>IFERROR(__xludf.DUMMYFUNCTION("""COMPUTED_VALUE"""),"+ 22,1 %")</f>
        <v>+ 22,1 %</v>
      </c>
    </row>
    <row r="14">
      <c r="A14" s="2">
        <f>IFERROR(__xludf.DUMMYFUNCTION("""COMPUTED_VALUE"""),45809.0)</f>
        <v>45809</v>
      </c>
      <c r="B14" s="1" t="str">
        <f>IFERROR(__xludf.DUMMYFUNCTION("""COMPUTED_VALUE"""),"8.333 €/m2")</f>
        <v>8.333 €/m2</v>
      </c>
      <c r="C14" s="1" t="str">
        <f>IFERROR(__xludf.DUMMYFUNCTION("""COMPUTED_VALUE"""),"+ 2,9 %")</f>
        <v>+ 2,9 %</v>
      </c>
      <c r="D14" s="1" t="str">
        <f>IFERROR(__xludf.DUMMYFUNCTION("""COMPUTED_VALUE"""),"+ 8,6 %")</f>
        <v>+ 8,6 %</v>
      </c>
      <c r="E14" s="1" t="str">
        <f>IFERROR(__xludf.DUMMYFUNCTION("""COMPUTED_VALUE"""),"+ 25,0 %")</f>
        <v>+ 25,0 %</v>
      </c>
    </row>
    <row r="15">
      <c r="A15" s="2">
        <f>IFERROR(__xludf.DUMMYFUNCTION("""COMPUTED_VALUE"""),45778.0)</f>
        <v>45778</v>
      </c>
      <c r="B15" s="1" t="str">
        <f>IFERROR(__xludf.DUMMYFUNCTION("""COMPUTED_VALUE"""),"8.099 €/m2")</f>
        <v>8.099 €/m2</v>
      </c>
      <c r="C15" s="1" t="str">
        <f>IFERROR(__xludf.DUMMYFUNCTION("""COMPUTED_VALUE"""),"+ 2,9 %")</f>
        <v>+ 2,9 %</v>
      </c>
      <c r="D15" s="1" t="str">
        <f>IFERROR(__xludf.DUMMYFUNCTION("""COMPUTED_VALUE"""),"+ 7,1 %")</f>
        <v>+ 7,1 %</v>
      </c>
      <c r="E15" s="1" t="str">
        <f>IFERROR(__xludf.DUMMYFUNCTION("""COMPUTED_VALUE"""),"+ 22,1 %")</f>
        <v>+ 22,1 %</v>
      </c>
    </row>
    <row r="16">
      <c r="A16" s="2">
        <f>IFERROR(__xludf.DUMMYFUNCTION("""COMPUTED_VALUE"""),45748.0)</f>
        <v>45748</v>
      </c>
      <c r="B16" s="1" t="str">
        <f>IFERROR(__xludf.DUMMYFUNCTION("""COMPUTED_VALUE"""),"7.871 €/m2")</f>
        <v>7.871 €/m2</v>
      </c>
      <c r="C16" s="1" t="str">
        <f>IFERROR(__xludf.DUMMYFUNCTION("""COMPUTED_VALUE"""),"+ 2,5 %")</f>
        <v>+ 2,5 %</v>
      </c>
      <c r="D16" s="1" t="str">
        <f>IFERROR(__xludf.DUMMYFUNCTION("""COMPUTED_VALUE"""),"+ 6,5 %")</f>
        <v>+ 6,5 %</v>
      </c>
      <c r="E16" s="1" t="str">
        <f>IFERROR(__xludf.DUMMYFUNCTION("""COMPUTED_VALUE"""),"+ 22,5 %")</f>
        <v>+ 22,5 %</v>
      </c>
    </row>
    <row r="17">
      <c r="A17" s="2">
        <f>IFERROR(__xludf.DUMMYFUNCTION("""COMPUTED_VALUE"""),45717.0)</f>
        <v>45717</v>
      </c>
      <c r="B17" s="1" t="str">
        <f>IFERROR(__xludf.DUMMYFUNCTION("""COMPUTED_VALUE"""),"7.677 €/m2")</f>
        <v>7.677 €/m2</v>
      </c>
      <c r="C17" s="1" t="str">
        <f>IFERROR(__xludf.DUMMYFUNCTION("""COMPUTED_VALUE"""),"+ 1,6 %")</f>
        <v>+ 1,6 %</v>
      </c>
      <c r="D17" s="1" t="str">
        <f>IFERROR(__xludf.DUMMYFUNCTION("""COMPUTED_VALUE"""),"+ 5,1 %")</f>
        <v>+ 5,1 %</v>
      </c>
      <c r="E17" s="1" t="str">
        <f>IFERROR(__xludf.DUMMYFUNCTION("""COMPUTED_VALUE"""),"+ 20,9 %")</f>
        <v>+ 20,9 %</v>
      </c>
    </row>
    <row r="18">
      <c r="A18" s="2">
        <f>IFERROR(__xludf.DUMMYFUNCTION("""COMPUTED_VALUE"""),45689.0)</f>
        <v>45689</v>
      </c>
      <c r="B18" s="1" t="str">
        <f>IFERROR(__xludf.DUMMYFUNCTION("""COMPUTED_VALUE"""),"7.559 €/m2")</f>
        <v>7.559 €/m2</v>
      </c>
      <c r="C18" s="1" t="str">
        <f>IFERROR(__xludf.DUMMYFUNCTION("""COMPUTED_VALUE"""),"+ 2,2 %")</f>
        <v>+ 2,2 %</v>
      </c>
      <c r="D18" s="1" t="str">
        <f>IFERROR(__xludf.DUMMYFUNCTION("""COMPUTED_VALUE"""),"+ 5,4 %")</f>
        <v>+ 5,4 %</v>
      </c>
      <c r="E18" s="1" t="str">
        <f>IFERROR(__xludf.DUMMYFUNCTION("""COMPUTED_VALUE"""),"+ 20,5 %")</f>
        <v>+ 20,5 %</v>
      </c>
    </row>
    <row r="19">
      <c r="A19" s="2">
        <f>IFERROR(__xludf.DUMMYFUNCTION("""COMPUTED_VALUE"""),45658.0)</f>
        <v>45658</v>
      </c>
      <c r="B19" s="1" t="str">
        <f>IFERROR(__xludf.DUMMYFUNCTION("""COMPUTED_VALUE"""),"7.394 €/m2")</f>
        <v>7.394 €/m2</v>
      </c>
      <c r="C19" s="1" t="str">
        <f>IFERROR(__xludf.DUMMYFUNCTION("""COMPUTED_VALUE"""),"+ 1,2 %")</f>
        <v>+ 1,2 %</v>
      </c>
      <c r="D19" s="1" t="str">
        <f>IFERROR(__xludf.DUMMYFUNCTION("""COMPUTED_VALUE"""),"+ 4,0 %")</f>
        <v>+ 4,0 %</v>
      </c>
      <c r="E19" s="1" t="str">
        <f>IFERROR(__xludf.DUMMYFUNCTION("""COMPUTED_VALUE"""),"+ 20,0 %")</f>
        <v>+ 20,0 %</v>
      </c>
    </row>
    <row r="20">
      <c r="A20" s="2">
        <f>IFERROR(__xludf.DUMMYFUNCTION("""COMPUTED_VALUE"""),45627.0)</f>
        <v>45627</v>
      </c>
      <c r="B20" s="1" t="str">
        <f>IFERROR(__xludf.DUMMYFUNCTION("""COMPUTED_VALUE"""),"7.305 €/m2")</f>
        <v>7.305 €/m2</v>
      </c>
      <c r="C20" s="1" t="str">
        <f>IFERROR(__xludf.DUMMYFUNCTION("""COMPUTED_VALUE"""),"+ 1,8 %")</f>
        <v>+ 1,8 %</v>
      </c>
      <c r="D20" s="1" t="str">
        <f>IFERROR(__xludf.DUMMYFUNCTION("""COMPUTED_VALUE"""),"+ 4,7 %")</f>
        <v>+ 4,7 %</v>
      </c>
      <c r="E20" s="1" t="str">
        <f>IFERROR(__xludf.DUMMYFUNCTION("""COMPUTED_VALUE"""),"+ 19,3 %")</f>
        <v>+ 19,3 %</v>
      </c>
    </row>
    <row r="21">
      <c r="A21" s="2">
        <f>IFERROR(__xludf.DUMMYFUNCTION("""COMPUTED_VALUE"""),45597.0)</f>
        <v>45597</v>
      </c>
      <c r="B21" s="1" t="str">
        <f>IFERROR(__xludf.DUMMYFUNCTION("""COMPUTED_VALUE"""),"7.173 €/m2")</f>
        <v>7.173 €/m2</v>
      </c>
      <c r="C21" s="1" t="str">
        <f>IFERROR(__xludf.DUMMYFUNCTION("""COMPUTED_VALUE"""),"+ 0,9 %")</f>
        <v>+ 0,9 %</v>
      </c>
      <c r="D21" s="1" t="str">
        <f>IFERROR(__xludf.DUMMYFUNCTION("""COMPUTED_VALUE"""),"+ 3,5 %")</f>
        <v>+ 3,5 %</v>
      </c>
      <c r="E21" s="1" t="str">
        <f>IFERROR(__xludf.DUMMYFUNCTION("""COMPUTED_VALUE"""),"+ 17,3 %")</f>
        <v>+ 17,3 %</v>
      </c>
    </row>
    <row r="22">
      <c r="A22" s="2">
        <f>IFERROR(__xludf.DUMMYFUNCTION("""COMPUTED_VALUE"""),45566.0)</f>
        <v>45566</v>
      </c>
      <c r="B22" s="1" t="str">
        <f>IFERROR(__xludf.DUMMYFUNCTION("""COMPUTED_VALUE"""),"7.106 €/m2")</f>
        <v>7.106 €/m2</v>
      </c>
      <c r="C22" s="1" t="str">
        <f>IFERROR(__xludf.DUMMYFUNCTION("""COMPUTED_VALUE"""),"+ 1,8 %")</f>
        <v>+ 1,8 %</v>
      </c>
      <c r="D22" s="1" t="str">
        <f>IFERROR(__xludf.DUMMYFUNCTION("""COMPUTED_VALUE"""),"+ 3,8 %")</f>
        <v>+ 3,8 %</v>
      </c>
      <c r="E22" s="1" t="str">
        <f>IFERROR(__xludf.DUMMYFUNCTION("""COMPUTED_VALUE"""),"+ 17,0 %")</f>
        <v>+ 17,0 %</v>
      </c>
    </row>
    <row r="23">
      <c r="A23" s="2">
        <f>IFERROR(__xludf.DUMMYFUNCTION("""COMPUTED_VALUE"""),45536.0)</f>
        <v>45536</v>
      </c>
      <c r="B23" s="1" t="str">
        <f>IFERROR(__xludf.DUMMYFUNCTION("""COMPUTED_VALUE"""),"6.977 €/m2")</f>
        <v>6.977 €/m2</v>
      </c>
      <c r="C23" s="1" t="str">
        <f>IFERROR(__xludf.DUMMYFUNCTION("""COMPUTED_VALUE"""),"+ 0,7 %")</f>
        <v>+ 0,7 %</v>
      </c>
      <c r="D23" s="1" t="str">
        <f>IFERROR(__xludf.DUMMYFUNCTION("""COMPUTED_VALUE"""),"+ 4,7 %")</f>
        <v>+ 4,7 %</v>
      </c>
      <c r="E23" s="1" t="str">
        <f>IFERROR(__xludf.DUMMYFUNCTION("""COMPUTED_VALUE"""),"+ 15,3 %")</f>
        <v>+ 15,3 %</v>
      </c>
    </row>
    <row r="24">
      <c r="A24" s="2">
        <f>IFERROR(__xludf.DUMMYFUNCTION("""COMPUTED_VALUE"""),45505.0)</f>
        <v>45505</v>
      </c>
      <c r="B24" s="1" t="str">
        <f>IFERROR(__xludf.DUMMYFUNCTION("""COMPUTED_VALUE"""),"6.928 €/m2")</f>
        <v>6.928 €/m2</v>
      </c>
      <c r="C24" s="1" t="str">
        <f>IFERROR(__xludf.DUMMYFUNCTION("""COMPUTED_VALUE"""),"+ 1,2 %")</f>
        <v>+ 1,2 %</v>
      </c>
      <c r="D24" s="1" t="str">
        <f>IFERROR(__xludf.DUMMYFUNCTION("""COMPUTED_VALUE"""),"+ 4,5 %")</f>
        <v>+ 4,5 %</v>
      </c>
      <c r="E24" s="1" t="str">
        <f>IFERROR(__xludf.DUMMYFUNCTION("""COMPUTED_VALUE"""),"+ 14,6 %")</f>
        <v>+ 14,6 %</v>
      </c>
    </row>
    <row r="25">
      <c r="A25" s="2">
        <f>IFERROR(__xludf.DUMMYFUNCTION("""COMPUTED_VALUE"""),45474.0)</f>
        <v>45474</v>
      </c>
      <c r="B25" s="1" t="str">
        <f>IFERROR(__xludf.DUMMYFUNCTION("""COMPUTED_VALUE"""),"6.848 €/m2")</f>
        <v>6.848 €/m2</v>
      </c>
      <c r="C25" s="1" t="str">
        <f>IFERROR(__xludf.DUMMYFUNCTION("""COMPUTED_VALUE"""),"+ 2,7 %")</f>
        <v>+ 2,7 %</v>
      </c>
      <c r="D25" s="1" t="str">
        <f>IFERROR(__xludf.DUMMYFUNCTION("""COMPUTED_VALUE"""),"+ 6,5 %")</f>
        <v>+ 6,5 %</v>
      </c>
      <c r="E25" s="1" t="str">
        <f>IFERROR(__xludf.DUMMYFUNCTION("""COMPUTED_VALUE"""),"+ 14,4 %")</f>
        <v>+ 14,4 %</v>
      </c>
    </row>
    <row r="26">
      <c r="A26" s="2">
        <f>IFERROR(__xludf.DUMMYFUNCTION("""COMPUTED_VALUE"""),45444.0)</f>
        <v>45444</v>
      </c>
      <c r="B26" s="1" t="str">
        <f>IFERROR(__xludf.DUMMYFUNCTION("""COMPUTED_VALUE"""),"6.665 €/m2")</f>
        <v>6.665 €/m2</v>
      </c>
      <c r="C26" s="1" t="str">
        <f>IFERROR(__xludf.DUMMYFUNCTION("""COMPUTED_VALUE"""),"+ 0,5 %")</f>
        <v>+ 0,5 %</v>
      </c>
      <c r="D26" s="1" t="str">
        <f>IFERROR(__xludf.DUMMYFUNCTION("""COMPUTED_VALUE"""),"+ 5,0 %")</f>
        <v>+ 5,0 %</v>
      </c>
      <c r="E26" s="1" t="str">
        <f>IFERROR(__xludf.DUMMYFUNCTION("""COMPUTED_VALUE"""),"+ 12,2 %")</f>
        <v>+ 12,2 %</v>
      </c>
    </row>
    <row r="27">
      <c r="A27" s="2">
        <f>IFERROR(__xludf.DUMMYFUNCTION("""COMPUTED_VALUE"""),45413.0)</f>
        <v>45413</v>
      </c>
      <c r="B27" s="1" t="str">
        <f>IFERROR(__xludf.DUMMYFUNCTION("""COMPUTED_VALUE"""),"6.630 €/m2")</f>
        <v>6.630 €/m2</v>
      </c>
      <c r="C27" s="1" t="str">
        <f>IFERROR(__xludf.DUMMYFUNCTION("""COMPUTED_VALUE"""),"+ 3,2 %")</f>
        <v>+ 3,2 %</v>
      </c>
      <c r="D27" s="1" t="str">
        <f>IFERROR(__xludf.DUMMYFUNCTION("""COMPUTED_VALUE"""),"+ 5,7 %")</f>
        <v>+ 5,7 %</v>
      </c>
      <c r="E27" s="1" t="str">
        <f>IFERROR(__xludf.DUMMYFUNCTION("""COMPUTED_VALUE"""),"+ 12,0 %")</f>
        <v>+ 12,0 %</v>
      </c>
    </row>
    <row r="28">
      <c r="A28" s="2">
        <f>IFERROR(__xludf.DUMMYFUNCTION("""COMPUTED_VALUE"""),45383.0)</f>
        <v>45383</v>
      </c>
      <c r="B28" s="1" t="str">
        <f>IFERROR(__xludf.DUMMYFUNCTION("""COMPUTED_VALUE"""),"6.427 €/m2")</f>
        <v>6.427 €/m2</v>
      </c>
      <c r="C28" s="1" t="str">
        <f>IFERROR(__xludf.DUMMYFUNCTION("""COMPUTED_VALUE"""),"+ 1,3 %")</f>
        <v>+ 1,3 %</v>
      </c>
      <c r="D28" s="1" t="str">
        <f>IFERROR(__xludf.DUMMYFUNCTION("""COMPUTED_VALUE"""),"+ 4,3 %")</f>
        <v>+ 4,3 %</v>
      </c>
      <c r="E28" s="1" t="str">
        <f>IFERROR(__xludf.DUMMYFUNCTION("""COMPUTED_VALUE"""),"+ 8,4 %")</f>
        <v>+ 8,4 %</v>
      </c>
    </row>
    <row r="29">
      <c r="A29" s="2">
        <f>IFERROR(__xludf.DUMMYFUNCTION("""COMPUTED_VALUE"""),45352.0)</f>
        <v>45352</v>
      </c>
      <c r="B29" s="1" t="str">
        <f>IFERROR(__xludf.DUMMYFUNCTION("""COMPUTED_VALUE"""),"6.347 €/m2")</f>
        <v>6.347 €/m2</v>
      </c>
      <c r="C29" s="1" t="str">
        <f>IFERROR(__xludf.DUMMYFUNCTION("""COMPUTED_VALUE"""),"+ 1,2 %")</f>
        <v>+ 1,2 %</v>
      </c>
      <c r="D29" s="1" t="str">
        <f>IFERROR(__xludf.DUMMYFUNCTION("""COMPUTED_VALUE"""),"+ 3,7 %")</f>
        <v>+ 3,7 %</v>
      </c>
      <c r="E29" s="1" t="str">
        <f>IFERROR(__xludf.DUMMYFUNCTION("""COMPUTED_VALUE"""),"+ 7,2 %")</f>
        <v>+ 7,2 %</v>
      </c>
    </row>
    <row r="30">
      <c r="A30" s="2">
        <f>IFERROR(__xludf.DUMMYFUNCTION("""COMPUTED_VALUE"""),45323.0)</f>
        <v>45323</v>
      </c>
      <c r="B30" s="1" t="str">
        <f>IFERROR(__xludf.DUMMYFUNCTION("""COMPUTED_VALUE"""),"6.271 €/m2")</f>
        <v>6.271 €/m2</v>
      </c>
      <c r="C30" s="1" t="str">
        <f>IFERROR(__xludf.DUMMYFUNCTION("""COMPUTED_VALUE"""),"+ 1,8 %")</f>
        <v>+ 1,8 %</v>
      </c>
      <c r="D30" s="1" t="str">
        <f>IFERROR(__xludf.DUMMYFUNCTION("""COMPUTED_VALUE"""),"+ 2,5 %")</f>
        <v>+ 2,5 %</v>
      </c>
      <c r="E30" s="1" t="str">
        <f>IFERROR(__xludf.DUMMYFUNCTION("""COMPUTED_VALUE"""),"+ 6,5 %")</f>
        <v>+ 6,5 %</v>
      </c>
    </row>
    <row r="31">
      <c r="A31" s="2">
        <f>IFERROR(__xludf.DUMMYFUNCTION("""COMPUTED_VALUE"""),45292.0)</f>
        <v>45292</v>
      </c>
      <c r="B31" s="1" t="str">
        <f>IFERROR(__xludf.DUMMYFUNCTION("""COMPUTED_VALUE"""),"6.161 €/m2")</f>
        <v>6.161 €/m2</v>
      </c>
      <c r="C31" s="1" t="str">
        <f>IFERROR(__xludf.DUMMYFUNCTION("""COMPUTED_VALUE"""),"+ 0,6 %")</f>
        <v>+ 0,6 %</v>
      </c>
      <c r="D31" s="1" t="str">
        <f>IFERROR(__xludf.DUMMYFUNCTION("""COMPUTED_VALUE"""),"+ 1,4 %")</f>
        <v>+ 1,4 %</v>
      </c>
      <c r="E31" s="1" t="str">
        <f>IFERROR(__xludf.DUMMYFUNCTION("""COMPUTED_VALUE"""),"+ 5,2 %")</f>
        <v>+ 5,2 %</v>
      </c>
    </row>
    <row r="32">
      <c r="A32" s="2">
        <f>IFERROR(__xludf.DUMMYFUNCTION("""COMPUTED_VALUE"""),45261.0)</f>
        <v>45261</v>
      </c>
      <c r="B32" s="1" t="str">
        <f>IFERROR(__xludf.DUMMYFUNCTION("""COMPUTED_VALUE"""),"6.124 €/m2")</f>
        <v>6.124 €/m2</v>
      </c>
      <c r="C32" s="1" t="str">
        <f>IFERROR(__xludf.DUMMYFUNCTION("""COMPUTED_VALUE"""),"+ 0,1 %")</f>
        <v>+ 0,1 %</v>
      </c>
      <c r="D32" s="1" t="str">
        <f>IFERROR(__xludf.DUMMYFUNCTION("""COMPUTED_VALUE"""),"+ 1,2 %")</f>
        <v>+ 1,2 %</v>
      </c>
      <c r="E32" s="1" t="str">
        <f>IFERROR(__xludf.DUMMYFUNCTION("""COMPUTED_VALUE"""),"+ 5,2 %")</f>
        <v>+ 5,2 %</v>
      </c>
    </row>
    <row r="33">
      <c r="A33" s="2">
        <f>IFERROR(__xludf.DUMMYFUNCTION("""COMPUTED_VALUE"""),45231.0)</f>
        <v>45231</v>
      </c>
      <c r="B33" s="1" t="str">
        <f>IFERROR(__xludf.DUMMYFUNCTION("""COMPUTED_VALUE"""),"6.116 €/m2")</f>
        <v>6.116 €/m2</v>
      </c>
      <c r="C33" s="1" t="str">
        <f>IFERROR(__xludf.DUMMYFUNCTION("""COMPUTED_VALUE"""),"+ 0,7 %")</f>
        <v>+ 0,7 %</v>
      </c>
      <c r="D33" s="1" t="str">
        <f>IFERROR(__xludf.DUMMYFUNCTION("""COMPUTED_VALUE"""),"+ 1,2 %")</f>
        <v>+ 1,2 %</v>
      </c>
      <c r="E33" s="1" t="str">
        <f>IFERROR(__xludf.DUMMYFUNCTION("""COMPUTED_VALUE"""),"+ 5,2 %")</f>
        <v>+ 5,2 %</v>
      </c>
    </row>
    <row r="34">
      <c r="A34" s="2">
        <f>IFERROR(__xludf.DUMMYFUNCTION("""COMPUTED_VALUE"""),45200.0)</f>
        <v>45200</v>
      </c>
      <c r="B34" s="1" t="str">
        <f>IFERROR(__xludf.DUMMYFUNCTION("""COMPUTED_VALUE"""),"6.073 €/m2")</f>
        <v>6.073 €/m2</v>
      </c>
      <c r="C34" s="1" t="str">
        <f>IFERROR(__xludf.DUMMYFUNCTION("""COMPUTED_VALUE"""),"+ 0,3 %")</f>
        <v>+ 0,3 %</v>
      </c>
      <c r="D34" s="1" t="str">
        <f>IFERROR(__xludf.DUMMYFUNCTION("""COMPUTED_VALUE"""),"+ 1,4 %")</f>
        <v>+ 1,4 %</v>
      </c>
      <c r="E34" s="1" t="str">
        <f>IFERROR(__xludf.DUMMYFUNCTION("""COMPUTED_VALUE"""),"+ 4,5 %")</f>
        <v>+ 4,5 %</v>
      </c>
    </row>
    <row r="35">
      <c r="A35" s="2">
        <f>IFERROR(__xludf.DUMMYFUNCTION("""COMPUTED_VALUE"""),45170.0)</f>
        <v>45170</v>
      </c>
      <c r="B35" s="1" t="str">
        <f>IFERROR(__xludf.DUMMYFUNCTION("""COMPUTED_VALUE"""),"6.052 €/m2")</f>
        <v>6.052 €/m2</v>
      </c>
      <c r="C35" s="1" t="str">
        <f>IFERROR(__xludf.DUMMYFUNCTION("""COMPUTED_VALUE"""),"+ 0,1 %")</f>
        <v>+ 0,1 %</v>
      </c>
      <c r="D35" s="1" t="str">
        <f>IFERROR(__xludf.DUMMYFUNCTION("""COMPUTED_VALUE"""),"+ 1,8 %")</f>
        <v>+ 1,8 %</v>
      </c>
      <c r="E35" s="1" t="str">
        <f>IFERROR(__xludf.DUMMYFUNCTION("""COMPUTED_VALUE"""),"+ 4,4 %")</f>
        <v>+ 4,4 %</v>
      </c>
    </row>
    <row r="36">
      <c r="A36" s="2">
        <f>IFERROR(__xludf.DUMMYFUNCTION("""COMPUTED_VALUE"""),45139.0)</f>
        <v>45139</v>
      </c>
      <c r="B36" s="1" t="str">
        <f>IFERROR(__xludf.DUMMYFUNCTION("""COMPUTED_VALUE"""),"6.044 €/m2")</f>
        <v>6.044 €/m2</v>
      </c>
      <c r="C36" s="1" t="str">
        <f>IFERROR(__xludf.DUMMYFUNCTION("""COMPUTED_VALUE"""),"+ 1,0 %")</f>
        <v>+ 1,0 %</v>
      </c>
      <c r="D36" s="1" t="str">
        <f>IFERROR(__xludf.DUMMYFUNCTION("""COMPUTED_VALUE"""),"+ 2,1 %")</f>
        <v>+ 2,1 %</v>
      </c>
      <c r="E36" s="1" t="str">
        <f>IFERROR(__xludf.DUMMYFUNCTION("""COMPUTED_VALUE"""),"+ 6,0 %")</f>
        <v>+ 6,0 %</v>
      </c>
    </row>
    <row r="37">
      <c r="A37" s="2">
        <f>IFERROR(__xludf.DUMMYFUNCTION("""COMPUTED_VALUE"""),45108.0)</f>
        <v>45108</v>
      </c>
      <c r="B37" s="1" t="str">
        <f>IFERROR(__xludf.DUMMYFUNCTION("""COMPUTED_VALUE"""),"5.986 €/m2")</f>
        <v>5.986 €/m2</v>
      </c>
      <c r="C37" s="1" t="str">
        <f>IFERROR(__xludf.DUMMYFUNCTION("""COMPUTED_VALUE"""),"+ 0,7 %")</f>
        <v>+ 0,7 %</v>
      </c>
      <c r="D37" s="1" t="str">
        <f>IFERROR(__xludf.DUMMYFUNCTION("""COMPUTED_VALUE"""),"+ 1,0 %")</f>
        <v>+ 1,0 %</v>
      </c>
      <c r="E37" s="1" t="str">
        <f>IFERROR(__xludf.DUMMYFUNCTION("""COMPUTED_VALUE"""),"+ 5,5 %")</f>
        <v>+ 5,5 %</v>
      </c>
    </row>
    <row r="38">
      <c r="A38" s="2">
        <f>IFERROR(__xludf.DUMMYFUNCTION("""COMPUTED_VALUE"""),45078.0)</f>
        <v>45078</v>
      </c>
      <c r="B38" s="1" t="str">
        <f>IFERROR(__xludf.DUMMYFUNCTION("""COMPUTED_VALUE"""),"5.943 €/m2")</f>
        <v>5.943 €/m2</v>
      </c>
      <c r="C38" s="1" t="str">
        <f>IFERROR(__xludf.DUMMYFUNCTION("""COMPUTED_VALUE"""),"+ 0,4 %")</f>
        <v>+ 0,4 %</v>
      </c>
      <c r="D38" s="1" t="str">
        <f>IFERROR(__xludf.DUMMYFUNCTION("""COMPUTED_VALUE"""),"+ 0,3 %")</f>
        <v>+ 0,3 %</v>
      </c>
      <c r="E38" s="1" t="str">
        <f>IFERROR(__xludf.DUMMYFUNCTION("""COMPUTED_VALUE"""),"+ 5,0 %")</f>
        <v>+ 5,0 %</v>
      </c>
    </row>
    <row r="39">
      <c r="A39" s="2">
        <f>IFERROR(__xludf.DUMMYFUNCTION("""COMPUTED_VALUE"""),45047.0)</f>
        <v>45047</v>
      </c>
      <c r="B39" s="1" t="str">
        <f>IFERROR(__xludf.DUMMYFUNCTION("""COMPUTED_VALUE"""),"5.921 €/m2")</f>
        <v>5.921 €/m2</v>
      </c>
      <c r="C39" s="1" t="str">
        <f>IFERROR(__xludf.DUMMYFUNCTION("""COMPUTED_VALUE"""),"- 0,1 %")</f>
        <v>- 0,1 %</v>
      </c>
      <c r="D39" s="1" t="str">
        <f>IFERROR(__xludf.DUMMYFUNCTION("""COMPUTED_VALUE"""),"+ 0,5 %")</f>
        <v>+ 0,5 %</v>
      </c>
      <c r="E39" s="1" t="str">
        <f>IFERROR(__xludf.DUMMYFUNCTION("""COMPUTED_VALUE"""),"+ 5,9 %")</f>
        <v>+ 5,9 %</v>
      </c>
    </row>
    <row r="40">
      <c r="A40" s="2">
        <f>IFERROR(__xludf.DUMMYFUNCTION("""COMPUTED_VALUE"""),45017.0)</f>
        <v>45017</v>
      </c>
      <c r="B40" s="1" t="str">
        <f>IFERROR(__xludf.DUMMYFUNCTION("""COMPUTED_VALUE"""),"5.928 €/m2")</f>
        <v>5.928 €/m2</v>
      </c>
      <c r="C40" s="1" t="str">
        <f>IFERROR(__xludf.DUMMYFUNCTION("""COMPUTED_VALUE"""),"+ 0,1 %")</f>
        <v>+ 0,1 %</v>
      </c>
      <c r="D40" s="1" t="str">
        <f>IFERROR(__xludf.DUMMYFUNCTION("""COMPUTED_VALUE"""),"+ 1,2 %")</f>
        <v>+ 1,2 %</v>
      </c>
      <c r="E40" s="1" t="str">
        <f>IFERROR(__xludf.DUMMYFUNCTION("""COMPUTED_VALUE"""),"+ 7,8 %")</f>
        <v>+ 7,8 %</v>
      </c>
    </row>
    <row r="41">
      <c r="A41" s="2">
        <f>IFERROR(__xludf.DUMMYFUNCTION("""COMPUTED_VALUE"""),44986.0)</f>
        <v>44986</v>
      </c>
      <c r="B41" s="1" t="str">
        <f>IFERROR(__xludf.DUMMYFUNCTION("""COMPUTED_VALUE"""),"5.923 €/m2")</f>
        <v>5.923 €/m2</v>
      </c>
      <c r="C41" s="1" t="str">
        <f>IFERROR(__xludf.DUMMYFUNCTION("""COMPUTED_VALUE"""),"+ 0,5 %")</f>
        <v>+ 0,5 %</v>
      </c>
      <c r="D41" s="1" t="str">
        <f>IFERROR(__xludf.DUMMYFUNCTION("""COMPUTED_VALUE"""),"+ 1,8 %")</f>
        <v>+ 1,8 %</v>
      </c>
      <c r="E41" s="1" t="str">
        <f>IFERROR(__xludf.DUMMYFUNCTION("""COMPUTED_VALUE"""),"+ 8,2 %")</f>
        <v>+ 8,2 %</v>
      </c>
    </row>
    <row r="42">
      <c r="A42" s="2">
        <f>IFERROR(__xludf.DUMMYFUNCTION("""COMPUTED_VALUE"""),44958.0)</f>
        <v>44958</v>
      </c>
      <c r="B42" s="1" t="str">
        <f>IFERROR(__xludf.DUMMYFUNCTION("""COMPUTED_VALUE"""),"5.891 €/m2")</f>
        <v>5.891 €/m2</v>
      </c>
      <c r="C42" s="1" t="str">
        <f>IFERROR(__xludf.DUMMYFUNCTION("""COMPUTED_VALUE"""),"+ 0,6 %")</f>
        <v>+ 0,6 %</v>
      </c>
      <c r="D42" s="1" t="str">
        <f>IFERROR(__xludf.DUMMYFUNCTION("""COMPUTED_VALUE"""),"+ 1,3 %")</f>
        <v>+ 1,3 %</v>
      </c>
      <c r="E42" s="1" t="str">
        <f>IFERROR(__xludf.DUMMYFUNCTION("""COMPUTED_VALUE"""),"+ 8,2 %")</f>
        <v>+ 8,2 %</v>
      </c>
    </row>
    <row r="43">
      <c r="A43" s="2">
        <f>IFERROR(__xludf.DUMMYFUNCTION("""COMPUTED_VALUE"""),44927.0)</f>
        <v>44927</v>
      </c>
      <c r="B43" s="1" t="str">
        <f>IFERROR(__xludf.DUMMYFUNCTION("""COMPUTED_VALUE"""),"5.857 €/m2")</f>
        <v>5.857 €/m2</v>
      </c>
      <c r="C43" s="1" t="str">
        <f>IFERROR(__xludf.DUMMYFUNCTION("""COMPUTED_VALUE"""),"+ 0,7 %")</f>
        <v>+ 0,7 %</v>
      </c>
      <c r="D43" s="1" t="str">
        <f>IFERROR(__xludf.DUMMYFUNCTION("""COMPUTED_VALUE"""),"+ 0,8 %")</f>
        <v>+ 0,8 %</v>
      </c>
      <c r="E43" s="1" t="str">
        <f>IFERROR(__xludf.DUMMYFUNCTION("""COMPUTED_VALUE"""),"+ 7,8 %")</f>
        <v>+ 7,8 %</v>
      </c>
    </row>
    <row r="44">
      <c r="A44" s="2">
        <f>IFERROR(__xludf.DUMMYFUNCTION("""COMPUTED_VALUE"""),44896.0)</f>
        <v>44896</v>
      </c>
      <c r="B44" s="1" t="str">
        <f>IFERROR(__xludf.DUMMYFUNCTION("""COMPUTED_VALUE"""),"5.818 €/m2")</f>
        <v>5.818 €/m2</v>
      </c>
      <c r="C44" s="1" t="str">
        <f>IFERROR(__xludf.DUMMYFUNCTION("""COMPUTED_VALUE"""),"0,0 %")</f>
        <v>0,0 %</v>
      </c>
      <c r="D44" s="1" t="str">
        <f>IFERROR(__xludf.DUMMYFUNCTION("""COMPUTED_VALUE"""),"+ 0,4 %")</f>
        <v>+ 0,4 %</v>
      </c>
      <c r="E44" s="1" t="str">
        <f>IFERROR(__xludf.DUMMYFUNCTION("""COMPUTED_VALUE"""),"+ 7,8 %")</f>
        <v>+ 7,8 %</v>
      </c>
    </row>
    <row r="45">
      <c r="A45" s="2">
        <f>IFERROR(__xludf.DUMMYFUNCTION("""COMPUTED_VALUE"""),44866.0)</f>
        <v>44866</v>
      </c>
      <c r="B45" s="1" t="str">
        <f>IFERROR(__xludf.DUMMYFUNCTION("""COMPUTED_VALUE"""),"5.816 €/m2")</f>
        <v>5.816 €/m2</v>
      </c>
      <c r="C45" s="1" t="str">
        <f>IFERROR(__xludf.DUMMYFUNCTION("""COMPUTED_VALUE"""),"+ 0,1 %")</f>
        <v>+ 0,1 %</v>
      </c>
      <c r="D45" s="1" t="str">
        <f>IFERROR(__xludf.DUMMYFUNCTION("""COMPUTED_VALUE"""),"+ 2,0 %")</f>
        <v>+ 2,0 %</v>
      </c>
      <c r="E45" s="1" t="str">
        <f>IFERROR(__xludf.DUMMYFUNCTION("""COMPUTED_VALUE"""),"+ 8,4 %")</f>
        <v>+ 8,4 %</v>
      </c>
    </row>
    <row r="46">
      <c r="A46" s="2">
        <f>IFERROR(__xludf.DUMMYFUNCTION("""COMPUTED_VALUE"""),44835.0)</f>
        <v>44835</v>
      </c>
      <c r="B46" s="1" t="str">
        <f>IFERROR(__xludf.DUMMYFUNCTION("""COMPUTED_VALUE"""),"5.811 €/m2")</f>
        <v>5.811 €/m2</v>
      </c>
      <c r="C46" s="1" t="str">
        <f>IFERROR(__xludf.DUMMYFUNCTION("""COMPUTED_VALUE"""),"+ 0,3 %")</f>
        <v>+ 0,3 %</v>
      </c>
      <c r="D46" s="1" t="str">
        <f>IFERROR(__xludf.DUMMYFUNCTION("""COMPUTED_VALUE"""),"+ 2,4 %")</f>
        <v>+ 2,4 %</v>
      </c>
      <c r="E46" s="1" t="str">
        <f>IFERROR(__xludf.DUMMYFUNCTION("""COMPUTED_VALUE"""),"+ 8,8 %")</f>
        <v>+ 8,8 %</v>
      </c>
    </row>
    <row r="47">
      <c r="A47" s="2">
        <f>IFERROR(__xludf.DUMMYFUNCTION("""COMPUTED_VALUE"""),44805.0)</f>
        <v>44805</v>
      </c>
      <c r="B47" s="1" t="str">
        <f>IFERROR(__xludf.DUMMYFUNCTION("""COMPUTED_VALUE"""),"5.796 €/m2")</f>
        <v>5.796 €/m2</v>
      </c>
      <c r="C47" s="1" t="str">
        <f>IFERROR(__xludf.DUMMYFUNCTION("""COMPUTED_VALUE"""),"+ 1,7 %")</f>
        <v>+ 1,7 %</v>
      </c>
      <c r="D47" s="1" t="str">
        <f>IFERROR(__xludf.DUMMYFUNCTION("""COMPUTED_VALUE"""),"+ 2,5 %")</f>
        <v>+ 2,5 %</v>
      </c>
      <c r="E47" s="1" t="str">
        <f>IFERROR(__xludf.DUMMYFUNCTION("""COMPUTED_VALUE"""),"+ 9,0 %")</f>
        <v>+ 9,0 %</v>
      </c>
    </row>
    <row r="48">
      <c r="A48" s="2">
        <f>IFERROR(__xludf.DUMMYFUNCTION("""COMPUTED_VALUE"""),44774.0)</f>
        <v>44774</v>
      </c>
      <c r="B48" s="1" t="str">
        <f>IFERROR(__xludf.DUMMYFUNCTION("""COMPUTED_VALUE"""),"5.702 €/m2")</f>
        <v>5.702 €/m2</v>
      </c>
      <c r="C48" s="1" t="str">
        <f>IFERROR(__xludf.DUMMYFUNCTION("""COMPUTED_VALUE"""),"+ 0,5 %")</f>
        <v>+ 0,5 %</v>
      </c>
      <c r="D48" s="1" t="str">
        <f>IFERROR(__xludf.DUMMYFUNCTION("""COMPUTED_VALUE"""),"+ 2,0 %")</f>
        <v>+ 2,0 %</v>
      </c>
      <c r="E48" s="1" t="str">
        <f>IFERROR(__xludf.DUMMYFUNCTION("""COMPUTED_VALUE"""),"+ 7,6 %")</f>
        <v>+ 7,6 %</v>
      </c>
    </row>
    <row r="49">
      <c r="A49" s="2">
        <f>IFERROR(__xludf.DUMMYFUNCTION("""COMPUTED_VALUE"""),44743.0)</f>
        <v>44743</v>
      </c>
      <c r="B49" s="1" t="str">
        <f>IFERROR(__xludf.DUMMYFUNCTION("""COMPUTED_VALUE"""),"5.675 €/m2")</f>
        <v>5.675 €/m2</v>
      </c>
      <c r="C49" s="1" t="str">
        <f>IFERROR(__xludf.DUMMYFUNCTION("""COMPUTED_VALUE"""),"+ 0,3 %")</f>
        <v>+ 0,3 %</v>
      </c>
      <c r="D49" s="1" t="str">
        <f>IFERROR(__xludf.DUMMYFUNCTION("""COMPUTED_VALUE"""),"+ 3,2 %")</f>
        <v>+ 3,2 %</v>
      </c>
      <c r="E49" s="1" t="str">
        <f>IFERROR(__xludf.DUMMYFUNCTION("""COMPUTED_VALUE"""),"+ 7,2 %")</f>
        <v>+ 7,2 %</v>
      </c>
    </row>
    <row r="50">
      <c r="A50" s="2">
        <f>IFERROR(__xludf.DUMMYFUNCTION("""COMPUTED_VALUE"""),44713.0)</f>
        <v>44713</v>
      </c>
      <c r="B50" s="1" t="str">
        <f>IFERROR(__xludf.DUMMYFUNCTION("""COMPUTED_VALUE"""),"5.657 €/m2")</f>
        <v>5.657 €/m2</v>
      </c>
      <c r="C50" s="1" t="str">
        <f>IFERROR(__xludf.DUMMYFUNCTION("""COMPUTED_VALUE"""),"+ 1,2 %")</f>
        <v>+ 1,2 %</v>
      </c>
      <c r="D50" s="1" t="str">
        <f>IFERROR(__xludf.DUMMYFUNCTION("""COMPUTED_VALUE"""),"+ 3,4 %")</f>
        <v>+ 3,4 %</v>
      </c>
      <c r="E50" s="1" t="str">
        <f>IFERROR(__xludf.DUMMYFUNCTION("""COMPUTED_VALUE"""),"+ 7,2 %")</f>
        <v>+ 7,2 %</v>
      </c>
    </row>
    <row r="51">
      <c r="A51" s="2">
        <f>IFERROR(__xludf.DUMMYFUNCTION("""COMPUTED_VALUE"""),44682.0)</f>
        <v>44682</v>
      </c>
      <c r="B51" s="1" t="str">
        <f>IFERROR(__xludf.DUMMYFUNCTION("""COMPUTED_VALUE"""),"5.592 €/m2")</f>
        <v>5.592 €/m2</v>
      </c>
      <c r="C51" s="1" t="str">
        <f>IFERROR(__xludf.DUMMYFUNCTION("""COMPUTED_VALUE"""),"+ 1,7 %")</f>
        <v>+ 1,7 %</v>
      </c>
      <c r="D51" s="1" t="str">
        <f>IFERROR(__xludf.DUMMYFUNCTION("""COMPUTED_VALUE"""),"+ 2,7 %")</f>
        <v>+ 2,7 %</v>
      </c>
      <c r="E51" s="1" t="str">
        <f>IFERROR(__xludf.DUMMYFUNCTION("""COMPUTED_VALUE"""),"+ 7,6 %")</f>
        <v>+ 7,6 %</v>
      </c>
    </row>
    <row r="52">
      <c r="A52" s="2">
        <f>IFERROR(__xludf.DUMMYFUNCTION("""COMPUTED_VALUE"""),44652.0)</f>
        <v>44652</v>
      </c>
      <c r="B52" s="1" t="str">
        <f>IFERROR(__xludf.DUMMYFUNCTION("""COMPUTED_VALUE"""),"5.500 €/m2")</f>
        <v>5.500 €/m2</v>
      </c>
      <c r="C52" s="1" t="str">
        <f>IFERROR(__xludf.DUMMYFUNCTION("""COMPUTED_VALUE"""),"+ 0,5 %")</f>
        <v>+ 0,5 %</v>
      </c>
      <c r="D52" s="1" t="str">
        <f>IFERROR(__xludf.DUMMYFUNCTION("""COMPUTED_VALUE"""),"+ 1,2 %")</f>
        <v>+ 1,2 %</v>
      </c>
      <c r="E52" s="1" t="str">
        <f>IFERROR(__xludf.DUMMYFUNCTION("""COMPUTED_VALUE"""),"+ 5,6 %")</f>
        <v>+ 5,6 %</v>
      </c>
    </row>
    <row r="53">
      <c r="A53" s="2">
        <f>IFERROR(__xludf.DUMMYFUNCTION("""COMPUTED_VALUE"""),44621.0)</f>
        <v>44621</v>
      </c>
      <c r="B53" s="1" t="str">
        <f>IFERROR(__xludf.DUMMYFUNCTION("""COMPUTED_VALUE"""),"5.473 €/m2")</f>
        <v>5.473 €/m2</v>
      </c>
      <c r="C53" s="1" t="str">
        <f>IFERROR(__xludf.DUMMYFUNCTION("""COMPUTED_VALUE"""),"+ 0,5 %")</f>
        <v>+ 0,5 %</v>
      </c>
      <c r="D53" s="1" t="str">
        <f>IFERROR(__xludf.DUMMYFUNCTION("""COMPUTED_VALUE"""),"+ 1,4 %")</f>
        <v>+ 1,4 %</v>
      </c>
      <c r="E53" s="1" t="str">
        <f>IFERROR(__xludf.DUMMYFUNCTION("""COMPUTED_VALUE"""),"+ 4,8 %")</f>
        <v>+ 4,8 %</v>
      </c>
    </row>
    <row r="54">
      <c r="A54" s="2">
        <f>IFERROR(__xludf.DUMMYFUNCTION("""COMPUTED_VALUE"""),44593.0)</f>
        <v>44593</v>
      </c>
      <c r="B54" s="1" t="str">
        <f>IFERROR(__xludf.DUMMYFUNCTION("""COMPUTED_VALUE"""),"5.446 €/m2")</f>
        <v>5.446 €/m2</v>
      </c>
      <c r="C54" s="1" t="str">
        <f>IFERROR(__xludf.DUMMYFUNCTION("""COMPUTED_VALUE"""),"+ 0,2 %")</f>
        <v>+ 0,2 %</v>
      </c>
      <c r="D54" s="1" t="str">
        <f>IFERROR(__xludf.DUMMYFUNCTION("""COMPUTED_VALUE"""),"+ 1,5 %")</f>
        <v>+ 1,5 %</v>
      </c>
      <c r="E54" s="1" t="str">
        <f>IFERROR(__xludf.DUMMYFUNCTION("""COMPUTED_VALUE"""),"+ 4,3 %")</f>
        <v>+ 4,3 %</v>
      </c>
    </row>
    <row r="55">
      <c r="A55" s="2">
        <f>IFERROR(__xludf.DUMMYFUNCTION("""COMPUTED_VALUE"""),44562.0)</f>
        <v>44562</v>
      </c>
      <c r="B55" s="1" t="str">
        <f>IFERROR(__xludf.DUMMYFUNCTION("""COMPUTED_VALUE"""),"5.432 €/m2")</f>
        <v>5.432 €/m2</v>
      </c>
      <c r="C55" s="1" t="str">
        <f>IFERROR(__xludf.DUMMYFUNCTION("""COMPUTED_VALUE"""),"+ 0,6 %")</f>
        <v>+ 0,6 %</v>
      </c>
      <c r="D55" s="1" t="str">
        <f>IFERROR(__xludf.DUMMYFUNCTION("""COMPUTED_VALUE"""),"+ 1,7 %")</f>
        <v>+ 1,7 %</v>
      </c>
      <c r="E55" s="1" t="str">
        <f>IFERROR(__xludf.DUMMYFUNCTION("""COMPUTED_VALUE"""),"+ 4,2 %")</f>
        <v>+ 4,2 %</v>
      </c>
    </row>
    <row r="56">
      <c r="A56" s="2">
        <f>IFERROR(__xludf.DUMMYFUNCTION("""COMPUTED_VALUE"""),44531.0)</f>
        <v>44531</v>
      </c>
      <c r="B56" s="1" t="str">
        <f>IFERROR(__xludf.DUMMYFUNCTION("""COMPUTED_VALUE"""),"5.397 €/m2")</f>
        <v>5.397 €/m2</v>
      </c>
      <c r="C56" s="1" t="str">
        <f>IFERROR(__xludf.DUMMYFUNCTION("""COMPUTED_VALUE"""),"+ 0,6 %")</f>
        <v>+ 0,6 %</v>
      </c>
      <c r="D56" s="1" t="str">
        <f>IFERROR(__xludf.DUMMYFUNCTION("""COMPUTED_VALUE"""),"+ 1,5 %")</f>
        <v>+ 1,5 %</v>
      </c>
      <c r="E56" s="1" t="str">
        <f>IFERROR(__xludf.DUMMYFUNCTION("""COMPUTED_VALUE"""),"+ 2,9 %")</f>
        <v>+ 2,9 %</v>
      </c>
    </row>
    <row r="57">
      <c r="A57" s="2">
        <f>IFERROR(__xludf.DUMMYFUNCTION("""COMPUTED_VALUE"""),44501.0)</f>
        <v>44501</v>
      </c>
      <c r="B57" s="1" t="str">
        <f>IFERROR(__xludf.DUMMYFUNCTION("""COMPUTED_VALUE"""),"5.368 €/m2")</f>
        <v>5.368 €/m2</v>
      </c>
      <c r="C57" s="1" t="str">
        <f>IFERROR(__xludf.DUMMYFUNCTION("""COMPUTED_VALUE"""),"+ 0,5 %")</f>
        <v>+ 0,5 %</v>
      </c>
      <c r="D57" s="1" t="str">
        <f>IFERROR(__xludf.DUMMYFUNCTION("""COMPUTED_VALUE"""),"+ 1,3 %")</f>
        <v>+ 1,3 %</v>
      </c>
      <c r="E57" s="1" t="str">
        <f>IFERROR(__xludf.DUMMYFUNCTION("""COMPUTED_VALUE"""),"+ 1,9 %")</f>
        <v>+ 1,9 %</v>
      </c>
    </row>
    <row r="58">
      <c r="A58" s="2">
        <f>IFERROR(__xludf.DUMMYFUNCTION("""COMPUTED_VALUE"""),44470.0)</f>
        <v>44470</v>
      </c>
      <c r="B58" s="1" t="str">
        <f>IFERROR(__xludf.DUMMYFUNCTION("""COMPUTED_VALUE"""),"5.341 €/m2")</f>
        <v>5.341 €/m2</v>
      </c>
      <c r="C58" s="1" t="str">
        <f>IFERROR(__xludf.DUMMYFUNCTION("""COMPUTED_VALUE"""),"+ 0,4 %")</f>
        <v>+ 0,4 %</v>
      </c>
      <c r="D58" s="1" t="str">
        <f>IFERROR(__xludf.DUMMYFUNCTION("""COMPUTED_VALUE"""),"+ 0,9 %")</f>
        <v>+ 0,9 %</v>
      </c>
      <c r="E58" s="1" t="str">
        <f>IFERROR(__xludf.DUMMYFUNCTION("""COMPUTED_VALUE"""),"+ 0,6 %")</f>
        <v>+ 0,6 %</v>
      </c>
    </row>
    <row r="59">
      <c r="A59" s="2">
        <f>IFERROR(__xludf.DUMMYFUNCTION("""COMPUTED_VALUE"""),44440.0)</f>
        <v>44440</v>
      </c>
      <c r="B59" s="1" t="str">
        <f>IFERROR(__xludf.DUMMYFUNCTION("""COMPUTED_VALUE"""),"5.319 €/m2")</f>
        <v>5.319 €/m2</v>
      </c>
      <c r="C59" s="1" t="str">
        <f>IFERROR(__xludf.DUMMYFUNCTION("""COMPUTED_VALUE"""),"+ 0,4 %")</f>
        <v>+ 0,4 %</v>
      </c>
      <c r="D59" s="1" t="str">
        <f>IFERROR(__xludf.DUMMYFUNCTION("""COMPUTED_VALUE"""),"+ 0,8 %")</f>
        <v>+ 0,8 %</v>
      </c>
      <c r="E59" s="1" t="str">
        <f>IFERROR(__xludf.DUMMYFUNCTION("""COMPUTED_VALUE"""),"- 0,8 %")</f>
        <v>- 0,8 %</v>
      </c>
    </row>
    <row r="60">
      <c r="A60" s="2">
        <f>IFERROR(__xludf.DUMMYFUNCTION("""COMPUTED_VALUE"""),44409.0)</f>
        <v>44409</v>
      </c>
      <c r="B60" s="1" t="str">
        <f>IFERROR(__xludf.DUMMYFUNCTION("""COMPUTED_VALUE"""),"5.297 €/m2")</f>
        <v>5.297 €/m2</v>
      </c>
      <c r="C60" s="1" t="str">
        <f>IFERROR(__xludf.DUMMYFUNCTION("""COMPUTED_VALUE"""),"0,0 %")</f>
        <v>0,0 %</v>
      </c>
      <c r="D60" s="1" t="str">
        <f>IFERROR(__xludf.DUMMYFUNCTION("""COMPUTED_VALUE"""),"+ 1,9 %")</f>
        <v>+ 1,9 %</v>
      </c>
      <c r="E60" s="1" t="str">
        <f>IFERROR(__xludf.DUMMYFUNCTION("""COMPUTED_VALUE"""),"- 0,6 %")</f>
        <v>- 0,6 %</v>
      </c>
    </row>
    <row r="61">
      <c r="A61" s="2">
        <f>IFERROR(__xludf.DUMMYFUNCTION("""COMPUTED_VALUE"""),44378.0)</f>
        <v>44378</v>
      </c>
      <c r="B61" s="1" t="str">
        <f>IFERROR(__xludf.DUMMYFUNCTION("""COMPUTED_VALUE"""),"5.295 €/m2")</f>
        <v>5.295 €/m2</v>
      </c>
      <c r="C61" s="1" t="str">
        <f>IFERROR(__xludf.DUMMYFUNCTION("""COMPUTED_VALUE"""),"+ 0,4 %")</f>
        <v>+ 0,4 %</v>
      </c>
      <c r="D61" s="1" t="str">
        <f>IFERROR(__xludf.DUMMYFUNCTION("""COMPUTED_VALUE"""),"+ 1,7 %")</f>
        <v>+ 1,7 %</v>
      </c>
      <c r="E61" s="1" t="str">
        <f>IFERROR(__xludf.DUMMYFUNCTION("""COMPUTED_VALUE"""),"- 0,4 %")</f>
        <v>- 0,4 %</v>
      </c>
    </row>
    <row r="62">
      <c r="A62" s="2">
        <f>IFERROR(__xludf.DUMMYFUNCTION("""COMPUTED_VALUE"""),44348.0)</f>
        <v>44348</v>
      </c>
      <c r="B62" s="1" t="str">
        <f>IFERROR(__xludf.DUMMYFUNCTION("""COMPUTED_VALUE"""),"5.276 €/m2")</f>
        <v>5.276 €/m2</v>
      </c>
      <c r="C62" s="1" t="str">
        <f>IFERROR(__xludf.DUMMYFUNCTION("""COMPUTED_VALUE"""),"+ 1,5 %")</f>
        <v>+ 1,5 %</v>
      </c>
      <c r="D62" s="1" t="str">
        <f>IFERROR(__xludf.DUMMYFUNCTION("""COMPUTED_VALUE"""),"+ 1,0 %")</f>
        <v>+ 1,0 %</v>
      </c>
      <c r="E62" s="1" t="str">
        <f>IFERROR(__xludf.DUMMYFUNCTION("""COMPUTED_VALUE"""),"- 1,8 %")</f>
        <v>- 1,8 %</v>
      </c>
    </row>
    <row r="63">
      <c r="A63" s="2">
        <f>IFERROR(__xludf.DUMMYFUNCTION("""COMPUTED_VALUE"""),44317.0)</f>
        <v>44317</v>
      </c>
      <c r="B63" s="1" t="str">
        <f>IFERROR(__xludf.DUMMYFUNCTION("""COMPUTED_VALUE"""),"5.197 €/m2")</f>
        <v>5.197 €/m2</v>
      </c>
      <c r="C63" s="1" t="str">
        <f>IFERROR(__xludf.DUMMYFUNCTION("""COMPUTED_VALUE"""),"- 0,2 %")</f>
        <v>- 0,2 %</v>
      </c>
      <c r="D63" s="1" t="str">
        <f>IFERROR(__xludf.DUMMYFUNCTION("""COMPUTED_VALUE"""),"- 0,5 %")</f>
        <v>- 0,5 %</v>
      </c>
      <c r="E63" s="1" t="str">
        <f>IFERROR(__xludf.DUMMYFUNCTION("""COMPUTED_VALUE"""),"- 3,3 %")</f>
        <v>- 3,3 %</v>
      </c>
    </row>
    <row r="64">
      <c r="A64" s="2">
        <f>IFERROR(__xludf.DUMMYFUNCTION("""COMPUTED_VALUE"""),44287.0)</f>
        <v>44287</v>
      </c>
      <c r="B64" s="1" t="str">
        <f>IFERROR(__xludf.DUMMYFUNCTION("""COMPUTED_VALUE"""),"5.206 €/m2")</f>
        <v>5.206 €/m2</v>
      </c>
      <c r="C64" s="1" t="str">
        <f>IFERROR(__xludf.DUMMYFUNCTION("""COMPUTED_VALUE"""),"- 0,3 %")</f>
        <v>- 0,3 %</v>
      </c>
      <c r="D64" s="1" t="str">
        <f>IFERROR(__xludf.DUMMYFUNCTION("""COMPUTED_VALUE"""),"- 0,2 %")</f>
        <v>- 0,2 %</v>
      </c>
      <c r="E64" s="1" t="str">
        <f>IFERROR(__xludf.DUMMYFUNCTION("""COMPUTED_VALUE"""),"- 2,4 %")</f>
        <v>- 2,4 %</v>
      </c>
    </row>
    <row r="65">
      <c r="A65" s="2">
        <f>IFERROR(__xludf.DUMMYFUNCTION("""COMPUTED_VALUE"""),44256.0)</f>
        <v>44256</v>
      </c>
      <c r="B65" s="1" t="str">
        <f>IFERROR(__xludf.DUMMYFUNCTION("""COMPUTED_VALUE"""),"5.222 €/m2")</f>
        <v>5.222 €/m2</v>
      </c>
      <c r="C65" s="1" t="str">
        <f>IFERROR(__xludf.DUMMYFUNCTION("""COMPUTED_VALUE"""),"0,0 %")</f>
        <v>0,0 %</v>
      </c>
      <c r="D65" s="1" t="str">
        <f>IFERROR(__xludf.DUMMYFUNCTION("""COMPUTED_VALUE"""),"- 0,5 %")</f>
        <v>- 0,5 %</v>
      </c>
      <c r="E65" s="1" t="str">
        <f>IFERROR(__xludf.DUMMYFUNCTION("""COMPUTED_VALUE"""),"- 1,8 %")</f>
        <v>- 1,8 %</v>
      </c>
    </row>
    <row r="66">
      <c r="A66" s="2">
        <f>IFERROR(__xludf.DUMMYFUNCTION("""COMPUTED_VALUE"""),44228.0)</f>
        <v>44228</v>
      </c>
      <c r="B66" s="1" t="str">
        <f>IFERROR(__xludf.DUMMYFUNCTION("""COMPUTED_VALUE"""),"5.222 €/m2")</f>
        <v>5.222 €/m2</v>
      </c>
      <c r="C66" s="1" t="str">
        <f>IFERROR(__xludf.DUMMYFUNCTION("""COMPUTED_VALUE"""),"+ 0,1 %")</f>
        <v>+ 0,1 %</v>
      </c>
      <c r="D66" s="1" t="str">
        <f>IFERROR(__xludf.DUMMYFUNCTION("""COMPUTED_VALUE"""),"- 0,9 %")</f>
        <v>- 0,9 %</v>
      </c>
      <c r="E66" s="1" t="str">
        <f>IFERROR(__xludf.DUMMYFUNCTION("""COMPUTED_VALUE"""),"- 1,2 %")</f>
        <v>- 1,2 %</v>
      </c>
    </row>
    <row r="67">
      <c r="A67" s="2">
        <f>IFERROR(__xludf.DUMMYFUNCTION("""COMPUTED_VALUE"""),44197.0)</f>
        <v>44197</v>
      </c>
      <c r="B67" s="1" t="str">
        <f>IFERROR(__xludf.DUMMYFUNCTION("""COMPUTED_VALUE"""),"5.215 €/m2")</f>
        <v>5.215 €/m2</v>
      </c>
      <c r="C67" s="1" t="str">
        <f>IFERROR(__xludf.DUMMYFUNCTION("""COMPUTED_VALUE"""),"- 0,6 %")</f>
        <v>- 0,6 %</v>
      </c>
      <c r="D67" s="1" t="str">
        <f>IFERROR(__xludf.DUMMYFUNCTION("""COMPUTED_VALUE"""),"- 1,8 %")</f>
        <v>- 1,8 %</v>
      </c>
      <c r="E67" s="1" t="str">
        <f>IFERROR(__xludf.DUMMYFUNCTION("""COMPUTED_VALUE"""),"- 0,5 %")</f>
        <v>- 0,5 %</v>
      </c>
    </row>
    <row r="68">
      <c r="A68" s="2">
        <f>IFERROR(__xludf.DUMMYFUNCTION("""COMPUTED_VALUE"""),44166.0)</f>
        <v>44166</v>
      </c>
      <c r="B68" s="1" t="str">
        <f>IFERROR(__xludf.DUMMYFUNCTION("""COMPUTED_VALUE"""),"5.247 €/m2")</f>
        <v>5.247 €/m2</v>
      </c>
      <c r="C68" s="1" t="str">
        <f>IFERROR(__xludf.DUMMYFUNCTION("""COMPUTED_VALUE"""),"- 0,4 %")</f>
        <v>- 0,4 %</v>
      </c>
      <c r="D68" s="1" t="str">
        <f>IFERROR(__xludf.DUMMYFUNCTION("""COMPUTED_VALUE"""),"- 2,1 %")</f>
        <v>- 2,1 %</v>
      </c>
      <c r="E68" s="1" t="str">
        <f>IFERROR(__xludf.DUMMYFUNCTION("""COMPUTED_VALUE"""),"0,0 %")</f>
        <v>0,0 %</v>
      </c>
    </row>
    <row r="69">
      <c r="A69" s="2">
        <f>IFERROR(__xludf.DUMMYFUNCTION("""COMPUTED_VALUE"""),44136.0)</f>
        <v>44136</v>
      </c>
      <c r="B69" s="1" t="str">
        <f>IFERROR(__xludf.DUMMYFUNCTION("""COMPUTED_VALUE"""),"5.270 €/m2")</f>
        <v>5.270 €/m2</v>
      </c>
      <c r="C69" s="1" t="str">
        <f>IFERROR(__xludf.DUMMYFUNCTION("""COMPUTED_VALUE"""),"- 0,7 %")</f>
        <v>- 0,7 %</v>
      </c>
      <c r="D69" s="1" t="str">
        <f>IFERROR(__xludf.DUMMYFUNCTION("""COMPUTED_VALUE"""),"- 1,1 %")</f>
        <v>- 1,1 %</v>
      </c>
      <c r="E69" s="1" t="str">
        <f>IFERROR(__xludf.DUMMYFUNCTION("""COMPUTED_VALUE"""),"+ 0,2 %")</f>
        <v>+ 0,2 %</v>
      </c>
    </row>
    <row r="70">
      <c r="A70" s="2">
        <f>IFERROR(__xludf.DUMMYFUNCTION("""COMPUTED_VALUE"""),44105.0)</f>
        <v>44105</v>
      </c>
      <c r="B70" s="1" t="str">
        <f>IFERROR(__xludf.DUMMYFUNCTION("""COMPUTED_VALUE"""),"5.309 €/m2")</f>
        <v>5.309 €/m2</v>
      </c>
      <c r="C70" s="1" t="str">
        <f>IFERROR(__xludf.DUMMYFUNCTION("""COMPUTED_VALUE"""),"- 0,9 %")</f>
        <v>- 0,9 %</v>
      </c>
      <c r="D70" s="1" t="str">
        <f>IFERROR(__xludf.DUMMYFUNCTION("""COMPUTED_VALUE"""),"- 0,2 %")</f>
        <v>- 0,2 %</v>
      </c>
      <c r="E70" s="1" t="str">
        <f>IFERROR(__xludf.DUMMYFUNCTION("""COMPUTED_VALUE"""),"+ 0,6 %")</f>
        <v>+ 0,6 %</v>
      </c>
    </row>
    <row r="71">
      <c r="A71" s="2">
        <f>IFERROR(__xludf.DUMMYFUNCTION("""COMPUTED_VALUE"""),44075.0)</f>
        <v>44075</v>
      </c>
      <c r="B71" s="1" t="str">
        <f>IFERROR(__xludf.DUMMYFUNCTION("""COMPUTED_VALUE"""),"5.359 €/m2")</f>
        <v>5.359 €/m2</v>
      </c>
      <c r="C71" s="1" t="str">
        <f>IFERROR(__xludf.DUMMYFUNCTION("""COMPUTED_VALUE"""),"+ 0,6 %")</f>
        <v>+ 0,6 %</v>
      </c>
      <c r="D71" s="1" t="str">
        <f>IFERROR(__xludf.DUMMYFUNCTION("""COMPUTED_VALUE"""),"- 0,3 %")</f>
        <v>- 0,3 %</v>
      </c>
      <c r="E71" s="1" t="str">
        <f>IFERROR(__xludf.DUMMYFUNCTION("""COMPUTED_VALUE"""),"+ 1,8 %")</f>
        <v>+ 1,8 %</v>
      </c>
    </row>
    <row r="72">
      <c r="A72" s="2">
        <f>IFERROR(__xludf.DUMMYFUNCTION("""COMPUTED_VALUE"""),44044.0)</f>
        <v>44044</v>
      </c>
      <c r="B72" s="1" t="str">
        <f>IFERROR(__xludf.DUMMYFUNCTION("""COMPUTED_VALUE"""),"5.329 €/m2")</f>
        <v>5.329 €/m2</v>
      </c>
      <c r="C72" s="1" t="str">
        <f>IFERROR(__xludf.DUMMYFUNCTION("""COMPUTED_VALUE"""),"+ 0,2 %")</f>
        <v>+ 0,2 %</v>
      </c>
      <c r="D72" s="1" t="str">
        <f>IFERROR(__xludf.DUMMYFUNCTION("""COMPUTED_VALUE"""),"- 0,8 %")</f>
        <v>- 0,8 %</v>
      </c>
      <c r="E72" s="1" t="str">
        <f>IFERROR(__xludf.DUMMYFUNCTION("""COMPUTED_VALUE"""),"+ 1,1 %")</f>
        <v>+ 1,1 %</v>
      </c>
    </row>
    <row r="73">
      <c r="A73" s="2">
        <f>IFERROR(__xludf.DUMMYFUNCTION("""COMPUTED_VALUE"""),44013.0)</f>
        <v>44013</v>
      </c>
      <c r="B73" s="1" t="str">
        <f>IFERROR(__xludf.DUMMYFUNCTION("""COMPUTED_VALUE"""),"5.319 €/m2")</f>
        <v>5.319 €/m2</v>
      </c>
      <c r="C73" s="1" t="str">
        <f>IFERROR(__xludf.DUMMYFUNCTION("""COMPUTED_VALUE"""),"- 1,0 %")</f>
        <v>- 1,0 %</v>
      </c>
      <c r="D73" s="1" t="str">
        <f>IFERROR(__xludf.DUMMYFUNCTION("""COMPUTED_VALUE"""),"- 0,3 %")</f>
        <v>- 0,3 %</v>
      </c>
      <c r="E73" s="1" t="str">
        <f>IFERROR(__xludf.DUMMYFUNCTION("""COMPUTED_VALUE"""),"+ 1,0 %")</f>
        <v>+ 1,0 %</v>
      </c>
    </row>
    <row r="74">
      <c r="A74" s="2">
        <f>IFERROR(__xludf.DUMMYFUNCTION("""COMPUTED_VALUE"""),43983.0)</f>
        <v>43983</v>
      </c>
      <c r="B74" s="1" t="str">
        <f>IFERROR(__xludf.DUMMYFUNCTION("""COMPUTED_VALUE"""),"5.374 €/m2")</f>
        <v>5.374 €/m2</v>
      </c>
      <c r="C74" s="1" t="str">
        <f>IFERROR(__xludf.DUMMYFUNCTION("""COMPUTED_VALUE"""),"0,0 %")</f>
        <v>0,0 %</v>
      </c>
      <c r="D74" s="1" t="str">
        <f>IFERROR(__xludf.DUMMYFUNCTION("""COMPUTED_VALUE"""),"+ 1,1 %")</f>
        <v>+ 1,1 %</v>
      </c>
      <c r="E74" s="1" t="str">
        <f>IFERROR(__xludf.DUMMYFUNCTION("""COMPUTED_VALUE"""),"+ 2,2 %")</f>
        <v>+ 2,2 %</v>
      </c>
    </row>
    <row r="75">
      <c r="A75" s="2">
        <f>IFERROR(__xludf.DUMMYFUNCTION("""COMPUTED_VALUE"""),43952.0)</f>
        <v>43952</v>
      </c>
      <c r="B75" s="1" t="str">
        <f>IFERROR(__xludf.DUMMYFUNCTION("""COMPUTED_VALUE"""),"5.374 €/m2")</f>
        <v>5.374 €/m2</v>
      </c>
      <c r="C75" s="1" t="str">
        <f>IFERROR(__xludf.DUMMYFUNCTION("""COMPUTED_VALUE"""),"+ 0,7 %")</f>
        <v>+ 0,7 %</v>
      </c>
      <c r="D75" s="1" t="str">
        <f>IFERROR(__xludf.DUMMYFUNCTION("""COMPUTED_VALUE"""),"+ 1,7 %")</f>
        <v>+ 1,7 %</v>
      </c>
      <c r="E75" s="1" t="str">
        <f>IFERROR(__xludf.DUMMYFUNCTION("""COMPUTED_VALUE"""),"+ 2,0 %")</f>
        <v>+ 2,0 %</v>
      </c>
    </row>
    <row r="76">
      <c r="A76" s="2">
        <f>IFERROR(__xludf.DUMMYFUNCTION("""COMPUTED_VALUE"""),43922.0)</f>
        <v>43922</v>
      </c>
      <c r="B76" s="1" t="str">
        <f>IFERROR(__xludf.DUMMYFUNCTION("""COMPUTED_VALUE"""),"5.335 €/m2")</f>
        <v>5.335 €/m2</v>
      </c>
      <c r="C76" s="1" t="str">
        <f>IFERROR(__xludf.DUMMYFUNCTION("""COMPUTED_VALUE"""),"+ 0,4 %")</f>
        <v>+ 0,4 %</v>
      </c>
      <c r="D76" s="1" t="str">
        <f>IFERROR(__xludf.DUMMYFUNCTION("""COMPUTED_VALUE"""),"+ 1,8 %")</f>
        <v>+ 1,8 %</v>
      </c>
      <c r="E76" s="1" t="str">
        <f>IFERROR(__xludf.DUMMYFUNCTION("""COMPUTED_VALUE"""),"+ 1,2 %")</f>
        <v>+ 1,2 %</v>
      </c>
    </row>
    <row r="77">
      <c r="A77" s="2">
        <f>IFERROR(__xludf.DUMMYFUNCTION("""COMPUTED_VALUE"""),43891.0)</f>
        <v>43891</v>
      </c>
      <c r="B77" s="1" t="str">
        <f>IFERROR(__xludf.DUMMYFUNCTION("""COMPUTED_VALUE"""),"5.316 €/m2")</f>
        <v>5.316 €/m2</v>
      </c>
      <c r="C77" s="1" t="str">
        <f>IFERROR(__xludf.DUMMYFUNCTION("""COMPUTED_VALUE"""),"+ 0,6 %")</f>
        <v>+ 0,6 %</v>
      </c>
      <c r="D77" s="1" t="str">
        <f>IFERROR(__xludf.DUMMYFUNCTION("""COMPUTED_VALUE"""),"+ 1,3 %")</f>
        <v>+ 1,3 %</v>
      </c>
      <c r="E77" s="1" t="str">
        <f>IFERROR(__xludf.DUMMYFUNCTION("""COMPUTED_VALUE"""),"+ 1,3 %")</f>
        <v>+ 1,3 %</v>
      </c>
    </row>
    <row r="78">
      <c r="A78" s="2">
        <f>IFERROR(__xludf.DUMMYFUNCTION("""COMPUTED_VALUE"""),43862.0)</f>
        <v>43862</v>
      </c>
      <c r="B78" s="1" t="str">
        <f>IFERROR(__xludf.DUMMYFUNCTION("""COMPUTED_VALUE"""),"5.286 €/m2")</f>
        <v>5.286 €/m2</v>
      </c>
      <c r="C78" s="1" t="str">
        <f>IFERROR(__xludf.DUMMYFUNCTION("""COMPUTED_VALUE"""),"+ 0,8 %")</f>
        <v>+ 0,8 %</v>
      </c>
      <c r="D78" s="1" t="str">
        <f>IFERROR(__xludf.DUMMYFUNCTION("""COMPUTED_VALUE"""),"+ 0,5 %")</f>
        <v>+ 0,5 %</v>
      </c>
      <c r="E78" s="1" t="str">
        <f>IFERROR(__xludf.DUMMYFUNCTION("""COMPUTED_VALUE"""),"+ 0,5 %")</f>
        <v>+ 0,5 %</v>
      </c>
    </row>
    <row r="79">
      <c r="A79" s="2">
        <f>IFERROR(__xludf.DUMMYFUNCTION("""COMPUTED_VALUE"""),43831.0)</f>
        <v>43831</v>
      </c>
      <c r="B79" s="1" t="str">
        <f>IFERROR(__xludf.DUMMYFUNCTION("""COMPUTED_VALUE"""),"5.242 €/m2")</f>
        <v>5.242 €/m2</v>
      </c>
      <c r="C79" s="1" t="str">
        <f>IFERROR(__xludf.DUMMYFUNCTION("""COMPUTED_VALUE"""),"- 0,1 %")</f>
        <v>- 0,1 %</v>
      </c>
      <c r="D79" s="1" t="str">
        <f>IFERROR(__xludf.DUMMYFUNCTION("""COMPUTED_VALUE"""),"- 0,7 %")</f>
        <v>- 0,7 %</v>
      </c>
      <c r="E79" s="1" t="str">
        <f>IFERROR(__xludf.DUMMYFUNCTION("""COMPUTED_VALUE"""),"- 0,7 %")</f>
        <v>- 0,7 %</v>
      </c>
    </row>
    <row r="80">
      <c r="A80" s="2">
        <f>IFERROR(__xludf.DUMMYFUNCTION("""COMPUTED_VALUE"""),43800.0)</f>
        <v>43800</v>
      </c>
      <c r="B80" s="1" t="str">
        <f>IFERROR(__xludf.DUMMYFUNCTION("""COMPUTED_VALUE"""),"5.248 €/m2")</f>
        <v>5.248 €/m2</v>
      </c>
      <c r="C80" s="1" t="str">
        <f>IFERROR(__xludf.DUMMYFUNCTION("""COMPUTED_VALUE"""),"- 0,3 %")</f>
        <v>- 0,3 %</v>
      </c>
      <c r="D80" s="1" t="str">
        <f>IFERROR(__xludf.DUMMYFUNCTION("""COMPUTED_VALUE"""),"- 0,3 %")</f>
        <v>- 0,3 %</v>
      </c>
      <c r="E80" s="1" t="str">
        <f>IFERROR(__xludf.DUMMYFUNCTION("""COMPUTED_VALUE"""),"- 1,1 %")</f>
        <v>- 1,1 %</v>
      </c>
    </row>
    <row r="81">
      <c r="A81" s="2">
        <f>IFERROR(__xludf.DUMMYFUNCTION("""COMPUTED_VALUE"""),43770.0)</f>
        <v>43770</v>
      </c>
      <c r="B81" s="1" t="str">
        <f>IFERROR(__xludf.DUMMYFUNCTION("""COMPUTED_VALUE"""),"5.261 €/m2")</f>
        <v>5.261 €/m2</v>
      </c>
      <c r="C81" s="1" t="str">
        <f>IFERROR(__xludf.DUMMYFUNCTION("""COMPUTED_VALUE"""),"- 0,3 %")</f>
        <v>- 0,3 %</v>
      </c>
      <c r="D81" s="1" t="str">
        <f>IFERROR(__xludf.DUMMYFUNCTION("""COMPUTED_VALUE"""),"- 0,2 %")</f>
        <v>- 0,2 %</v>
      </c>
      <c r="E81" s="1" t="str">
        <f>IFERROR(__xludf.DUMMYFUNCTION("""COMPUTED_VALUE"""),"- 0,6 %")</f>
        <v>- 0,6 %</v>
      </c>
    </row>
    <row r="82">
      <c r="A82" s="2">
        <f>IFERROR(__xludf.DUMMYFUNCTION("""COMPUTED_VALUE"""),43739.0)</f>
        <v>43739</v>
      </c>
      <c r="B82" s="1" t="str">
        <f>IFERROR(__xludf.DUMMYFUNCTION("""COMPUTED_VALUE"""),"5.279 €/m2")</f>
        <v>5.279 €/m2</v>
      </c>
      <c r="C82" s="1" t="str">
        <f>IFERROR(__xludf.DUMMYFUNCTION("""COMPUTED_VALUE"""),"+ 0,3 %")</f>
        <v>+ 0,3 %</v>
      </c>
      <c r="D82" s="1" t="str">
        <f>IFERROR(__xludf.DUMMYFUNCTION("""COMPUTED_VALUE"""),"+ 0,2 %")</f>
        <v>+ 0,2 %</v>
      </c>
      <c r="E82" s="1" t="str">
        <f>IFERROR(__xludf.DUMMYFUNCTION("""COMPUTED_VALUE"""),"- 0,2 %")</f>
        <v>- 0,2 %</v>
      </c>
    </row>
    <row r="83">
      <c r="A83" s="2">
        <f>IFERROR(__xludf.DUMMYFUNCTION("""COMPUTED_VALUE"""),43709.0)</f>
        <v>43709</v>
      </c>
      <c r="B83" s="1" t="str">
        <f>IFERROR(__xludf.DUMMYFUNCTION("""COMPUTED_VALUE"""),"5.265 €/m2")</f>
        <v>5.265 €/m2</v>
      </c>
      <c r="C83" s="1" t="str">
        <f>IFERROR(__xludf.DUMMYFUNCTION("""COMPUTED_VALUE"""),"- 0,1 %")</f>
        <v>- 0,1 %</v>
      </c>
      <c r="D83" s="1" t="str">
        <f>IFERROR(__xludf.DUMMYFUNCTION("""COMPUTED_VALUE"""),"+ 0,1 %")</f>
        <v>+ 0,1 %</v>
      </c>
      <c r="E83" s="1" t="str">
        <f>IFERROR(__xludf.DUMMYFUNCTION("""COMPUTED_VALUE"""),"+ 0,3 %")</f>
        <v>+ 0,3 %</v>
      </c>
    </row>
    <row r="84">
      <c r="A84" s="2">
        <f>IFERROR(__xludf.DUMMYFUNCTION("""COMPUTED_VALUE"""),43678.0)</f>
        <v>43678</v>
      </c>
      <c r="B84" s="1" t="str">
        <f>IFERROR(__xludf.DUMMYFUNCTION("""COMPUTED_VALUE"""),"5.270 €/m2")</f>
        <v>5.270 €/m2</v>
      </c>
      <c r="C84" s="1" t="str">
        <f>IFERROR(__xludf.DUMMYFUNCTION("""COMPUTED_VALUE"""),"0,0 %")</f>
        <v>0,0 %</v>
      </c>
      <c r="D84" s="1" t="str">
        <f>IFERROR(__xludf.DUMMYFUNCTION("""COMPUTED_VALUE"""),"0,0 %")</f>
        <v>0,0 %</v>
      </c>
      <c r="E84" s="1" t="str">
        <f>IFERROR(__xludf.DUMMYFUNCTION("""COMPUTED_VALUE"""),"+ 0,8 %")</f>
        <v>+ 0,8 %</v>
      </c>
    </row>
    <row r="85">
      <c r="A85" s="2">
        <f>IFERROR(__xludf.DUMMYFUNCTION("""COMPUTED_VALUE"""),43647.0)</f>
        <v>43647</v>
      </c>
      <c r="B85" s="1" t="str">
        <f>IFERROR(__xludf.DUMMYFUNCTION("""COMPUTED_VALUE"""),"5.269 €/m2")</f>
        <v>5.269 €/m2</v>
      </c>
      <c r="C85" s="1" t="str">
        <f>IFERROR(__xludf.DUMMYFUNCTION("""COMPUTED_VALUE"""),"+ 0,2 %")</f>
        <v>+ 0,2 %</v>
      </c>
      <c r="D85" s="1" t="str">
        <f>IFERROR(__xludf.DUMMYFUNCTION("""COMPUTED_VALUE"""),"- 0,1 %")</f>
        <v>- 0,1 %</v>
      </c>
      <c r="E85" s="1" t="str">
        <f>IFERROR(__xludf.DUMMYFUNCTION("""COMPUTED_VALUE"""),"+ 1,8 %")</f>
        <v>+ 1,8 %</v>
      </c>
    </row>
    <row r="86">
      <c r="A86" s="2">
        <f>IFERROR(__xludf.DUMMYFUNCTION("""COMPUTED_VALUE"""),43617.0)</f>
        <v>43617</v>
      </c>
      <c r="B86" s="1" t="str">
        <f>IFERROR(__xludf.DUMMYFUNCTION("""COMPUTED_VALUE"""),"5.257 €/m2")</f>
        <v>5.257 €/m2</v>
      </c>
      <c r="C86" s="1" t="str">
        <f>IFERROR(__xludf.DUMMYFUNCTION("""COMPUTED_VALUE"""),"- 0,2 %")</f>
        <v>- 0,2 %</v>
      </c>
      <c r="D86" s="1" t="str">
        <f>IFERROR(__xludf.DUMMYFUNCTION("""COMPUTED_VALUE"""),"+ 0,2 %")</f>
        <v>+ 0,2 %</v>
      </c>
      <c r="E86" s="1" t="str">
        <f>IFERROR(__xludf.DUMMYFUNCTION("""COMPUTED_VALUE"""),"+ 2,4 %")</f>
        <v>+ 2,4 %</v>
      </c>
    </row>
    <row r="87">
      <c r="A87" s="2">
        <f>IFERROR(__xludf.DUMMYFUNCTION("""COMPUTED_VALUE"""),43586.0)</f>
        <v>43586</v>
      </c>
      <c r="B87" s="1" t="str">
        <f>IFERROR(__xludf.DUMMYFUNCTION("""COMPUTED_VALUE"""),"5.268 €/m2")</f>
        <v>5.268 €/m2</v>
      </c>
      <c r="C87" s="1" t="str">
        <f>IFERROR(__xludf.DUMMYFUNCTION("""COMPUTED_VALUE"""),"- 0,1 %")</f>
        <v>- 0,1 %</v>
      </c>
      <c r="D87" s="1" t="str">
        <f>IFERROR(__xludf.DUMMYFUNCTION("""COMPUTED_VALUE"""),"+ 0,1 %")</f>
        <v>+ 0,1 %</v>
      </c>
      <c r="E87" s="1" t="str">
        <f>IFERROR(__xludf.DUMMYFUNCTION("""COMPUTED_VALUE"""),"+ 4,3 %")</f>
        <v>+ 4,3 %</v>
      </c>
    </row>
    <row r="88">
      <c r="A88" s="2">
        <f>IFERROR(__xludf.DUMMYFUNCTION("""COMPUTED_VALUE"""),43556.0)</f>
        <v>43556</v>
      </c>
      <c r="B88" s="1" t="str">
        <f>IFERROR(__xludf.DUMMYFUNCTION("""COMPUTED_VALUE"""),"5.273 €/m2")</f>
        <v>5.273 €/m2</v>
      </c>
      <c r="C88" s="1" t="str">
        <f>IFERROR(__xludf.DUMMYFUNCTION("""COMPUTED_VALUE"""),"+ 0,5 %")</f>
        <v>+ 0,5 %</v>
      </c>
      <c r="D88" s="1" t="str">
        <f>IFERROR(__xludf.DUMMYFUNCTION("""COMPUTED_VALUE"""),"- 0,1 %")</f>
        <v>- 0,1 %</v>
      </c>
      <c r="E88" s="1" t="str">
        <f>IFERROR(__xludf.DUMMYFUNCTION("""COMPUTED_VALUE"""),"+ 5,7 %")</f>
        <v>+ 5,7 %</v>
      </c>
    </row>
    <row r="89">
      <c r="A89" s="2">
        <f>IFERROR(__xludf.DUMMYFUNCTION("""COMPUTED_VALUE"""),43525.0)</f>
        <v>43525</v>
      </c>
      <c r="B89" s="1" t="str">
        <f>IFERROR(__xludf.DUMMYFUNCTION("""COMPUTED_VALUE"""),"5.248 €/m2")</f>
        <v>5.248 €/m2</v>
      </c>
      <c r="C89" s="1" t="str">
        <f>IFERROR(__xludf.DUMMYFUNCTION("""COMPUTED_VALUE"""),"- 0,3 %")</f>
        <v>- 0,3 %</v>
      </c>
      <c r="D89" s="1" t="str">
        <f>IFERROR(__xludf.DUMMYFUNCTION("""COMPUTED_VALUE"""),"- 1,1 %")</f>
        <v>- 1,1 %</v>
      </c>
      <c r="E89" s="1" t="str">
        <f>IFERROR(__xludf.DUMMYFUNCTION("""COMPUTED_VALUE"""),"+ 6,7 %")</f>
        <v>+ 6,7 %</v>
      </c>
    </row>
    <row r="90">
      <c r="A90" s="2">
        <f>IFERROR(__xludf.DUMMYFUNCTION("""COMPUTED_VALUE"""),43497.0)</f>
        <v>43497</v>
      </c>
      <c r="B90" s="1" t="str">
        <f>IFERROR(__xludf.DUMMYFUNCTION("""COMPUTED_VALUE"""),"5.262 €/m2")</f>
        <v>5.262 €/m2</v>
      </c>
      <c r="C90" s="1" t="str">
        <f>IFERROR(__xludf.DUMMYFUNCTION("""COMPUTED_VALUE"""),"- 0,3 %")</f>
        <v>- 0,3 %</v>
      </c>
      <c r="D90" s="1" t="str">
        <f>IFERROR(__xludf.DUMMYFUNCTION("""COMPUTED_VALUE"""),"- 0,6 %")</f>
        <v>- 0,6 %</v>
      </c>
      <c r="E90" s="1" t="str">
        <f>IFERROR(__xludf.DUMMYFUNCTION("""COMPUTED_VALUE"""),"+ 8,1 %")</f>
        <v>+ 8,1 %</v>
      </c>
    </row>
    <row r="91">
      <c r="A91" s="2">
        <f>IFERROR(__xludf.DUMMYFUNCTION("""COMPUTED_VALUE"""),43466.0)</f>
        <v>43466</v>
      </c>
      <c r="B91" s="1" t="str">
        <f>IFERROR(__xludf.DUMMYFUNCTION("""COMPUTED_VALUE"""),"5.279 €/m2")</f>
        <v>5.279 €/m2</v>
      </c>
      <c r="C91" s="1" t="str">
        <f>IFERROR(__xludf.DUMMYFUNCTION("""COMPUTED_VALUE"""),"- 0,5 %")</f>
        <v>- 0,5 %</v>
      </c>
      <c r="D91" s="1" t="str">
        <f>IFERROR(__xludf.DUMMYFUNCTION("""COMPUTED_VALUE"""),"- 0,2 %")</f>
        <v>- 0,2 %</v>
      </c>
      <c r="E91" s="1" t="str">
        <f>IFERROR(__xludf.DUMMYFUNCTION("""COMPUTED_VALUE"""),"+ 9,0 %")</f>
        <v>+ 9,0 %</v>
      </c>
    </row>
    <row r="92">
      <c r="A92" s="2">
        <f>IFERROR(__xludf.DUMMYFUNCTION("""COMPUTED_VALUE"""),43435.0)</f>
        <v>43435</v>
      </c>
      <c r="B92" s="1" t="str">
        <f>IFERROR(__xludf.DUMMYFUNCTION("""COMPUTED_VALUE"""),"5.304 €/m2")</f>
        <v>5.304 €/m2</v>
      </c>
      <c r="C92" s="1" t="str">
        <f>IFERROR(__xludf.DUMMYFUNCTION("""COMPUTED_VALUE"""),"+ 0,2 %")</f>
        <v>+ 0,2 %</v>
      </c>
      <c r="D92" s="1" t="str">
        <f>IFERROR(__xludf.DUMMYFUNCTION("""COMPUTED_VALUE"""),"+ 1,1 %")</f>
        <v>+ 1,1 %</v>
      </c>
      <c r="E92" s="1" t="str">
        <f>IFERROR(__xludf.DUMMYFUNCTION("""COMPUTED_VALUE"""),"+ 11,3 %")</f>
        <v>+ 11,3 %</v>
      </c>
    </row>
    <row r="93">
      <c r="A93" s="2">
        <f>IFERROR(__xludf.DUMMYFUNCTION("""COMPUTED_VALUE"""),43405.0)</f>
        <v>43405</v>
      </c>
      <c r="B93" s="1" t="str">
        <f>IFERROR(__xludf.DUMMYFUNCTION("""COMPUTED_VALUE"""),"5.294 €/m2")</f>
        <v>5.294 €/m2</v>
      </c>
      <c r="C93" s="1" t="str">
        <f>IFERROR(__xludf.DUMMYFUNCTION("""COMPUTED_VALUE"""),"+ 0,1 %")</f>
        <v>+ 0,1 %</v>
      </c>
      <c r="D93" s="1" t="str">
        <f>IFERROR(__xludf.DUMMYFUNCTION("""COMPUTED_VALUE"""),"+ 1,3 %")</f>
        <v>+ 1,3 %</v>
      </c>
      <c r="E93" s="1" t="str">
        <f>IFERROR(__xludf.DUMMYFUNCTION("""COMPUTED_VALUE"""),"+ 12,7 %")</f>
        <v>+ 12,7 %</v>
      </c>
    </row>
    <row r="94">
      <c r="A94" s="2">
        <f>IFERROR(__xludf.DUMMYFUNCTION("""COMPUTED_VALUE"""),43374.0)</f>
        <v>43374</v>
      </c>
      <c r="B94" s="1" t="str">
        <f>IFERROR(__xludf.DUMMYFUNCTION("""COMPUTED_VALUE"""),"5.288 €/m2")</f>
        <v>5.288 €/m2</v>
      </c>
      <c r="C94" s="1" t="str">
        <f>IFERROR(__xludf.DUMMYFUNCTION("""COMPUTED_VALUE"""),"+ 0,8 %")</f>
        <v>+ 0,8 %</v>
      </c>
      <c r="D94" s="1" t="str">
        <f>IFERROR(__xludf.DUMMYFUNCTION("""COMPUTED_VALUE"""),"+ 2,1 %")</f>
        <v>+ 2,1 %</v>
      </c>
      <c r="E94" s="1" t="str">
        <f>IFERROR(__xludf.DUMMYFUNCTION("""COMPUTED_VALUE"""),"+ 14,6 %")</f>
        <v>+ 14,6 %</v>
      </c>
    </row>
    <row r="95">
      <c r="A95" s="2">
        <f>IFERROR(__xludf.DUMMYFUNCTION("""COMPUTED_VALUE"""),43344.0)</f>
        <v>43344</v>
      </c>
      <c r="B95" s="1" t="str">
        <f>IFERROR(__xludf.DUMMYFUNCTION("""COMPUTED_VALUE"""),"5.247 €/m2")</f>
        <v>5.247 €/m2</v>
      </c>
      <c r="C95" s="1" t="str">
        <f>IFERROR(__xludf.DUMMYFUNCTION("""COMPUTED_VALUE"""),"+ 0,4 %")</f>
        <v>+ 0,4 %</v>
      </c>
      <c r="D95" s="1" t="str">
        <f>IFERROR(__xludf.DUMMYFUNCTION("""COMPUTED_VALUE"""),"+ 2,2 %")</f>
        <v>+ 2,2 %</v>
      </c>
      <c r="E95" s="1" t="str">
        <f>IFERROR(__xludf.DUMMYFUNCTION("""COMPUTED_VALUE"""),"+ 16,2 %")</f>
        <v>+ 16,2 %</v>
      </c>
    </row>
    <row r="96">
      <c r="A96" s="2">
        <f>IFERROR(__xludf.DUMMYFUNCTION("""COMPUTED_VALUE"""),43313.0)</f>
        <v>43313</v>
      </c>
      <c r="B96" s="1" t="str">
        <f>IFERROR(__xludf.DUMMYFUNCTION("""COMPUTED_VALUE"""),"5.226 €/m2")</f>
        <v>5.226 €/m2</v>
      </c>
      <c r="C96" s="1" t="str">
        <f>IFERROR(__xludf.DUMMYFUNCTION("""COMPUTED_VALUE"""),"+ 0,9 %")</f>
        <v>+ 0,9 %</v>
      </c>
      <c r="D96" s="1" t="str">
        <f>IFERROR(__xludf.DUMMYFUNCTION("""COMPUTED_VALUE"""),"+ 3,5 %")</f>
        <v>+ 3,5 %</v>
      </c>
      <c r="E96" s="1" t="str">
        <f>IFERROR(__xludf.DUMMYFUNCTION("""COMPUTED_VALUE"""),"+ 16,5 %")</f>
        <v>+ 16,5 %</v>
      </c>
    </row>
    <row r="97">
      <c r="A97" s="2">
        <f>IFERROR(__xludf.DUMMYFUNCTION("""COMPUTED_VALUE"""),43282.0)</f>
        <v>43282</v>
      </c>
      <c r="B97" s="1" t="str">
        <f>IFERROR(__xludf.DUMMYFUNCTION("""COMPUTED_VALUE"""),"5.177 €/m2")</f>
        <v>5.177 €/m2</v>
      </c>
      <c r="C97" s="1" t="str">
        <f>IFERROR(__xludf.DUMMYFUNCTION("""COMPUTED_VALUE"""),"+ 0,9 %")</f>
        <v>+ 0,9 %</v>
      </c>
      <c r="D97" s="1" t="str">
        <f>IFERROR(__xludf.DUMMYFUNCTION("""COMPUTED_VALUE"""),"+ 3,8 %")</f>
        <v>+ 3,8 %</v>
      </c>
      <c r="E97" s="1" t="str">
        <f>IFERROR(__xludf.DUMMYFUNCTION("""COMPUTED_VALUE"""),"+ 15,5 %")</f>
        <v>+ 15,5 %</v>
      </c>
    </row>
    <row r="98">
      <c r="A98" s="2">
        <f>IFERROR(__xludf.DUMMYFUNCTION("""COMPUTED_VALUE"""),43252.0)</f>
        <v>43252</v>
      </c>
      <c r="B98" s="1" t="str">
        <f>IFERROR(__xludf.DUMMYFUNCTION("""COMPUTED_VALUE"""),"5.132 €/m2")</f>
        <v>5.132 €/m2</v>
      </c>
      <c r="C98" s="1" t="str">
        <f>IFERROR(__xludf.DUMMYFUNCTION("""COMPUTED_VALUE"""),"+ 1,6 %")</f>
        <v>+ 1,6 %</v>
      </c>
      <c r="D98" s="1" t="str">
        <f>IFERROR(__xludf.DUMMYFUNCTION("""COMPUTED_VALUE"""),"+ 4,3 %")</f>
        <v>+ 4,3 %</v>
      </c>
      <c r="E98" s="1" t="str">
        <f>IFERROR(__xludf.DUMMYFUNCTION("""COMPUTED_VALUE"""),"+ 16,6 %")</f>
        <v>+ 16,6 %</v>
      </c>
    </row>
    <row r="99">
      <c r="A99" s="2">
        <f>IFERROR(__xludf.DUMMYFUNCTION("""COMPUTED_VALUE"""),43221.0)</f>
        <v>43221</v>
      </c>
      <c r="B99" s="1" t="str">
        <f>IFERROR(__xludf.DUMMYFUNCTION("""COMPUTED_VALUE"""),"5.052 €/m2")</f>
        <v>5.052 €/m2</v>
      </c>
      <c r="C99" s="1" t="str">
        <f>IFERROR(__xludf.DUMMYFUNCTION("""COMPUTED_VALUE"""),"+ 1,2 %")</f>
        <v>+ 1,2 %</v>
      </c>
      <c r="D99" s="1" t="str">
        <f>IFERROR(__xludf.DUMMYFUNCTION("""COMPUTED_VALUE"""),"+ 3,8 %")</f>
        <v>+ 3,8 %</v>
      </c>
      <c r="E99" s="1" t="str">
        <f>IFERROR(__xludf.DUMMYFUNCTION("""COMPUTED_VALUE"""),"+ 17,5 %")</f>
        <v>+ 17,5 %</v>
      </c>
    </row>
    <row r="100">
      <c r="A100" s="2">
        <f>IFERROR(__xludf.DUMMYFUNCTION("""COMPUTED_VALUE"""),43191.0)</f>
        <v>43191</v>
      </c>
      <c r="B100" s="1" t="str">
        <f>IFERROR(__xludf.DUMMYFUNCTION("""COMPUTED_VALUE"""),"4.990 €/m2")</f>
        <v>4.990 €/m2</v>
      </c>
      <c r="C100" s="1" t="str">
        <f>IFERROR(__xludf.DUMMYFUNCTION("""COMPUTED_VALUE"""),"+ 1,4 %")</f>
        <v>+ 1,4 %</v>
      </c>
      <c r="D100" s="1" t="str">
        <f>IFERROR(__xludf.DUMMYFUNCTION("""COMPUTED_VALUE"""),"+ 3,0 %")</f>
        <v>+ 3,0 %</v>
      </c>
      <c r="E100" s="1" t="str">
        <f>IFERROR(__xludf.DUMMYFUNCTION("""COMPUTED_VALUE"""),"+ 18,0 %")</f>
        <v>+ 18,0 %</v>
      </c>
    </row>
    <row r="101">
      <c r="A101" s="2">
        <f>IFERROR(__xludf.DUMMYFUNCTION("""COMPUTED_VALUE"""),43160.0)</f>
        <v>43160</v>
      </c>
      <c r="B101" s="1" t="str">
        <f>IFERROR(__xludf.DUMMYFUNCTION("""COMPUTED_VALUE"""),"4.919 €/m2")</f>
        <v>4.919 €/m2</v>
      </c>
      <c r="C101" s="1" t="str">
        <f>IFERROR(__xludf.DUMMYFUNCTION("""COMPUTED_VALUE"""),"+ 1,1 %")</f>
        <v>+ 1,1 %</v>
      </c>
      <c r="D101" s="1" t="str">
        <f>IFERROR(__xludf.DUMMYFUNCTION("""COMPUTED_VALUE"""),"+ 3,2 %")</f>
        <v>+ 3,2 %</v>
      </c>
      <c r="E101" s="1" t="str">
        <f>IFERROR(__xludf.DUMMYFUNCTION("""COMPUTED_VALUE"""),"+ 18,1 %")</f>
        <v>+ 18,1 %</v>
      </c>
    </row>
    <row r="102">
      <c r="A102" s="2">
        <f>IFERROR(__xludf.DUMMYFUNCTION("""COMPUTED_VALUE"""),43132.0)</f>
        <v>43132</v>
      </c>
      <c r="B102" s="1" t="str">
        <f>IFERROR(__xludf.DUMMYFUNCTION("""COMPUTED_VALUE"""),"4.866 €/m2")</f>
        <v>4.866 €/m2</v>
      </c>
      <c r="C102" s="1" t="str">
        <f>IFERROR(__xludf.DUMMYFUNCTION("""COMPUTED_VALUE"""),"+ 0,5 %")</f>
        <v>+ 0,5 %</v>
      </c>
      <c r="D102" s="1" t="str">
        <f>IFERROR(__xludf.DUMMYFUNCTION("""COMPUTED_VALUE"""),"+ 3,6 %")</f>
        <v>+ 3,6 %</v>
      </c>
      <c r="E102" s="1" t="str">
        <f>IFERROR(__xludf.DUMMYFUNCTION("""COMPUTED_VALUE"""),"+ 18,1 %")</f>
        <v>+ 18,1 %</v>
      </c>
    </row>
    <row r="103">
      <c r="A103" s="2">
        <f>IFERROR(__xludf.DUMMYFUNCTION("""COMPUTED_VALUE"""),43101.0)</f>
        <v>43101</v>
      </c>
      <c r="B103" s="1" t="str">
        <f>IFERROR(__xludf.DUMMYFUNCTION("""COMPUTED_VALUE"""),"4.844 €/m2")</f>
        <v>4.844 €/m2</v>
      </c>
      <c r="C103" s="1" t="str">
        <f>IFERROR(__xludf.DUMMYFUNCTION("""COMPUTED_VALUE"""),"+ 1,6 %")</f>
        <v>+ 1,6 %</v>
      </c>
      <c r="D103" s="1" t="str">
        <f>IFERROR(__xludf.DUMMYFUNCTION("""COMPUTED_VALUE"""),"+ 5,0 %")</f>
        <v>+ 5,0 %</v>
      </c>
      <c r="E103" s="1" t="str">
        <f>IFERROR(__xludf.DUMMYFUNCTION("""COMPUTED_VALUE"""),"+ 19,5 %")</f>
        <v>+ 19,5 %</v>
      </c>
    </row>
    <row r="104">
      <c r="A104" s="2">
        <f>IFERROR(__xludf.DUMMYFUNCTION("""COMPUTED_VALUE"""),43070.0)</f>
        <v>43070</v>
      </c>
      <c r="B104" s="1" t="str">
        <f>IFERROR(__xludf.DUMMYFUNCTION("""COMPUTED_VALUE"""),"4.766 €/m2")</f>
        <v>4.766 €/m2</v>
      </c>
      <c r="C104" s="1" t="str">
        <f>IFERROR(__xludf.DUMMYFUNCTION("""COMPUTED_VALUE"""),"+ 1,4 %")</f>
        <v>+ 1,4 %</v>
      </c>
      <c r="D104" s="1" t="str">
        <f>IFERROR(__xludf.DUMMYFUNCTION("""COMPUTED_VALUE"""),"+ 5,6 %")</f>
        <v>+ 5,6 %</v>
      </c>
      <c r="E104" s="1" t="str">
        <f>IFERROR(__xludf.DUMMYFUNCTION("""COMPUTED_VALUE"""),"+ 18,7 %")</f>
        <v>+ 18,7 %</v>
      </c>
    </row>
    <row r="105">
      <c r="A105" s="2">
        <f>IFERROR(__xludf.DUMMYFUNCTION("""COMPUTED_VALUE"""),43040.0)</f>
        <v>43040</v>
      </c>
      <c r="B105" s="1" t="str">
        <f>IFERROR(__xludf.DUMMYFUNCTION("""COMPUTED_VALUE"""),"4.699 €/m2")</f>
        <v>4.699 €/m2</v>
      </c>
      <c r="C105" s="1" t="str">
        <f>IFERROR(__xludf.DUMMYFUNCTION("""COMPUTED_VALUE"""),"+ 1,9 %")</f>
        <v>+ 1,9 %</v>
      </c>
      <c r="D105" s="1" t="str">
        <f>IFERROR(__xludf.DUMMYFUNCTION("""COMPUTED_VALUE"""),"+ 4,7 %")</f>
        <v>+ 4,7 %</v>
      </c>
      <c r="E105" s="1" t="str">
        <f>IFERROR(__xludf.DUMMYFUNCTION("""COMPUTED_VALUE"""),"+ 17,7 %")</f>
        <v>+ 17,7 %</v>
      </c>
    </row>
    <row r="106">
      <c r="A106" s="2">
        <f>IFERROR(__xludf.DUMMYFUNCTION("""COMPUTED_VALUE"""),43009.0)</f>
        <v>43009</v>
      </c>
      <c r="B106" s="1" t="str">
        <f>IFERROR(__xludf.DUMMYFUNCTION("""COMPUTED_VALUE"""),"4.612 €/m2")</f>
        <v>4.612 €/m2</v>
      </c>
      <c r="C106" s="1" t="str">
        <f>IFERROR(__xludf.DUMMYFUNCTION("""COMPUTED_VALUE"""),"+ 2,2 %")</f>
        <v>+ 2,2 %</v>
      </c>
      <c r="D106" s="1" t="str">
        <f>IFERROR(__xludf.DUMMYFUNCTION("""COMPUTED_VALUE"""),"+ 2,9 %")</f>
        <v>+ 2,9 %</v>
      </c>
      <c r="E106" s="1" t="str">
        <f>IFERROR(__xludf.DUMMYFUNCTION("""COMPUTED_VALUE"""),"+ 16,5 %")</f>
        <v>+ 16,5 %</v>
      </c>
    </row>
    <row r="107">
      <c r="A107" s="2">
        <f>IFERROR(__xludf.DUMMYFUNCTION("""COMPUTED_VALUE"""),42979.0)</f>
        <v>42979</v>
      </c>
      <c r="B107" s="1" t="str">
        <f>IFERROR(__xludf.DUMMYFUNCTION("""COMPUTED_VALUE"""),"4.515 €/m2")</f>
        <v>4.515 €/m2</v>
      </c>
      <c r="C107" s="1" t="str">
        <f>IFERROR(__xludf.DUMMYFUNCTION("""COMPUTED_VALUE"""),"+ 0,7 %")</f>
        <v>+ 0,7 %</v>
      </c>
      <c r="D107" s="1" t="str">
        <f>IFERROR(__xludf.DUMMYFUNCTION("""COMPUTED_VALUE"""),"+ 2,6 %")</f>
        <v>+ 2,6 %</v>
      </c>
      <c r="E107" s="1" t="str">
        <f>IFERROR(__xludf.DUMMYFUNCTION("""COMPUTED_VALUE"""),"+ 14,9 %")</f>
        <v>+ 14,9 %</v>
      </c>
    </row>
    <row r="108">
      <c r="A108" s="2">
        <f>IFERROR(__xludf.DUMMYFUNCTION("""COMPUTED_VALUE"""),42948.0)</f>
        <v>42948</v>
      </c>
      <c r="B108" s="1" t="str">
        <f>IFERROR(__xludf.DUMMYFUNCTION("""COMPUTED_VALUE"""),"4.486 €/m2")</f>
        <v>4.486 €/m2</v>
      </c>
      <c r="C108" s="1" t="str">
        <f>IFERROR(__xludf.DUMMYFUNCTION("""COMPUTED_VALUE"""),"+ 0,1 %")</f>
        <v>+ 0,1 %</v>
      </c>
      <c r="D108" s="1" t="str">
        <f>IFERROR(__xludf.DUMMYFUNCTION("""COMPUTED_VALUE"""),"+ 4,3 %")</f>
        <v>+ 4,3 %</v>
      </c>
      <c r="E108" s="1" t="str">
        <f>IFERROR(__xludf.DUMMYFUNCTION("""COMPUTED_VALUE"""),"+ 14,1 %")</f>
        <v>+ 14,1 %</v>
      </c>
    </row>
    <row r="109">
      <c r="A109" s="2">
        <f>IFERROR(__xludf.DUMMYFUNCTION("""COMPUTED_VALUE"""),42917.0)</f>
        <v>42917</v>
      </c>
      <c r="B109" s="1" t="str">
        <f>IFERROR(__xludf.DUMMYFUNCTION("""COMPUTED_VALUE"""),"4.482 €/m2")</f>
        <v>4.482 €/m2</v>
      </c>
      <c r="C109" s="1" t="str">
        <f>IFERROR(__xludf.DUMMYFUNCTION("""COMPUTED_VALUE"""),"+ 1,8 %")</f>
        <v>+ 1,8 %</v>
      </c>
      <c r="D109" s="1" t="str">
        <f>IFERROR(__xludf.DUMMYFUNCTION("""COMPUTED_VALUE"""),"+ 6,0 %")</f>
        <v>+ 6,0 %</v>
      </c>
      <c r="E109" s="1" t="str">
        <f>IFERROR(__xludf.DUMMYFUNCTION("""COMPUTED_VALUE"""),"+ 13,9 %")</f>
        <v>+ 13,9 %</v>
      </c>
    </row>
    <row r="110">
      <c r="A110" s="2">
        <f>IFERROR(__xludf.DUMMYFUNCTION("""COMPUTED_VALUE"""),42887.0)</f>
        <v>42887</v>
      </c>
      <c r="B110" s="1" t="str">
        <f>IFERROR(__xludf.DUMMYFUNCTION("""COMPUTED_VALUE"""),"4.401 €/m2")</f>
        <v>4.401 €/m2</v>
      </c>
      <c r="C110" s="1" t="str">
        <f>IFERROR(__xludf.DUMMYFUNCTION("""COMPUTED_VALUE"""),"+ 2,4 %")</f>
        <v>+ 2,4 %</v>
      </c>
      <c r="D110" s="1" t="str">
        <f>IFERROR(__xludf.DUMMYFUNCTION("""COMPUTED_VALUE"""),"+ 5,7 %")</f>
        <v>+ 5,7 %</v>
      </c>
      <c r="E110" s="1" t="str">
        <f>IFERROR(__xludf.DUMMYFUNCTION("""COMPUTED_VALUE"""),"+ 11,5 %")</f>
        <v>+ 11,5 %</v>
      </c>
    </row>
    <row r="111">
      <c r="A111" s="2">
        <f>IFERROR(__xludf.DUMMYFUNCTION("""COMPUTED_VALUE"""),42856.0)</f>
        <v>42856</v>
      </c>
      <c r="B111" s="1" t="str">
        <f>IFERROR(__xludf.DUMMYFUNCTION("""COMPUTED_VALUE"""),"4.299 €/m2")</f>
        <v>4.299 €/m2</v>
      </c>
      <c r="C111" s="1" t="str">
        <f>IFERROR(__xludf.DUMMYFUNCTION("""COMPUTED_VALUE"""),"+ 1,7 %")</f>
        <v>+ 1,7 %</v>
      </c>
      <c r="D111" s="1" t="str">
        <f>IFERROR(__xludf.DUMMYFUNCTION("""COMPUTED_VALUE"""),"+ 4,4 %")</f>
        <v>+ 4,4 %</v>
      </c>
      <c r="E111" s="1" t="str">
        <f>IFERROR(__xludf.DUMMYFUNCTION("""COMPUTED_VALUE"""),"+ 9,4 %")</f>
        <v>+ 9,4 %</v>
      </c>
    </row>
    <row r="112">
      <c r="A112" s="2">
        <f>IFERROR(__xludf.DUMMYFUNCTION("""COMPUTED_VALUE"""),42826.0)</f>
        <v>42826</v>
      </c>
      <c r="B112" s="1" t="str">
        <f>IFERROR(__xludf.DUMMYFUNCTION("""COMPUTED_VALUE"""),"4.229 €/m2")</f>
        <v>4.229 €/m2</v>
      </c>
      <c r="C112" s="1" t="str">
        <f>IFERROR(__xludf.DUMMYFUNCTION("""COMPUTED_VALUE"""),"+ 1,6 %")</f>
        <v>+ 1,6 %</v>
      </c>
      <c r="D112" s="1" t="str">
        <f>IFERROR(__xludf.DUMMYFUNCTION("""COMPUTED_VALUE"""),"+ 4,3 %")</f>
        <v>+ 4,3 %</v>
      </c>
      <c r="E112" s="1" t="str">
        <f>IFERROR(__xludf.DUMMYFUNCTION("""COMPUTED_VALUE"""),"+ 9,2 %")</f>
        <v>+ 9,2 %</v>
      </c>
    </row>
    <row r="113">
      <c r="A113" s="2">
        <f>IFERROR(__xludf.DUMMYFUNCTION("""COMPUTED_VALUE"""),42795.0)</f>
        <v>42795</v>
      </c>
      <c r="B113" s="1" t="str">
        <f>IFERROR(__xludf.DUMMYFUNCTION("""COMPUTED_VALUE"""),"4.164 €/m2")</f>
        <v>4.164 €/m2</v>
      </c>
      <c r="C113" s="1" t="str">
        <f>IFERROR(__xludf.DUMMYFUNCTION("""COMPUTED_VALUE"""),"+ 1,1 %")</f>
        <v>+ 1,1 %</v>
      </c>
      <c r="D113" s="1" t="str">
        <f>IFERROR(__xludf.DUMMYFUNCTION("""COMPUTED_VALUE"""),"+ 3,7 %")</f>
        <v>+ 3,7 %</v>
      </c>
      <c r="E113" s="1" t="str">
        <f>IFERROR(__xludf.DUMMYFUNCTION("""COMPUTED_VALUE"""),"+ 8,8 %")</f>
        <v>+ 8,8 %</v>
      </c>
    </row>
    <row r="114">
      <c r="A114" s="2">
        <f>IFERROR(__xludf.DUMMYFUNCTION("""COMPUTED_VALUE"""),42767.0)</f>
        <v>42767</v>
      </c>
      <c r="B114" s="1" t="str">
        <f>IFERROR(__xludf.DUMMYFUNCTION("""COMPUTED_VALUE"""),"4.119 €/m2")</f>
        <v>4.119 €/m2</v>
      </c>
      <c r="C114" s="1" t="str">
        <f>IFERROR(__xludf.DUMMYFUNCTION("""COMPUTED_VALUE"""),"+ 1,6 %")</f>
        <v>+ 1,6 %</v>
      </c>
      <c r="D114" s="1" t="str">
        <f>IFERROR(__xludf.DUMMYFUNCTION("""COMPUTED_VALUE"""),"+ 3,2 %")</f>
        <v>+ 3,2 %</v>
      </c>
      <c r="E114" s="1" t="str">
        <f>IFERROR(__xludf.DUMMYFUNCTION("""COMPUTED_VALUE"""),"+ 8,8 %")</f>
        <v>+ 8,8 %</v>
      </c>
    </row>
    <row r="115">
      <c r="A115" s="2">
        <f>IFERROR(__xludf.DUMMYFUNCTION("""COMPUTED_VALUE"""),42736.0)</f>
        <v>42736</v>
      </c>
      <c r="B115" s="1" t="str">
        <f>IFERROR(__xludf.DUMMYFUNCTION("""COMPUTED_VALUE"""),"4.053 €/m2")</f>
        <v>4.053 €/m2</v>
      </c>
      <c r="C115" s="1" t="str">
        <f>IFERROR(__xludf.DUMMYFUNCTION("""COMPUTED_VALUE"""),"+ 1,0 %")</f>
        <v>+ 1,0 %</v>
      </c>
      <c r="D115" s="1" t="str">
        <f>IFERROR(__xludf.DUMMYFUNCTION("""COMPUTED_VALUE"""),"+ 2,4 %")</f>
        <v>+ 2,4 %</v>
      </c>
      <c r="E115" s="1" t="str">
        <f>IFERROR(__xludf.DUMMYFUNCTION("""COMPUTED_VALUE"""),"+ 6,3 %")</f>
        <v>+ 6,3 %</v>
      </c>
    </row>
    <row r="116">
      <c r="A116" s="2">
        <f>IFERROR(__xludf.DUMMYFUNCTION("""COMPUTED_VALUE"""),42705.0)</f>
        <v>42705</v>
      </c>
      <c r="B116" s="1" t="str">
        <f>IFERROR(__xludf.DUMMYFUNCTION("""COMPUTED_VALUE"""),"4.015 €/m2")</f>
        <v>4.015 €/m2</v>
      </c>
      <c r="C116" s="1" t="str">
        <f>IFERROR(__xludf.DUMMYFUNCTION("""COMPUTED_VALUE"""),"+ 0,6 %")</f>
        <v>+ 0,6 %</v>
      </c>
      <c r="D116" s="1" t="str">
        <f>IFERROR(__xludf.DUMMYFUNCTION("""COMPUTED_VALUE"""),"+ 2,2 %")</f>
        <v>+ 2,2 %</v>
      </c>
      <c r="E116" s="1" t="str">
        <f>IFERROR(__xludf.DUMMYFUNCTION("""COMPUTED_VALUE"""),"+ 5,5 %")</f>
        <v>+ 5,5 %</v>
      </c>
    </row>
    <row r="117">
      <c r="A117" s="2">
        <f>IFERROR(__xludf.DUMMYFUNCTION("""COMPUTED_VALUE"""),42675.0)</f>
        <v>42675</v>
      </c>
      <c r="B117" s="1" t="str">
        <f>IFERROR(__xludf.DUMMYFUNCTION("""COMPUTED_VALUE"""),"3.991 €/m2")</f>
        <v>3.991 €/m2</v>
      </c>
      <c r="C117" s="1" t="str">
        <f>IFERROR(__xludf.DUMMYFUNCTION("""COMPUTED_VALUE"""),"+ 0,8 %")</f>
        <v>+ 0,8 %</v>
      </c>
      <c r="D117" s="1" t="str">
        <f>IFERROR(__xludf.DUMMYFUNCTION("""COMPUTED_VALUE"""),"+ 1,5 %")</f>
        <v>+ 1,5 %</v>
      </c>
      <c r="E117" s="1" t="str">
        <f>IFERROR(__xludf.DUMMYFUNCTION("""COMPUTED_VALUE"""),"+ 5,6 %")</f>
        <v>+ 5,6 %</v>
      </c>
    </row>
    <row r="118">
      <c r="A118" s="2">
        <f>IFERROR(__xludf.DUMMYFUNCTION("""COMPUTED_VALUE"""),42644.0)</f>
        <v>42644</v>
      </c>
      <c r="B118" s="1" t="str">
        <f>IFERROR(__xludf.DUMMYFUNCTION("""COMPUTED_VALUE"""),"3.960 €/m2")</f>
        <v>3.960 €/m2</v>
      </c>
      <c r="C118" s="1" t="str">
        <f>IFERROR(__xludf.DUMMYFUNCTION("""COMPUTED_VALUE"""),"+ 0,8 %")</f>
        <v>+ 0,8 %</v>
      </c>
      <c r="D118" s="1" t="str">
        <f>IFERROR(__xludf.DUMMYFUNCTION("""COMPUTED_VALUE"""),"+ 0,6 %")</f>
        <v>+ 0,6 %</v>
      </c>
      <c r="E118" s="1" t="str">
        <f>IFERROR(__xludf.DUMMYFUNCTION("""COMPUTED_VALUE"""),"+ 5,0 %")</f>
        <v>+ 5,0 %</v>
      </c>
    </row>
    <row r="119">
      <c r="A119" s="2">
        <f>IFERROR(__xludf.DUMMYFUNCTION("""COMPUTED_VALUE"""),42614.0)</f>
        <v>42614</v>
      </c>
      <c r="B119" s="1" t="str">
        <f>IFERROR(__xludf.DUMMYFUNCTION("""COMPUTED_VALUE"""),"3.929 €/m2")</f>
        <v>3.929 €/m2</v>
      </c>
      <c r="C119" s="1" t="str">
        <f>IFERROR(__xludf.DUMMYFUNCTION("""COMPUTED_VALUE"""),"- 0,1 %")</f>
        <v>- 0,1 %</v>
      </c>
      <c r="D119" s="1" t="str">
        <f>IFERROR(__xludf.DUMMYFUNCTION("""COMPUTED_VALUE"""),"- 0,4 %")</f>
        <v>- 0,4 %</v>
      </c>
      <c r="E119" s="1" t="str">
        <f>IFERROR(__xludf.DUMMYFUNCTION("""COMPUTED_VALUE"""),"+ 4,7 %")</f>
        <v>+ 4,7 %</v>
      </c>
    </row>
    <row r="120">
      <c r="A120" s="2">
        <f>IFERROR(__xludf.DUMMYFUNCTION("""COMPUTED_VALUE"""),42583.0)</f>
        <v>42583</v>
      </c>
      <c r="B120" s="1" t="str">
        <f>IFERROR(__xludf.DUMMYFUNCTION("""COMPUTED_VALUE"""),"3.933 €/m2")</f>
        <v>3.933 €/m2</v>
      </c>
      <c r="C120" s="1" t="str">
        <f>IFERROR(__xludf.DUMMYFUNCTION("""COMPUTED_VALUE"""),"- 0,1 %")</f>
        <v>- 0,1 %</v>
      </c>
      <c r="D120" s="1" t="str">
        <f>IFERROR(__xludf.DUMMYFUNCTION("""COMPUTED_VALUE"""),"0,0 %")</f>
        <v>0,0 %</v>
      </c>
      <c r="E120" s="1" t="str">
        <f>IFERROR(__xludf.DUMMYFUNCTION("""COMPUTED_VALUE"""),"+ 5,5 %")</f>
        <v>+ 5,5 %</v>
      </c>
    </row>
    <row r="121">
      <c r="A121" s="2">
        <f>IFERROR(__xludf.DUMMYFUNCTION("""COMPUTED_VALUE"""),42552.0)</f>
        <v>42552</v>
      </c>
      <c r="B121" s="1" t="str">
        <f>IFERROR(__xludf.DUMMYFUNCTION("""COMPUTED_VALUE"""),"3.936 €/m2")</f>
        <v>3.936 €/m2</v>
      </c>
      <c r="C121" s="1" t="str">
        <f>IFERROR(__xludf.DUMMYFUNCTION("""COMPUTED_VALUE"""),"- 0,2 %")</f>
        <v>- 0,2 %</v>
      </c>
      <c r="D121" s="1" t="str">
        <f>IFERROR(__xludf.DUMMYFUNCTION("""COMPUTED_VALUE"""),"+ 1,6 %")</f>
        <v>+ 1,6 %</v>
      </c>
      <c r="E121" s="1" t="str">
        <f>IFERROR(__xludf.DUMMYFUNCTION("""COMPUTED_VALUE"""),"+ 5,6 %")</f>
        <v>+ 5,6 %</v>
      </c>
    </row>
    <row r="122">
      <c r="A122" s="2">
        <f>IFERROR(__xludf.DUMMYFUNCTION("""COMPUTED_VALUE"""),42522.0)</f>
        <v>42522</v>
      </c>
      <c r="B122" s="1" t="str">
        <f>IFERROR(__xludf.DUMMYFUNCTION("""COMPUTED_VALUE"""),"3.946 €/m2")</f>
        <v>3.946 €/m2</v>
      </c>
      <c r="C122" s="1" t="str">
        <f>IFERROR(__xludf.DUMMYFUNCTION("""COMPUTED_VALUE"""),"+ 0,4 %")</f>
        <v>+ 0,4 %</v>
      </c>
      <c r="D122" s="1" t="str">
        <f>IFERROR(__xludf.DUMMYFUNCTION("""COMPUTED_VALUE"""),"+ 3,1 %")</f>
        <v>+ 3,1 %</v>
      </c>
      <c r="E122" s="1" t="str">
        <f>IFERROR(__xludf.DUMMYFUNCTION("""COMPUTED_VALUE"""),"+ 5,9 %")</f>
        <v>+ 5,9 %</v>
      </c>
    </row>
    <row r="123">
      <c r="A123" s="2">
        <f>IFERROR(__xludf.DUMMYFUNCTION("""COMPUTED_VALUE"""),42491.0)</f>
        <v>42491</v>
      </c>
      <c r="B123" s="1" t="str">
        <f>IFERROR(__xludf.DUMMYFUNCTION("""COMPUTED_VALUE"""),"3.931 €/m2")</f>
        <v>3.931 €/m2</v>
      </c>
      <c r="C123" s="1" t="str">
        <f>IFERROR(__xludf.DUMMYFUNCTION("""COMPUTED_VALUE"""),"+ 1,5 %")</f>
        <v>+ 1,5 %</v>
      </c>
      <c r="D123" s="1" t="str">
        <f>IFERROR(__xludf.DUMMYFUNCTION("""COMPUTED_VALUE"""),"+ 3,9 %")</f>
        <v>+ 3,9 %</v>
      </c>
      <c r="E123" s="1" t="str">
        <f>IFERROR(__xludf.DUMMYFUNCTION("""COMPUTED_VALUE"""),"+ 6,5 %")</f>
        <v>+ 6,5 %</v>
      </c>
    </row>
    <row r="124">
      <c r="A124" s="2">
        <f>IFERROR(__xludf.DUMMYFUNCTION("""COMPUTED_VALUE"""),42461.0)</f>
        <v>42461</v>
      </c>
      <c r="B124" s="1" t="str">
        <f>IFERROR(__xludf.DUMMYFUNCTION("""COMPUTED_VALUE"""),"3.873 €/m2")</f>
        <v>3.873 €/m2</v>
      </c>
      <c r="C124" s="1" t="str">
        <f>IFERROR(__xludf.DUMMYFUNCTION("""COMPUTED_VALUE"""),"+ 1,2 %")</f>
        <v>+ 1,2 %</v>
      </c>
      <c r="D124" s="1" t="str">
        <f>IFERROR(__xludf.DUMMYFUNCTION("""COMPUTED_VALUE"""),"+ 1,6 %")</f>
        <v>+ 1,6 %</v>
      </c>
      <c r="E124" s="1" t="str">
        <f>IFERROR(__xludf.DUMMYFUNCTION("""COMPUTED_VALUE"""),"+ 5,5 %")</f>
        <v>+ 5,5 %</v>
      </c>
    </row>
    <row r="125">
      <c r="A125" s="2">
        <f>IFERROR(__xludf.DUMMYFUNCTION("""COMPUTED_VALUE"""),42430.0)</f>
        <v>42430</v>
      </c>
      <c r="B125" s="1" t="str">
        <f>IFERROR(__xludf.DUMMYFUNCTION("""COMPUTED_VALUE"""),"3.827 €/m2")</f>
        <v>3.827 €/m2</v>
      </c>
      <c r="C125" s="1" t="str">
        <f>IFERROR(__xludf.DUMMYFUNCTION("""COMPUTED_VALUE"""),"+ 1,1 %")</f>
        <v>+ 1,1 %</v>
      </c>
      <c r="D125" s="1" t="str">
        <f>IFERROR(__xludf.DUMMYFUNCTION("""COMPUTED_VALUE"""),"+ 0,6 %")</f>
        <v>+ 0,6 %</v>
      </c>
      <c r="E125" s="1" t="str">
        <f>IFERROR(__xludf.DUMMYFUNCTION("""COMPUTED_VALUE"""),"+ 5,2 %")</f>
        <v>+ 5,2 %</v>
      </c>
    </row>
    <row r="126">
      <c r="A126" s="2">
        <f>IFERROR(__xludf.DUMMYFUNCTION("""COMPUTED_VALUE"""),42401.0)</f>
        <v>42401</v>
      </c>
      <c r="B126" s="1" t="str">
        <f>IFERROR(__xludf.DUMMYFUNCTION("""COMPUTED_VALUE"""),"3.785 €/m2")</f>
        <v>3.785 €/m2</v>
      </c>
      <c r="C126" s="1" t="str">
        <f>IFERROR(__xludf.DUMMYFUNCTION("""COMPUTED_VALUE"""),"- 0,7 %")</f>
        <v>- 0,7 %</v>
      </c>
      <c r="D126" s="1" t="str">
        <f>IFERROR(__xludf.DUMMYFUNCTION("""COMPUTED_VALUE"""),"+ 0,2 %")</f>
        <v>+ 0,2 %</v>
      </c>
      <c r="E126" s="1" t="str">
        <f>IFERROR(__xludf.DUMMYFUNCTION("""COMPUTED_VALUE"""),"+ 4,8 %")</f>
        <v>+ 4,8 %</v>
      </c>
    </row>
    <row r="127">
      <c r="A127" s="2">
        <f>IFERROR(__xludf.DUMMYFUNCTION("""COMPUTED_VALUE"""),42370.0)</f>
        <v>42370</v>
      </c>
      <c r="B127" s="1" t="str">
        <f>IFERROR(__xludf.DUMMYFUNCTION("""COMPUTED_VALUE"""),"3.812 €/m2")</f>
        <v>3.812 €/m2</v>
      </c>
      <c r="C127" s="1" t="str">
        <f>IFERROR(__xludf.DUMMYFUNCTION("""COMPUTED_VALUE"""),"+ 0,2 %")</f>
        <v>+ 0,2 %</v>
      </c>
      <c r="D127" s="1" t="str">
        <f>IFERROR(__xludf.DUMMYFUNCTION("""COMPUTED_VALUE"""),"+ 1,1 %")</f>
        <v>+ 1,1 %</v>
      </c>
      <c r="E127" s="1" t="str">
        <f>IFERROR(__xludf.DUMMYFUNCTION("""COMPUTED_VALUE"""),"+ 6,2 %")</f>
        <v>+ 6,2 %</v>
      </c>
    </row>
    <row r="128">
      <c r="A128" s="2">
        <f>IFERROR(__xludf.DUMMYFUNCTION("""COMPUTED_VALUE"""),42339.0)</f>
        <v>42339</v>
      </c>
      <c r="B128" s="1" t="str">
        <f>IFERROR(__xludf.DUMMYFUNCTION("""COMPUTED_VALUE"""),"3.804 €/m2")</f>
        <v>3.804 €/m2</v>
      </c>
      <c r="C128" s="1" t="str">
        <f>IFERROR(__xludf.DUMMYFUNCTION("""COMPUTED_VALUE"""),"+ 0,7 %")</f>
        <v>+ 0,7 %</v>
      </c>
      <c r="D128" s="1" t="str">
        <f>IFERROR(__xludf.DUMMYFUNCTION("""COMPUTED_VALUE"""),"+ 1,4 %")</f>
        <v>+ 1,4 %</v>
      </c>
      <c r="E128" s="1" t="str">
        <f>IFERROR(__xludf.DUMMYFUNCTION("""COMPUTED_VALUE"""),"+ 6,7 %")</f>
        <v>+ 6,7 %</v>
      </c>
    </row>
    <row r="129">
      <c r="A129" s="2">
        <f>IFERROR(__xludf.DUMMYFUNCTION("""COMPUTED_VALUE"""),42309.0)</f>
        <v>42309</v>
      </c>
      <c r="B129" s="1" t="str">
        <f>IFERROR(__xludf.DUMMYFUNCTION("""COMPUTED_VALUE"""),"3.778 €/m2")</f>
        <v>3.778 €/m2</v>
      </c>
      <c r="C129" s="1" t="str">
        <f>IFERROR(__xludf.DUMMYFUNCTION("""COMPUTED_VALUE"""),"+ 0,2 %")</f>
        <v>+ 0,2 %</v>
      </c>
      <c r="D129" s="1" t="str">
        <f>IFERROR(__xludf.DUMMYFUNCTION("""COMPUTED_VALUE"""),"+ 1,3 %")</f>
        <v>+ 1,3 %</v>
      </c>
      <c r="E129" s="1" t="str">
        <f>IFERROR(__xludf.DUMMYFUNCTION("""COMPUTED_VALUE"""),"+ 5,6 %")</f>
        <v>+ 5,6 %</v>
      </c>
    </row>
    <row r="130">
      <c r="A130" s="2">
        <f>IFERROR(__xludf.DUMMYFUNCTION("""COMPUTED_VALUE"""),42278.0)</f>
        <v>42278</v>
      </c>
      <c r="B130" s="1" t="str">
        <f>IFERROR(__xludf.DUMMYFUNCTION("""COMPUTED_VALUE"""),"3.772 €/m2")</f>
        <v>3.772 €/m2</v>
      </c>
      <c r="C130" s="1" t="str">
        <f>IFERROR(__xludf.DUMMYFUNCTION("""COMPUTED_VALUE"""),"+ 0,5 %")</f>
        <v>+ 0,5 %</v>
      </c>
      <c r="D130" s="1" t="str">
        <f>IFERROR(__xludf.DUMMYFUNCTION("""COMPUTED_VALUE"""),"+ 1,2 %")</f>
        <v>+ 1,2 %</v>
      </c>
      <c r="E130" s="1" t="str">
        <f>IFERROR(__xludf.DUMMYFUNCTION("""COMPUTED_VALUE"""),"+ 4,6 %")</f>
        <v>+ 4,6 %</v>
      </c>
    </row>
    <row r="131">
      <c r="A131" s="2">
        <f>IFERROR(__xludf.DUMMYFUNCTION("""COMPUTED_VALUE"""),42248.0)</f>
        <v>42248</v>
      </c>
      <c r="B131" s="1" t="str">
        <f>IFERROR(__xludf.DUMMYFUNCTION("""COMPUTED_VALUE"""),"3.752 €/m2")</f>
        <v>3.752 €/m2</v>
      </c>
      <c r="C131" s="1" t="str">
        <f>IFERROR(__xludf.DUMMYFUNCTION("""COMPUTED_VALUE"""),"+ 0,6 %")</f>
        <v>+ 0,6 %</v>
      </c>
      <c r="D131" s="1" t="str">
        <f>IFERROR(__xludf.DUMMYFUNCTION("""COMPUTED_VALUE"""),"+ 0,7 %")</f>
        <v>+ 0,7 %</v>
      </c>
      <c r="E131" s="1" t="str">
        <f>IFERROR(__xludf.DUMMYFUNCTION("""COMPUTED_VALUE"""),"+ 4,1 %")</f>
        <v>+ 4,1 %</v>
      </c>
    </row>
    <row r="132">
      <c r="A132" s="2">
        <f>IFERROR(__xludf.DUMMYFUNCTION("""COMPUTED_VALUE"""),42217.0)</f>
        <v>42217</v>
      </c>
      <c r="B132" s="1" t="str">
        <f>IFERROR(__xludf.DUMMYFUNCTION("""COMPUTED_VALUE"""),"3.728 €/m2")</f>
        <v>3.728 €/m2</v>
      </c>
      <c r="C132" s="1" t="str">
        <f>IFERROR(__xludf.DUMMYFUNCTION("""COMPUTED_VALUE"""),"+ 0,1 %")</f>
        <v>+ 0,1 %</v>
      </c>
      <c r="D132" s="1" t="str">
        <f>IFERROR(__xludf.DUMMYFUNCTION("""COMPUTED_VALUE"""),"+ 1,0 %")</f>
        <v>+ 1,0 %</v>
      </c>
      <c r="E132" s="1" t="str">
        <f>IFERROR(__xludf.DUMMYFUNCTION("""COMPUTED_VALUE"""),"+ 4,3 %")</f>
        <v>+ 4,3 %</v>
      </c>
    </row>
    <row r="133">
      <c r="A133" s="2">
        <f>IFERROR(__xludf.DUMMYFUNCTION("""COMPUTED_VALUE"""),42186.0)</f>
        <v>42186</v>
      </c>
      <c r="B133" s="1" t="str">
        <f>IFERROR(__xludf.DUMMYFUNCTION("""COMPUTED_VALUE"""),"3.726 €/m2")</f>
        <v>3.726 €/m2</v>
      </c>
      <c r="C133" s="1" t="str">
        <f>IFERROR(__xludf.DUMMYFUNCTION("""COMPUTED_VALUE"""),"0,0 %")</f>
        <v>0,0 %</v>
      </c>
      <c r="D133" s="1" t="str">
        <f>IFERROR(__xludf.DUMMYFUNCTION("""COMPUTED_VALUE"""),"+ 1,5 %")</f>
        <v>+ 1,5 %</v>
      </c>
      <c r="E133" s="1" t="str">
        <f>IFERROR(__xludf.DUMMYFUNCTION("""COMPUTED_VALUE"""),"+ 3,9 %")</f>
        <v>+ 3,9 %</v>
      </c>
    </row>
    <row r="134">
      <c r="A134" s="2">
        <f>IFERROR(__xludf.DUMMYFUNCTION("""COMPUTED_VALUE"""),42156.0)</f>
        <v>42156</v>
      </c>
      <c r="B134" s="1" t="str">
        <f>IFERROR(__xludf.DUMMYFUNCTION("""COMPUTED_VALUE"""),"3.727 €/m2")</f>
        <v>3.727 €/m2</v>
      </c>
      <c r="C134" s="1" t="str">
        <f>IFERROR(__xludf.DUMMYFUNCTION("""COMPUTED_VALUE"""),"+ 0,9 %")</f>
        <v>+ 0,9 %</v>
      </c>
      <c r="D134" s="1" t="str">
        <f>IFERROR(__xludf.DUMMYFUNCTION("""COMPUTED_VALUE"""),"+ 2,5 %")</f>
        <v>+ 2,5 %</v>
      </c>
      <c r="E134" s="1" t="str">
        <f>IFERROR(__xludf.DUMMYFUNCTION("""COMPUTED_VALUE"""),"+ 3,3 %")</f>
        <v>+ 3,3 %</v>
      </c>
    </row>
    <row r="135">
      <c r="A135" s="2">
        <f>IFERROR(__xludf.DUMMYFUNCTION("""COMPUTED_VALUE"""),42125.0)</f>
        <v>42125</v>
      </c>
      <c r="B135" s="1" t="str">
        <f>IFERROR(__xludf.DUMMYFUNCTION("""COMPUTED_VALUE"""),"3.693 €/m2")</f>
        <v>3.693 €/m2</v>
      </c>
      <c r="C135" s="1" t="str">
        <f>IFERROR(__xludf.DUMMYFUNCTION("""COMPUTED_VALUE"""),"+ 0,6 %")</f>
        <v>+ 0,6 %</v>
      </c>
      <c r="D135" s="1" t="str">
        <f>IFERROR(__xludf.DUMMYFUNCTION("""COMPUTED_VALUE"""),"+ 2,3 %")</f>
        <v>+ 2,3 %</v>
      </c>
      <c r="E135" s="1" t="str">
        <f>IFERROR(__xludf.DUMMYFUNCTION("""COMPUTED_VALUE"""),"+ 3,0 %")</f>
        <v>+ 3,0 %</v>
      </c>
    </row>
    <row r="136">
      <c r="A136" s="2">
        <f>IFERROR(__xludf.DUMMYFUNCTION("""COMPUTED_VALUE"""),42095.0)</f>
        <v>42095</v>
      </c>
      <c r="B136" s="1" t="str">
        <f>IFERROR(__xludf.DUMMYFUNCTION("""COMPUTED_VALUE"""),"3.672 €/m2")</f>
        <v>3.672 €/m2</v>
      </c>
      <c r="C136" s="1" t="str">
        <f>IFERROR(__xludf.DUMMYFUNCTION("""COMPUTED_VALUE"""),"+ 0,9 %")</f>
        <v>+ 0,9 %</v>
      </c>
      <c r="D136" s="1" t="str">
        <f>IFERROR(__xludf.DUMMYFUNCTION("""COMPUTED_VALUE"""),"+ 2,3 %")</f>
        <v>+ 2,3 %</v>
      </c>
      <c r="E136" s="1" t="str">
        <f>IFERROR(__xludf.DUMMYFUNCTION("""COMPUTED_VALUE"""),"+ 3,1 %")</f>
        <v>+ 3,1 %</v>
      </c>
    </row>
    <row r="137">
      <c r="A137" s="2">
        <f>IFERROR(__xludf.DUMMYFUNCTION("""COMPUTED_VALUE"""),42064.0)</f>
        <v>42064</v>
      </c>
      <c r="B137" s="1" t="str">
        <f>IFERROR(__xludf.DUMMYFUNCTION("""COMPUTED_VALUE"""),"3.638 €/m2")</f>
        <v>3.638 €/m2</v>
      </c>
      <c r="C137" s="1" t="str">
        <f>IFERROR(__xludf.DUMMYFUNCTION("""COMPUTED_VALUE"""),"+ 0,7 %")</f>
        <v>+ 0,7 %</v>
      </c>
      <c r="D137" s="1" t="str">
        <f>IFERROR(__xludf.DUMMYFUNCTION("""COMPUTED_VALUE"""),"+ 2,0 %")</f>
        <v>+ 2,0 %</v>
      </c>
      <c r="E137" s="1" t="str">
        <f>IFERROR(__xludf.DUMMYFUNCTION("""COMPUTED_VALUE"""),"+ 1,5 %")</f>
        <v>+ 1,5 %</v>
      </c>
    </row>
    <row r="138">
      <c r="A138" s="2">
        <f>IFERROR(__xludf.DUMMYFUNCTION("""COMPUTED_VALUE"""),42036.0)</f>
        <v>42036</v>
      </c>
      <c r="B138" s="1" t="str">
        <f>IFERROR(__xludf.DUMMYFUNCTION("""COMPUTED_VALUE"""),"3.611 €/m2")</f>
        <v>3.611 €/m2</v>
      </c>
      <c r="C138" s="1" t="str">
        <f>IFERROR(__xludf.DUMMYFUNCTION("""COMPUTED_VALUE"""),"+ 0,6 %")</f>
        <v>+ 0,6 %</v>
      </c>
      <c r="D138" s="1" t="str">
        <f>IFERROR(__xludf.DUMMYFUNCTION("""COMPUTED_VALUE"""),"+ 1,0 %")</f>
        <v>+ 1,0 %</v>
      </c>
      <c r="E138" s="1" t="str">
        <f>IFERROR(__xludf.DUMMYFUNCTION("""COMPUTED_VALUE"""),"+ 1,0 %")</f>
        <v>+ 1,0 %</v>
      </c>
    </row>
    <row r="139">
      <c r="A139" s="2">
        <f>IFERROR(__xludf.DUMMYFUNCTION("""COMPUTED_VALUE"""),42005.0)</f>
        <v>42005</v>
      </c>
      <c r="B139" s="1" t="str">
        <f>IFERROR(__xludf.DUMMYFUNCTION("""COMPUTED_VALUE"""),"3.589 €/m2")</f>
        <v>3.589 €/m2</v>
      </c>
      <c r="C139" s="1" t="str">
        <f>IFERROR(__xludf.DUMMYFUNCTION("""COMPUTED_VALUE"""),"+ 0,7 %")</f>
        <v>+ 0,7 %</v>
      </c>
      <c r="D139" s="1" t="str">
        <f>IFERROR(__xludf.DUMMYFUNCTION("""COMPUTED_VALUE"""),"- 0,5 %")</f>
        <v>- 0,5 %</v>
      </c>
      <c r="E139" s="1" t="str">
        <f>IFERROR(__xludf.DUMMYFUNCTION("""COMPUTED_VALUE"""),"- 0,1 %")</f>
        <v>- 0,1 %</v>
      </c>
    </row>
    <row r="140">
      <c r="A140" s="2">
        <f>IFERROR(__xludf.DUMMYFUNCTION("""COMPUTED_VALUE"""),41974.0)</f>
        <v>41974</v>
      </c>
      <c r="B140" s="1" t="str">
        <f>IFERROR(__xludf.DUMMYFUNCTION("""COMPUTED_VALUE"""),"3.566 €/m2")</f>
        <v>3.566 €/m2</v>
      </c>
      <c r="C140" s="1" t="str">
        <f>IFERROR(__xludf.DUMMYFUNCTION("""COMPUTED_VALUE"""),"- 0,3 %")</f>
        <v>- 0,3 %</v>
      </c>
      <c r="D140" s="1" t="str">
        <f>IFERROR(__xludf.DUMMYFUNCTION("""COMPUTED_VALUE"""),"- 1,1 %")</f>
        <v>- 1,1 %</v>
      </c>
      <c r="E140" s="1" t="str">
        <f>IFERROR(__xludf.DUMMYFUNCTION("""COMPUTED_VALUE"""),"- 1,3 %")</f>
        <v>- 1,3 %</v>
      </c>
    </row>
    <row r="141">
      <c r="A141" s="2">
        <f>IFERROR(__xludf.DUMMYFUNCTION("""COMPUTED_VALUE"""),41944.0)</f>
        <v>41944</v>
      </c>
      <c r="B141" s="1" t="str">
        <f>IFERROR(__xludf.DUMMYFUNCTION("""COMPUTED_VALUE"""),"3.576 €/m2")</f>
        <v>3.576 €/m2</v>
      </c>
      <c r="C141" s="1" t="str">
        <f>IFERROR(__xludf.DUMMYFUNCTION("""COMPUTED_VALUE"""),"- 0,8 %")</f>
        <v>- 0,8 %</v>
      </c>
      <c r="D141" s="1" t="str">
        <f>IFERROR(__xludf.DUMMYFUNCTION("""COMPUTED_VALUE"""),"0,0 %")</f>
        <v>0,0 %</v>
      </c>
      <c r="E141" s="1" t="str">
        <f>IFERROR(__xludf.DUMMYFUNCTION("""COMPUTED_VALUE"""),"- 2,6 %")</f>
        <v>- 2,6 %</v>
      </c>
    </row>
    <row r="142">
      <c r="A142" s="2">
        <f>IFERROR(__xludf.DUMMYFUNCTION("""COMPUTED_VALUE"""),41913.0)</f>
        <v>41913</v>
      </c>
      <c r="B142" s="1" t="str">
        <f>IFERROR(__xludf.DUMMYFUNCTION("""COMPUTED_VALUE"""),"3.606 €/m2")</f>
        <v>3.606 €/m2</v>
      </c>
      <c r="C142" s="1" t="str">
        <f>IFERROR(__xludf.DUMMYFUNCTION("""COMPUTED_VALUE"""),"+ 0,1 %")</f>
        <v>+ 0,1 %</v>
      </c>
      <c r="D142" s="1" t="str">
        <f>IFERROR(__xludf.DUMMYFUNCTION("""COMPUTED_VALUE"""),"+ 0,5 %")</f>
        <v>+ 0,5 %</v>
      </c>
      <c r="E142" s="1" t="str">
        <f>IFERROR(__xludf.DUMMYFUNCTION("""COMPUTED_VALUE"""),"- 1,8 %")</f>
        <v>- 1,8 %</v>
      </c>
    </row>
    <row r="143">
      <c r="A143" s="2">
        <f>IFERROR(__xludf.DUMMYFUNCTION("""COMPUTED_VALUE"""),41883.0)</f>
        <v>41883</v>
      </c>
      <c r="B143" s="1" t="str">
        <f>IFERROR(__xludf.DUMMYFUNCTION("""COMPUTED_VALUE"""),"3.604 €/m2")</f>
        <v>3.604 €/m2</v>
      </c>
      <c r="C143" s="1" t="str">
        <f>IFERROR(__xludf.DUMMYFUNCTION("""COMPUTED_VALUE"""),"+ 0,8 %")</f>
        <v>+ 0,8 %</v>
      </c>
      <c r="D143" s="1" t="str">
        <f>IFERROR(__xludf.DUMMYFUNCTION("""COMPUTED_VALUE"""),"- 0,2 %")</f>
        <v>- 0,2 %</v>
      </c>
      <c r="E143" s="1" t="str">
        <f>IFERROR(__xludf.DUMMYFUNCTION("""COMPUTED_VALUE"""),"- 2,0 %")</f>
        <v>- 2,0 %</v>
      </c>
    </row>
    <row r="144">
      <c r="A144" s="2">
        <f>IFERROR(__xludf.DUMMYFUNCTION("""COMPUTED_VALUE"""),41852.0)</f>
        <v>41852</v>
      </c>
      <c r="B144" s="1" t="str">
        <f>IFERROR(__xludf.DUMMYFUNCTION("""COMPUTED_VALUE"""),"3.575 €/m2")</f>
        <v>3.575 €/m2</v>
      </c>
      <c r="C144" s="1" t="str">
        <f>IFERROR(__xludf.DUMMYFUNCTION("""COMPUTED_VALUE"""),"- 0,3 %")</f>
        <v>- 0,3 %</v>
      </c>
      <c r="D144" s="1" t="str">
        <f>IFERROR(__xludf.DUMMYFUNCTION("""COMPUTED_VALUE"""),"- 0,3 %")</f>
        <v>- 0,3 %</v>
      </c>
      <c r="E144" s="1" t="str">
        <f>IFERROR(__xludf.DUMMYFUNCTION("""COMPUTED_VALUE"""),"- 2,1 %")</f>
        <v>- 2,1 %</v>
      </c>
    </row>
    <row r="145">
      <c r="A145" s="2">
        <f>IFERROR(__xludf.DUMMYFUNCTION("""COMPUTED_VALUE"""),41821.0)</f>
        <v>41821</v>
      </c>
      <c r="B145" s="1" t="str">
        <f>IFERROR(__xludf.DUMMYFUNCTION("""COMPUTED_VALUE"""),"3.586 €/m2")</f>
        <v>3.586 €/m2</v>
      </c>
      <c r="C145" s="1" t="str">
        <f>IFERROR(__xludf.DUMMYFUNCTION("""COMPUTED_VALUE"""),"- 0,6 %")</f>
        <v>- 0,6 %</v>
      </c>
      <c r="D145" s="1" t="str">
        <f>IFERROR(__xludf.DUMMYFUNCTION("""COMPUTED_VALUE"""),"+ 0,7 %")</f>
        <v>+ 0,7 %</v>
      </c>
      <c r="E145" s="1" t="str">
        <f>IFERROR(__xludf.DUMMYFUNCTION("""COMPUTED_VALUE"""),"- 2,4 %")</f>
        <v>- 2,4 %</v>
      </c>
    </row>
    <row r="146">
      <c r="A146" s="2">
        <f>IFERROR(__xludf.DUMMYFUNCTION("""COMPUTED_VALUE"""),41791.0)</f>
        <v>41791</v>
      </c>
      <c r="B146" s="1" t="str">
        <f>IFERROR(__xludf.DUMMYFUNCTION("""COMPUTED_VALUE"""),"3.610 €/m2")</f>
        <v>3.610 €/m2</v>
      </c>
      <c r="C146" s="1" t="str">
        <f>IFERROR(__xludf.DUMMYFUNCTION("""COMPUTED_VALUE"""),"+ 0,6 %")</f>
        <v>+ 0,6 %</v>
      </c>
      <c r="D146" s="1" t="str">
        <f>IFERROR(__xludf.DUMMYFUNCTION("""COMPUTED_VALUE"""),"+ 0,7 %")</f>
        <v>+ 0,7 %</v>
      </c>
      <c r="E146" s="1" t="str">
        <f>IFERROR(__xludf.DUMMYFUNCTION("""COMPUTED_VALUE"""),"- 1,7 %")</f>
        <v>- 1,7 %</v>
      </c>
    </row>
    <row r="147">
      <c r="A147" s="2">
        <f>IFERROR(__xludf.DUMMYFUNCTION("""COMPUTED_VALUE"""),41760.0)</f>
        <v>41760</v>
      </c>
      <c r="B147" s="1" t="str">
        <f>IFERROR(__xludf.DUMMYFUNCTION("""COMPUTED_VALUE"""),"3.587 €/m2")</f>
        <v>3.587 €/m2</v>
      </c>
      <c r="C147" s="1" t="str">
        <f>IFERROR(__xludf.DUMMYFUNCTION("""COMPUTED_VALUE"""),"+ 0,7 %")</f>
        <v>+ 0,7 %</v>
      </c>
      <c r="D147" s="1" t="str">
        <f>IFERROR(__xludf.DUMMYFUNCTION("""COMPUTED_VALUE"""),"+ 0,3 %")</f>
        <v>+ 0,3 %</v>
      </c>
      <c r="E147" s="1" t="str">
        <f>IFERROR(__xludf.DUMMYFUNCTION("""COMPUTED_VALUE"""),"- 3,2 %")</f>
        <v>- 3,2 %</v>
      </c>
    </row>
    <row r="148">
      <c r="A148" s="2">
        <f>IFERROR(__xludf.DUMMYFUNCTION("""COMPUTED_VALUE"""),41730.0)</f>
        <v>41730</v>
      </c>
      <c r="B148" s="1" t="str">
        <f>IFERROR(__xludf.DUMMYFUNCTION("""COMPUTED_VALUE"""),"3.562 €/m2")</f>
        <v>3.562 €/m2</v>
      </c>
      <c r="C148" s="1" t="str">
        <f>IFERROR(__xludf.DUMMYFUNCTION("""COMPUTED_VALUE"""),"- 0,6 %")</f>
        <v>- 0,6 %</v>
      </c>
      <c r="D148" s="1" t="str">
        <f>IFERROR(__xludf.DUMMYFUNCTION("""COMPUTED_VALUE"""),"- 0,9 %")</f>
        <v>- 0,9 %</v>
      </c>
      <c r="E148" s="1" t="str">
        <f>IFERROR(__xludf.DUMMYFUNCTION("""COMPUTED_VALUE"""),"- 5,0 %")</f>
        <v>- 5,0 %</v>
      </c>
    </row>
    <row r="149">
      <c r="A149" s="2">
        <f>IFERROR(__xludf.DUMMYFUNCTION("""COMPUTED_VALUE"""),41699.0)</f>
        <v>41699</v>
      </c>
      <c r="B149" s="1" t="str">
        <f>IFERROR(__xludf.DUMMYFUNCTION("""COMPUTED_VALUE"""),"3.584 €/m2")</f>
        <v>3.584 €/m2</v>
      </c>
      <c r="C149" s="1" t="str">
        <f>IFERROR(__xludf.DUMMYFUNCTION("""COMPUTED_VALUE"""),"+ 0,2 %")</f>
        <v>+ 0,2 %</v>
      </c>
      <c r="D149" s="1" t="str">
        <f>IFERROR(__xludf.DUMMYFUNCTION("""COMPUTED_VALUE"""),"- 0,8 %")</f>
        <v>- 0,8 %</v>
      </c>
      <c r="E149" s="1" t="str">
        <f>IFERROR(__xludf.DUMMYFUNCTION("""COMPUTED_VALUE"""),"- 4,5 %")</f>
        <v>- 4,5 %</v>
      </c>
    </row>
    <row r="150">
      <c r="A150" s="2">
        <f>IFERROR(__xludf.DUMMYFUNCTION("""COMPUTED_VALUE"""),41671.0)</f>
        <v>41671</v>
      </c>
      <c r="B150" s="1" t="str">
        <f>IFERROR(__xludf.DUMMYFUNCTION("""COMPUTED_VALUE"""),"3.575 €/m2")</f>
        <v>3.575 €/m2</v>
      </c>
      <c r="C150" s="1" t="str">
        <f>IFERROR(__xludf.DUMMYFUNCTION("""COMPUTED_VALUE"""),"- 0,5 %")</f>
        <v>- 0,5 %</v>
      </c>
      <c r="D150" s="1" t="str">
        <f>IFERROR(__xludf.DUMMYFUNCTION("""COMPUTED_VALUE"""),"- 2,6 %")</f>
        <v>- 2,6 %</v>
      </c>
      <c r="E150" s="1" t="str">
        <f>IFERROR(__xludf.DUMMYFUNCTION("""COMPUTED_VALUE"""),"- 7,1 %")</f>
        <v>- 7,1 %</v>
      </c>
    </row>
    <row r="151">
      <c r="A151" s="2">
        <f>IFERROR(__xludf.DUMMYFUNCTION("""COMPUTED_VALUE"""),41640.0)</f>
        <v>41640</v>
      </c>
      <c r="B151" s="1" t="str">
        <f>IFERROR(__xludf.DUMMYFUNCTION("""COMPUTED_VALUE"""),"3.593 €/m2")</f>
        <v>3.593 €/m2</v>
      </c>
      <c r="C151" s="1" t="str">
        <f>IFERROR(__xludf.DUMMYFUNCTION("""COMPUTED_VALUE"""),"- 0,6 %")</f>
        <v>- 0,6 %</v>
      </c>
      <c r="D151" s="1" t="str">
        <f>IFERROR(__xludf.DUMMYFUNCTION("""COMPUTED_VALUE"""),"- 2,1 %")</f>
        <v>- 2,1 %</v>
      </c>
      <c r="E151" s="1" t="str">
        <f>IFERROR(__xludf.DUMMYFUNCTION("""COMPUTED_VALUE"""),"- 6,8 %")</f>
        <v>- 6,8 %</v>
      </c>
    </row>
    <row r="152">
      <c r="A152" s="2">
        <f>IFERROR(__xludf.DUMMYFUNCTION("""COMPUTED_VALUE"""),41609.0)</f>
        <v>41609</v>
      </c>
      <c r="B152" s="1" t="str">
        <f>IFERROR(__xludf.DUMMYFUNCTION("""COMPUTED_VALUE"""),"3.613 €/m2")</f>
        <v>3.613 €/m2</v>
      </c>
      <c r="C152" s="1" t="str">
        <f>IFERROR(__xludf.DUMMYFUNCTION("""COMPUTED_VALUE"""),"- 1,6 %")</f>
        <v>- 1,6 %</v>
      </c>
      <c r="D152" s="1" t="str">
        <f>IFERROR(__xludf.DUMMYFUNCTION("""COMPUTED_VALUE"""),"- 1,8 %")</f>
        <v>- 1,8 %</v>
      </c>
      <c r="E152" s="1" t="str">
        <f>IFERROR(__xludf.DUMMYFUNCTION("""COMPUTED_VALUE"""),"- 6,4 %")</f>
        <v>- 6,4 %</v>
      </c>
    </row>
    <row r="153">
      <c r="A153" s="2">
        <f>IFERROR(__xludf.DUMMYFUNCTION("""COMPUTED_VALUE"""),41579.0)</f>
        <v>41579</v>
      </c>
      <c r="B153" s="1" t="str">
        <f>IFERROR(__xludf.DUMMYFUNCTION("""COMPUTED_VALUE"""),"3.671 €/m2")</f>
        <v>3.671 €/m2</v>
      </c>
      <c r="C153" s="1" t="str">
        <f>IFERROR(__xludf.DUMMYFUNCTION("""COMPUTED_VALUE"""),"0,0 %")</f>
        <v>0,0 %</v>
      </c>
      <c r="D153" s="1" t="str">
        <f>IFERROR(__xludf.DUMMYFUNCTION("""COMPUTED_VALUE"""),"+ 0,5 %")</f>
        <v>+ 0,5 %</v>
      </c>
      <c r="E153" s="1" t="str">
        <f>IFERROR(__xludf.DUMMYFUNCTION("""COMPUTED_VALUE"""),"- 5,5 %")</f>
        <v>- 5,5 %</v>
      </c>
    </row>
    <row r="154">
      <c r="A154" s="2">
        <f>IFERROR(__xludf.DUMMYFUNCTION("""COMPUTED_VALUE"""),41548.0)</f>
        <v>41548</v>
      </c>
      <c r="B154" s="1" t="str">
        <f>IFERROR(__xludf.DUMMYFUNCTION("""COMPUTED_VALUE"""),"3.671 €/m2")</f>
        <v>3.671 €/m2</v>
      </c>
      <c r="C154" s="1" t="str">
        <f>IFERROR(__xludf.DUMMYFUNCTION("""COMPUTED_VALUE"""),"- 0,2 %")</f>
        <v>- 0,2 %</v>
      </c>
      <c r="D154" s="1" t="str">
        <f>IFERROR(__xludf.DUMMYFUNCTION("""COMPUTED_VALUE"""),"- 0,1 %")</f>
        <v>- 0,1 %</v>
      </c>
      <c r="E154" s="1" t="str">
        <f>IFERROR(__xludf.DUMMYFUNCTION("""COMPUTED_VALUE"""),"- 6,4 %")</f>
        <v>- 6,4 %</v>
      </c>
    </row>
    <row r="155">
      <c r="A155" s="2">
        <f>IFERROR(__xludf.DUMMYFUNCTION("""COMPUTED_VALUE"""),41518.0)</f>
        <v>41518</v>
      </c>
      <c r="B155" s="1" t="str">
        <f>IFERROR(__xludf.DUMMYFUNCTION("""COMPUTED_VALUE"""),"3.678 €/m2")</f>
        <v>3.678 €/m2</v>
      </c>
      <c r="C155" s="1" t="str">
        <f>IFERROR(__xludf.DUMMYFUNCTION("""COMPUTED_VALUE"""),"+ 0,7 %")</f>
        <v>+ 0,7 %</v>
      </c>
      <c r="D155" s="1" t="str">
        <f>IFERROR(__xludf.DUMMYFUNCTION("""COMPUTED_VALUE"""),"+ 0,1 %")</f>
        <v>+ 0,1 %</v>
      </c>
      <c r="E155" s="1" t="str">
        <f>IFERROR(__xludf.DUMMYFUNCTION("""COMPUTED_VALUE"""),"- 6,1 %")</f>
        <v>- 6,1 %</v>
      </c>
    </row>
    <row r="156">
      <c r="A156" s="2">
        <f>IFERROR(__xludf.DUMMYFUNCTION("""COMPUTED_VALUE"""),41487.0)</f>
        <v>41487</v>
      </c>
      <c r="B156" s="1" t="str">
        <f>IFERROR(__xludf.DUMMYFUNCTION("""COMPUTED_VALUE"""),"3.653 €/m2")</f>
        <v>3.653 €/m2</v>
      </c>
      <c r="C156" s="1" t="str">
        <f>IFERROR(__xludf.DUMMYFUNCTION("""COMPUTED_VALUE"""),"- 0,6 %")</f>
        <v>- 0,6 %</v>
      </c>
      <c r="D156" s="1" t="str">
        <f>IFERROR(__xludf.DUMMYFUNCTION("""COMPUTED_VALUE"""),"- 1,4 %")</f>
        <v>- 1,4 %</v>
      </c>
      <c r="E156" s="1" t="str">
        <f>IFERROR(__xludf.DUMMYFUNCTION("""COMPUTED_VALUE"""),"- 7,0 %")</f>
        <v>- 7,0 %</v>
      </c>
    </row>
    <row r="157">
      <c r="A157" s="2">
        <f>IFERROR(__xludf.DUMMYFUNCTION("""COMPUTED_VALUE"""),41456.0)</f>
        <v>41456</v>
      </c>
      <c r="B157" s="1" t="str">
        <f>IFERROR(__xludf.DUMMYFUNCTION("""COMPUTED_VALUE"""),"3.674 €/m2")</f>
        <v>3.674 €/m2</v>
      </c>
      <c r="C157" s="1" t="str">
        <f>IFERROR(__xludf.DUMMYFUNCTION("""COMPUTED_VALUE"""),"0,0 %")</f>
        <v>0,0 %</v>
      </c>
      <c r="D157" s="1" t="str">
        <f>IFERROR(__xludf.DUMMYFUNCTION("""COMPUTED_VALUE"""),"- 2,0 %")</f>
        <v>- 2,0 %</v>
      </c>
      <c r="E157" s="1" t="str">
        <f>IFERROR(__xludf.DUMMYFUNCTION("""COMPUTED_VALUE"""),"- 7,0 %")</f>
        <v>- 7,0 %</v>
      </c>
    </row>
    <row r="158">
      <c r="A158" s="2">
        <f>IFERROR(__xludf.DUMMYFUNCTION("""COMPUTED_VALUE"""),41426.0)</f>
        <v>41426</v>
      </c>
      <c r="B158" s="1" t="str">
        <f>IFERROR(__xludf.DUMMYFUNCTION("""COMPUTED_VALUE"""),"3.673 €/m2")</f>
        <v>3.673 €/m2</v>
      </c>
      <c r="C158" s="1" t="str">
        <f>IFERROR(__xludf.DUMMYFUNCTION("""COMPUTED_VALUE"""),"- 0,9 %")</f>
        <v>- 0,9 %</v>
      </c>
      <c r="D158" s="1" t="str">
        <f>IFERROR(__xludf.DUMMYFUNCTION("""COMPUTED_VALUE"""),"- 2,2 %")</f>
        <v>- 2,2 %</v>
      </c>
      <c r="E158" s="1" t="str">
        <f>IFERROR(__xludf.DUMMYFUNCTION("""COMPUTED_VALUE"""),"- 8,3 %")</f>
        <v>- 8,3 %</v>
      </c>
    </row>
    <row r="159">
      <c r="A159" s="2">
        <f>IFERROR(__xludf.DUMMYFUNCTION("""COMPUTED_VALUE"""),41395.0)</f>
        <v>41395</v>
      </c>
      <c r="B159" s="1" t="str">
        <f>IFERROR(__xludf.DUMMYFUNCTION("""COMPUTED_VALUE"""),"3.705 €/m2")</f>
        <v>3.705 €/m2</v>
      </c>
      <c r="C159" s="1" t="str">
        <f>IFERROR(__xludf.DUMMYFUNCTION("""COMPUTED_VALUE"""),"- 1,1 %")</f>
        <v>- 1,1 %</v>
      </c>
      <c r="D159" s="1" t="str">
        <f>IFERROR(__xludf.DUMMYFUNCTION("""COMPUTED_VALUE"""),"- 3,7 %")</f>
        <v>- 3,7 %</v>
      </c>
      <c r="E159" s="1" t="str">
        <f>IFERROR(__xludf.DUMMYFUNCTION("""COMPUTED_VALUE"""),"- 8,6 %")</f>
        <v>- 8,6 %</v>
      </c>
    </row>
    <row r="160">
      <c r="A160" s="2">
        <f>IFERROR(__xludf.DUMMYFUNCTION("""COMPUTED_VALUE"""),41365.0)</f>
        <v>41365</v>
      </c>
      <c r="B160" s="1" t="str">
        <f>IFERROR(__xludf.DUMMYFUNCTION("""COMPUTED_VALUE"""),"3.748 €/m2")</f>
        <v>3.748 €/m2</v>
      </c>
      <c r="C160" s="1" t="str">
        <f>IFERROR(__xludf.DUMMYFUNCTION("""COMPUTED_VALUE"""),"- 0,2 %")</f>
        <v>- 0,2 %</v>
      </c>
      <c r="D160" s="1" t="str">
        <f>IFERROR(__xludf.DUMMYFUNCTION("""COMPUTED_VALUE"""),"- 2,8 %")</f>
        <v>- 2,8 %</v>
      </c>
      <c r="E160" s="1" t="str">
        <f>IFERROR(__xludf.DUMMYFUNCTION("""COMPUTED_VALUE"""),"- 8,3 %")</f>
        <v>- 8,3 %</v>
      </c>
    </row>
    <row r="161">
      <c r="A161" s="2">
        <f>IFERROR(__xludf.DUMMYFUNCTION("""COMPUTED_VALUE"""),41334.0)</f>
        <v>41334</v>
      </c>
      <c r="B161" s="1" t="str">
        <f>IFERROR(__xludf.DUMMYFUNCTION("""COMPUTED_VALUE"""),"3.754 €/m2")</f>
        <v>3.754 €/m2</v>
      </c>
      <c r="C161" s="1" t="str">
        <f>IFERROR(__xludf.DUMMYFUNCTION("""COMPUTED_VALUE"""),"- 2,4 %")</f>
        <v>- 2,4 %</v>
      </c>
      <c r="D161" s="1" t="str">
        <f>IFERROR(__xludf.DUMMYFUNCTION("""COMPUTED_VALUE"""),"- 2,8 %")</f>
        <v>- 2,8 %</v>
      </c>
      <c r="E161" s="1" t="str">
        <f>IFERROR(__xludf.DUMMYFUNCTION("""COMPUTED_VALUE"""),"- 8,7 %")</f>
        <v>- 8,7 %</v>
      </c>
    </row>
    <row r="162">
      <c r="A162" s="2">
        <f>IFERROR(__xludf.DUMMYFUNCTION("""COMPUTED_VALUE"""),41306.0)</f>
        <v>41306</v>
      </c>
      <c r="B162" s="1" t="str">
        <f>IFERROR(__xludf.DUMMYFUNCTION("""COMPUTED_VALUE"""),"3.847 €/m2")</f>
        <v>3.847 €/m2</v>
      </c>
      <c r="C162" s="1" t="str">
        <f>IFERROR(__xludf.DUMMYFUNCTION("""COMPUTED_VALUE"""),"- 0,3 %")</f>
        <v>- 0,3 %</v>
      </c>
      <c r="D162" s="1" t="str">
        <f>IFERROR(__xludf.DUMMYFUNCTION("""COMPUTED_VALUE"""),"- 1,0 %")</f>
        <v>- 1,0 %</v>
      </c>
      <c r="E162" s="1" t="str">
        <f>IFERROR(__xludf.DUMMYFUNCTION("""COMPUTED_VALUE"""),"- 6,6 %")</f>
        <v>- 6,6 %</v>
      </c>
    </row>
    <row r="163">
      <c r="A163" s="2">
        <f>IFERROR(__xludf.DUMMYFUNCTION("""COMPUTED_VALUE"""),41275.0)</f>
        <v>41275</v>
      </c>
      <c r="B163" s="1" t="str">
        <f>IFERROR(__xludf.DUMMYFUNCTION("""COMPUTED_VALUE"""),"3.857 €/m2")</f>
        <v>3.857 €/m2</v>
      </c>
      <c r="C163" s="1" t="str">
        <f>IFERROR(__xludf.DUMMYFUNCTION("""COMPUTED_VALUE"""),"- 0,1 %")</f>
        <v>- 0,1 %</v>
      </c>
      <c r="D163" s="1" t="str">
        <f>IFERROR(__xludf.DUMMYFUNCTION("""COMPUTED_VALUE"""),"- 1,7 %")</f>
        <v>- 1,7 %</v>
      </c>
      <c r="E163" s="1" t="str">
        <f>IFERROR(__xludf.DUMMYFUNCTION("""COMPUTED_VALUE"""),"- 7,0 %")</f>
        <v>- 7,0 %</v>
      </c>
    </row>
    <row r="164">
      <c r="A164" s="2">
        <f>IFERROR(__xludf.DUMMYFUNCTION("""COMPUTED_VALUE"""),41244.0)</f>
        <v>41244</v>
      </c>
      <c r="B164" s="1" t="str">
        <f>IFERROR(__xludf.DUMMYFUNCTION("""COMPUTED_VALUE"""),"3.861 €/m2")</f>
        <v>3.861 €/m2</v>
      </c>
      <c r="C164" s="1" t="str">
        <f>IFERROR(__xludf.DUMMYFUNCTION("""COMPUTED_VALUE"""),"- 0,6 %")</f>
        <v>- 0,6 %</v>
      </c>
      <c r="D164" s="1" t="str">
        <f>IFERROR(__xludf.DUMMYFUNCTION("""COMPUTED_VALUE"""),"- 1,4 %")</f>
        <v>- 1,4 %</v>
      </c>
      <c r="E164" s="1" t="str">
        <f>IFERROR(__xludf.DUMMYFUNCTION("""COMPUTED_VALUE"""),"- 7,2 %")</f>
        <v>- 7,2 %</v>
      </c>
    </row>
    <row r="165">
      <c r="A165" s="2">
        <f>IFERROR(__xludf.DUMMYFUNCTION("""COMPUTED_VALUE"""),41214.0)</f>
        <v>41214</v>
      </c>
      <c r="B165" s="1" t="str">
        <f>IFERROR(__xludf.DUMMYFUNCTION("""COMPUTED_VALUE"""),"3.885 €/m2")</f>
        <v>3.885 €/m2</v>
      </c>
      <c r="C165" s="1" t="str">
        <f>IFERROR(__xludf.DUMMYFUNCTION("""COMPUTED_VALUE"""),"- 1,0 %")</f>
        <v>- 1,0 %</v>
      </c>
      <c r="D165" s="1" t="str">
        <f>IFERROR(__xludf.DUMMYFUNCTION("""COMPUTED_VALUE"""),"- 1,1 %")</f>
        <v>- 1,1 %</v>
      </c>
      <c r="E165" s="1" t="str">
        <f>IFERROR(__xludf.DUMMYFUNCTION("""COMPUTED_VALUE"""),"- 8,0 %")</f>
        <v>- 8,0 %</v>
      </c>
    </row>
    <row r="166">
      <c r="A166" s="2">
        <f>IFERROR(__xludf.DUMMYFUNCTION("""COMPUTED_VALUE"""),41183.0)</f>
        <v>41183</v>
      </c>
      <c r="B166" s="1" t="str">
        <f>IFERROR(__xludf.DUMMYFUNCTION("""COMPUTED_VALUE"""),"3.923 €/m2")</f>
        <v>3.923 €/m2</v>
      </c>
      <c r="C166" s="1" t="str">
        <f>IFERROR(__xludf.DUMMYFUNCTION("""COMPUTED_VALUE"""),"+ 0,2 %")</f>
        <v>+ 0,2 %</v>
      </c>
      <c r="D166" s="1" t="str">
        <f>IFERROR(__xludf.DUMMYFUNCTION("""COMPUTED_VALUE"""),"- 0,7 %")</f>
        <v>- 0,7 %</v>
      </c>
      <c r="E166" s="1" t="str">
        <f>IFERROR(__xludf.DUMMYFUNCTION("""COMPUTED_VALUE"""),"- 7,0 %")</f>
        <v>- 7,0 %</v>
      </c>
    </row>
    <row r="167">
      <c r="A167" s="2">
        <f>IFERROR(__xludf.DUMMYFUNCTION("""COMPUTED_VALUE"""),41153.0)</f>
        <v>41153</v>
      </c>
      <c r="B167" s="1" t="str">
        <f>IFERROR(__xludf.DUMMYFUNCTION("""COMPUTED_VALUE"""),"3.915 €/m2")</f>
        <v>3.915 €/m2</v>
      </c>
      <c r="C167" s="1" t="str">
        <f>IFERROR(__xludf.DUMMYFUNCTION("""COMPUTED_VALUE"""),"- 0,3 %")</f>
        <v>- 0,3 %</v>
      </c>
      <c r="D167" s="1" t="str">
        <f>IFERROR(__xludf.DUMMYFUNCTION("""COMPUTED_VALUE"""),"- 2,2 %")</f>
        <v>- 2,2 %</v>
      </c>
      <c r="E167" s="1" t="str">
        <f>IFERROR(__xludf.DUMMYFUNCTION("""COMPUTED_VALUE"""),"- 8,1 %")</f>
        <v>- 8,1 %</v>
      </c>
    </row>
    <row r="168">
      <c r="A168" s="2">
        <f>IFERROR(__xludf.DUMMYFUNCTION("""COMPUTED_VALUE"""),41122.0)</f>
        <v>41122</v>
      </c>
      <c r="B168" s="1" t="str">
        <f>IFERROR(__xludf.DUMMYFUNCTION("""COMPUTED_VALUE"""),"3.929 €/m2")</f>
        <v>3.929 €/m2</v>
      </c>
      <c r="C168" s="1" t="str">
        <f>IFERROR(__xludf.DUMMYFUNCTION("""COMPUTED_VALUE"""),"- 0,6 %")</f>
        <v>- 0,6 %</v>
      </c>
      <c r="D168" s="1" t="str">
        <f>IFERROR(__xludf.DUMMYFUNCTION("""COMPUTED_VALUE"""),"- 3,1 %")</f>
        <v>- 3,1 %</v>
      </c>
      <c r="E168" s="1" t="str">
        <f>IFERROR(__xludf.DUMMYFUNCTION("""COMPUTED_VALUE"""),"- 7,6 %")</f>
        <v>- 7,6 %</v>
      </c>
    </row>
    <row r="169">
      <c r="A169" s="2">
        <f>IFERROR(__xludf.DUMMYFUNCTION("""COMPUTED_VALUE"""),41091.0)</f>
        <v>41091</v>
      </c>
      <c r="B169" s="1" t="str">
        <f>IFERROR(__xludf.DUMMYFUNCTION("""COMPUTED_VALUE"""),"3.952 €/m2")</f>
        <v>3.952 €/m2</v>
      </c>
      <c r="C169" s="1" t="str">
        <f>IFERROR(__xludf.DUMMYFUNCTION("""COMPUTED_VALUE"""),"- 1,3 %")</f>
        <v>- 1,3 %</v>
      </c>
      <c r="D169" s="1" t="str">
        <f>IFERROR(__xludf.DUMMYFUNCTION("""COMPUTED_VALUE"""),"- 3,3 %")</f>
        <v>- 3,3 %</v>
      </c>
      <c r="E169" s="1" t="str">
        <f>IFERROR(__xludf.DUMMYFUNCTION("""COMPUTED_VALUE"""),"- 8,5 %")</f>
        <v>- 8,5 %</v>
      </c>
    </row>
    <row r="170">
      <c r="A170" s="2">
        <f>IFERROR(__xludf.DUMMYFUNCTION("""COMPUTED_VALUE"""),41061.0)</f>
        <v>41061</v>
      </c>
      <c r="B170" s="1" t="str">
        <f>IFERROR(__xludf.DUMMYFUNCTION("""COMPUTED_VALUE"""),"4.004 €/m2")</f>
        <v>4.004 €/m2</v>
      </c>
      <c r="C170" s="1" t="str">
        <f>IFERROR(__xludf.DUMMYFUNCTION("""COMPUTED_VALUE"""),"- 1,2 %")</f>
        <v>- 1,2 %</v>
      </c>
      <c r="D170" s="1" t="str">
        <f>IFERROR(__xludf.DUMMYFUNCTION("""COMPUTED_VALUE"""),"- 2,6 %")</f>
        <v>- 2,6 %</v>
      </c>
      <c r="E170" s="1" t="str">
        <f>IFERROR(__xludf.DUMMYFUNCTION("""COMPUTED_VALUE"""),"- 7,8 %")</f>
        <v>- 7,8 %</v>
      </c>
    </row>
    <row r="171">
      <c r="A171" s="2">
        <f>IFERROR(__xludf.DUMMYFUNCTION("""COMPUTED_VALUE"""),41030.0)</f>
        <v>41030</v>
      </c>
      <c r="B171" s="1" t="str">
        <f>IFERROR(__xludf.DUMMYFUNCTION("""COMPUTED_VALUE"""),"4.054 €/m2")</f>
        <v>4.054 €/m2</v>
      </c>
      <c r="C171" s="1" t="str">
        <f>IFERROR(__xludf.DUMMYFUNCTION("""COMPUTED_VALUE"""),"- 0,8 %")</f>
        <v>- 0,8 %</v>
      </c>
      <c r="D171" s="1" t="str">
        <f>IFERROR(__xludf.DUMMYFUNCTION("""COMPUTED_VALUE"""),"- 1,6 %")</f>
        <v>- 1,6 %</v>
      </c>
      <c r="E171" s="1" t="str">
        <f>IFERROR(__xludf.DUMMYFUNCTION("""COMPUTED_VALUE"""),"- 7,9 %")</f>
        <v>- 7,9 %</v>
      </c>
    </row>
    <row r="172">
      <c r="A172" s="2">
        <f>IFERROR(__xludf.DUMMYFUNCTION("""COMPUTED_VALUE"""),41000.0)</f>
        <v>41000</v>
      </c>
      <c r="B172" s="1" t="str">
        <f>IFERROR(__xludf.DUMMYFUNCTION("""COMPUTED_VALUE"""),"4.087 €/m2")</f>
        <v>4.087 €/m2</v>
      </c>
      <c r="C172" s="1" t="str">
        <f>IFERROR(__xludf.DUMMYFUNCTION("""COMPUTED_VALUE"""),"- 0,6 %")</f>
        <v>- 0,6 %</v>
      </c>
      <c r="D172" s="1" t="str">
        <f>IFERROR(__xludf.DUMMYFUNCTION("""COMPUTED_VALUE"""),"- 1,4 %")</f>
        <v>- 1,4 %</v>
      </c>
      <c r="E172" s="1" t="str">
        <f>IFERROR(__xludf.DUMMYFUNCTION("""COMPUTED_VALUE"""),"- 6,7 %")</f>
        <v>- 6,7 %</v>
      </c>
    </row>
    <row r="173">
      <c r="A173" s="2">
        <f>IFERROR(__xludf.DUMMYFUNCTION("""COMPUTED_VALUE"""),40969.0)</f>
        <v>40969</v>
      </c>
      <c r="B173" s="1" t="str">
        <f>IFERROR(__xludf.DUMMYFUNCTION("""COMPUTED_VALUE"""),"4.112 €/m2")</f>
        <v>4.112 €/m2</v>
      </c>
      <c r="C173" s="1" t="str">
        <f>IFERROR(__xludf.DUMMYFUNCTION("""COMPUTED_VALUE"""),"- 0,2 %")</f>
        <v>- 0,2 %</v>
      </c>
      <c r="D173" s="1" t="str">
        <f>IFERROR(__xludf.DUMMYFUNCTION("""COMPUTED_VALUE"""),"- 1,2 %")</f>
        <v>- 1,2 %</v>
      </c>
      <c r="E173" s="1" t="str">
        <f>IFERROR(__xludf.DUMMYFUNCTION("""COMPUTED_VALUE"""),"- 6,9 %")</f>
        <v>- 6,9 %</v>
      </c>
    </row>
    <row r="174">
      <c r="A174" s="2">
        <f>IFERROR(__xludf.DUMMYFUNCTION("""COMPUTED_VALUE"""),40940.0)</f>
        <v>40940</v>
      </c>
      <c r="B174" s="1" t="str">
        <f>IFERROR(__xludf.DUMMYFUNCTION("""COMPUTED_VALUE"""),"4.120 €/m2")</f>
        <v>4.120 €/m2</v>
      </c>
      <c r="C174" s="1" t="str">
        <f>IFERROR(__xludf.DUMMYFUNCTION("""COMPUTED_VALUE"""),"- 0,7 %")</f>
        <v>- 0,7 %</v>
      </c>
      <c r="D174" s="1" t="str">
        <f>IFERROR(__xludf.DUMMYFUNCTION("""COMPUTED_VALUE"""),"- 2,4 %")</f>
        <v>- 2,4 %</v>
      </c>
      <c r="E174" s="1" t="str">
        <f>IFERROR(__xludf.DUMMYFUNCTION("""COMPUTED_VALUE"""),"- 7,1 %")</f>
        <v>- 7,1 %</v>
      </c>
    </row>
    <row r="175">
      <c r="A175" s="2">
        <f>IFERROR(__xludf.DUMMYFUNCTION("""COMPUTED_VALUE"""),40909.0)</f>
        <v>40909</v>
      </c>
      <c r="B175" s="1" t="str">
        <f>IFERROR(__xludf.DUMMYFUNCTION("""COMPUTED_VALUE"""),"4.147 €/m2")</f>
        <v>4.147 €/m2</v>
      </c>
      <c r="C175" s="1" t="str">
        <f>IFERROR(__xludf.DUMMYFUNCTION("""COMPUTED_VALUE"""),"- 0,3 %")</f>
        <v>- 0,3 %</v>
      </c>
      <c r="D175" s="1" t="str">
        <f>IFERROR(__xludf.DUMMYFUNCTION("""COMPUTED_VALUE"""),"- 1,7 %")</f>
        <v>- 1,7 %</v>
      </c>
      <c r="E175" s="1" t="str">
        <f>IFERROR(__xludf.DUMMYFUNCTION("""COMPUTED_VALUE"""),"- 8,2 %")</f>
        <v>- 8,2 %</v>
      </c>
    </row>
    <row r="176">
      <c r="A176" s="2">
        <f>IFERROR(__xludf.DUMMYFUNCTION("""COMPUTED_VALUE"""),40878.0)</f>
        <v>40878</v>
      </c>
      <c r="B176" s="1" t="str">
        <f>IFERROR(__xludf.DUMMYFUNCTION("""COMPUTED_VALUE"""),"4.161 €/m2")</f>
        <v>4.161 €/m2</v>
      </c>
      <c r="C176" s="1" t="str">
        <f>IFERROR(__xludf.DUMMYFUNCTION("""COMPUTED_VALUE"""),"- 1,4 %")</f>
        <v>- 1,4 %</v>
      </c>
      <c r="D176" s="1" t="str">
        <f>IFERROR(__xludf.DUMMYFUNCTION("""COMPUTED_VALUE"""),"- 2,3 %")</f>
        <v>- 2,3 %</v>
      </c>
      <c r="E176" s="1" t="str">
        <f>IFERROR(__xludf.DUMMYFUNCTION("""COMPUTED_VALUE"""),"- 7,7 %")</f>
        <v>- 7,7 %</v>
      </c>
    </row>
    <row r="177">
      <c r="A177" s="2">
        <f>IFERROR(__xludf.DUMMYFUNCTION("""COMPUTED_VALUE"""),40848.0)</f>
        <v>40848</v>
      </c>
      <c r="B177" s="1" t="str">
        <f>IFERROR(__xludf.DUMMYFUNCTION("""COMPUTED_VALUE"""),"4.221 €/m2")</f>
        <v>4.221 €/m2</v>
      </c>
      <c r="C177" s="1" t="str">
        <f>IFERROR(__xludf.DUMMYFUNCTION("""COMPUTED_VALUE"""),"0,0 %")</f>
        <v>0,0 %</v>
      </c>
      <c r="D177" s="1" t="str">
        <f>IFERROR(__xludf.DUMMYFUNCTION("""COMPUTED_VALUE"""),"- 0,7 %")</f>
        <v>- 0,7 %</v>
      </c>
      <c r="E177" s="1" t="str">
        <f>IFERROR(__xludf.DUMMYFUNCTION("""COMPUTED_VALUE"""),"- 7,0 %")</f>
        <v>- 7,0 %</v>
      </c>
    </row>
    <row r="178">
      <c r="A178" s="2">
        <f>IFERROR(__xludf.DUMMYFUNCTION("""COMPUTED_VALUE"""),40817.0)</f>
        <v>40817</v>
      </c>
      <c r="B178" s="1" t="str">
        <f>IFERROR(__xludf.DUMMYFUNCTION("""COMPUTED_VALUE"""),"4.221 €/m2")</f>
        <v>4.221 €/m2</v>
      </c>
      <c r="C178" s="1" t="str">
        <f>IFERROR(__xludf.DUMMYFUNCTION("""COMPUTED_VALUE"""),"- 0,9 %")</f>
        <v>- 0,9 %</v>
      </c>
      <c r="D178" s="1" t="str">
        <f>IFERROR(__xludf.DUMMYFUNCTION("""COMPUTED_VALUE"""),"- 2,3 %")</f>
        <v>- 2,3 %</v>
      </c>
      <c r="E178" s="1" t="str">
        <f>IFERROR(__xludf.DUMMYFUNCTION("""COMPUTED_VALUE"""),"- 5,8 %")</f>
        <v>- 5,8 %</v>
      </c>
    </row>
    <row r="179">
      <c r="A179" s="2">
        <f>IFERROR(__xludf.DUMMYFUNCTION("""COMPUTED_VALUE"""),40787.0)</f>
        <v>40787</v>
      </c>
      <c r="B179" s="1" t="str">
        <f>IFERROR(__xludf.DUMMYFUNCTION("""COMPUTED_VALUE"""),"4.259 €/m2")</f>
        <v>4.259 €/m2</v>
      </c>
      <c r="C179" s="1" t="str">
        <f>IFERROR(__xludf.DUMMYFUNCTION("""COMPUTED_VALUE"""),"+ 0,1 %")</f>
        <v>+ 0,1 %</v>
      </c>
      <c r="D179" s="1" t="str">
        <f>IFERROR(__xludf.DUMMYFUNCTION("""COMPUTED_VALUE"""),"- 1,9 %")</f>
        <v>- 1,9 %</v>
      </c>
      <c r="E179" s="1" t="str">
        <f>IFERROR(__xludf.DUMMYFUNCTION("""COMPUTED_VALUE"""),"- 4,6 %")</f>
        <v>- 4,6 %</v>
      </c>
    </row>
    <row r="180">
      <c r="A180" s="2">
        <f>IFERROR(__xludf.DUMMYFUNCTION("""COMPUTED_VALUE"""),40756.0)</f>
        <v>40756</v>
      </c>
      <c r="B180" s="1" t="str">
        <f>IFERROR(__xludf.DUMMYFUNCTION("""COMPUTED_VALUE"""),"4.253 €/m2")</f>
        <v>4.253 €/m2</v>
      </c>
      <c r="C180" s="1" t="str">
        <f>IFERROR(__xludf.DUMMYFUNCTION("""COMPUTED_VALUE"""),"- 1,5 %")</f>
        <v>- 1,5 %</v>
      </c>
      <c r="D180" s="1" t="str">
        <f>IFERROR(__xludf.DUMMYFUNCTION("""COMPUTED_VALUE"""),"- 3,4 %")</f>
        <v>- 3,4 %</v>
      </c>
      <c r="E180" s="1" t="str">
        <f>IFERROR(__xludf.DUMMYFUNCTION("""COMPUTED_VALUE"""),"- 4,5 %")</f>
        <v>- 4,5 %</v>
      </c>
    </row>
    <row r="181">
      <c r="A181" s="2">
        <f>IFERROR(__xludf.DUMMYFUNCTION("""COMPUTED_VALUE"""),40725.0)</f>
        <v>40725</v>
      </c>
      <c r="B181" s="1" t="str">
        <f>IFERROR(__xludf.DUMMYFUNCTION("""COMPUTED_VALUE"""),"4.319 €/m2")</f>
        <v>4.319 €/m2</v>
      </c>
      <c r="C181" s="1" t="str">
        <f>IFERROR(__xludf.DUMMYFUNCTION("""COMPUTED_VALUE"""),"- 0,5 %")</f>
        <v>- 0,5 %</v>
      </c>
      <c r="D181" s="1" t="str">
        <f>IFERROR(__xludf.DUMMYFUNCTION("""COMPUTED_VALUE"""),"- 1,4 %")</f>
        <v>- 1,4 %</v>
      </c>
      <c r="E181" s="1" t="str">
        <f>IFERROR(__xludf.DUMMYFUNCTION("""COMPUTED_VALUE"""),"- 4,2 %")</f>
        <v>- 4,2 %</v>
      </c>
    </row>
    <row r="182">
      <c r="A182" s="2">
        <f>IFERROR(__xludf.DUMMYFUNCTION("""COMPUTED_VALUE"""),40695.0)</f>
        <v>40695</v>
      </c>
      <c r="B182" s="1" t="str">
        <f>IFERROR(__xludf.DUMMYFUNCTION("""COMPUTED_VALUE"""),"4.342 €/m2")</f>
        <v>4.342 €/m2</v>
      </c>
      <c r="C182" s="1" t="str">
        <f>IFERROR(__xludf.DUMMYFUNCTION("""COMPUTED_VALUE"""),"- 1,4 %")</f>
        <v>- 1,4 %</v>
      </c>
      <c r="D182" s="1" t="str">
        <f>IFERROR(__xludf.DUMMYFUNCTION("""COMPUTED_VALUE"""),"- 1,7 %")</f>
        <v>- 1,7 %</v>
      </c>
      <c r="E182" s="1" t="str">
        <f>IFERROR(__xludf.DUMMYFUNCTION("""COMPUTED_VALUE"""),"- 4,8 %")</f>
        <v>- 4,8 %</v>
      </c>
    </row>
    <row r="183">
      <c r="A183" s="2">
        <f>IFERROR(__xludf.DUMMYFUNCTION("""COMPUTED_VALUE"""),40664.0)</f>
        <v>40664</v>
      </c>
      <c r="B183" s="1" t="str">
        <f>IFERROR(__xludf.DUMMYFUNCTION("""COMPUTED_VALUE"""),"4.402 €/m2")</f>
        <v>4.402 €/m2</v>
      </c>
      <c r="C183" s="1" t="str">
        <f>IFERROR(__xludf.DUMMYFUNCTION("""COMPUTED_VALUE"""),"+ 0,5 %")</f>
        <v>+ 0,5 %</v>
      </c>
      <c r="D183" s="1" t="str">
        <f>IFERROR(__xludf.DUMMYFUNCTION("""COMPUTED_VALUE"""),"- 0,7 %")</f>
        <v>- 0,7 %</v>
      </c>
      <c r="E183" s="1" t="str">
        <f>IFERROR(__xludf.DUMMYFUNCTION("""COMPUTED_VALUE"""),"- 3,6 %")</f>
        <v>- 3,6 %</v>
      </c>
    </row>
    <row r="184">
      <c r="A184" s="2">
        <f>IFERROR(__xludf.DUMMYFUNCTION("""COMPUTED_VALUE"""),40634.0)</f>
        <v>40634</v>
      </c>
      <c r="B184" s="1" t="str">
        <f>IFERROR(__xludf.DUMMYFUNCTION("""COMPUTED_VALUE"""),"4.379 €/m2")</f>
        <v>4.379 €/m2</v>
      </c>
      <c r="C184" s="1" t="str">
        <f>IFERROR(__xludf.DUMMYFUNCTION("""COMPUTED_VALUE"""),"- 0,8 %")</f>
        <v>- 0,8 %</v>
      </c>
      <c r="D184" s="1" t="str">
        <f>IFERROR(__xludf.DUMMYFUNCTION("""COMPUTED_VALUE"""),"- 3,1 %")</f>
        <v>- 3,1 %</v>
      </c>
      <c r="E184" s="1" t="str">
        <f>IFERROR(__xludf.DUMMYFUNCTION("""COMPUTED_VALUE"""),"- 3,8 %")</f>
        <v>- 3,8 %</v>
      </c>
    </row>
    <row r="185">
      <c r="A185" s="2">
        <f>IFERROR(__xludf.DUMMYFUNCTION("""COMPUTED_VALUE"""),40603.0)</f>
        <v>40603</v>
      </c>
      <c r="B185" s="1" t="str">
        <f>IFERROR(__xludf.DUMMYFUNCTION("""COMPUTED_VALUE"""),"4.416 €/m2")</f>
        <v>4.416 €/m2</v>
      </c>
      <c r="C185" s="1" t="str">
        <f>IFERROR(__xludf.DUMMYFUNCTION("""COMPUTED_VALUE"""),"- 0,4 %")</f>
        <v>- 0,4 %</v>
      </c>
      <c r="D185" s="1" t="str">
        <f>IFERROR(__xludf.DUMMYFUNCTION("""COMPUTED_VALUE"""),"- 2,0 %")</f>
        <v>- 2,0 %</v>
      </c>
      <c r="E185" s="1" t="str">
        <f>IFERROR(__xludf.DUMMYFUNCTION("""COMPUTED_VALUE"""),"- 3,0 %")</f>
        <v>- 3,0 %</v>
      </c>
    </row>
    <row r="186">
      <c r="A186" s="2">
        <f>IFERROR(__xludf.DUMMYFUNCTION("""COMPUTED_VALUE"""),40575.0)</f>
        <v>40575</v>
      </c>
      <c r="B186" s="1" t="str">
        <f>IFERROR(__xludf.DUMMYFUNCTION("""COMPUTED_VALUE"""),"4.434 €/m2")</f>
        <v>4.434 €/m2</v>
      </c>
      <c r="C186" s="1" t="str">
        <f>IFERROR(__xludf.DUMMYFUNCTION("""COMPUTED_VALUE"""),"- 1,9 %")</f>
        <v>- 1,9 %</v>
      </c>
      <c r="D186" s="1" t="str">
        <f>IFERROR(__xludf.DUMMYFUNCTION("""COMPUTED_VALUE"""),"- 2,3 %")</f>
        <v>- 2,3 %</v>
      </c>
      <c r="E186" s="1" t="str">
        <f>IFERROR(__xludf.DUMMYFUNCTION("""COMPUTED_VALUE"""),"- 3,2 %")</f>
        <v>- 3,2 %</v>
      </c>
    </row>
    <row r="187">
      <c r="A187" s="2">
        <f>IFERROR(__xludf.DUMMYFUNCTION("""COMPUTED_VALUE"""),40544.0)</f>
        <v>40544</v>
      </c>
      <c r="B187" s="1" t="str">
        <f>IFERROR(__xludf.DUMMYFUNCTION("""COMPUTED_VALUE"""),"4.519 €/m2")</f>
        <v>4.519 €/m2</v>
      </c>
      <c r="C187" s="1" t="str">
        <f>IFERROR(__xludf.DUMMYFUNCTION("""COMPUTED_VALUE"""),"+ 0,3 %")</f>
        <v>+ 0,3 %</v>
      </c>
      <c r="D187" s="1" t="str">
        <f>IFERROR(__xludf.DUMMYFUNCTION("""COMPUTED_VALUE"""),"+ 0,9 %")</f>
        <v>+ 0,9 %</v>
      </c>
      <c r="E187" s="1" t="str">
        <f>IFERROR(__xludf.DUMMYFUNCTION("""COMPUTED_VALUE"""),"- 1,5 %")</f>
        <v>- 1,5 %</v>
      </c>
    </row>
    <row r="188">
      <c r="A188" s="2">
        <f>IFERROR(__xludf.DUMMYFUNCTION("""COMPUTED_VALUE"""),40513.0)</f>
        <v>40513</v>
      </c>
      <c r="B188" s="1" t="str">
        <f>IFERROR(__xludf.DUMMYFUNCTION("""COMPUTED_VALUE"""),"4.506 €/m2")</f>
        <v>4.506 €/m2</v>
      </c>
      <c r="C188" s="1" t="str">
        <f>IFERROR(__xludf.DUMMYFUNCTION("""COMPUTED_VALUE"""),"- 0,7 %")</f>
        <v>- 0,7 %</v>
      </c>
      <c r="D188" s="1" t="str">
        <f>IFERROR(__xludf.DUMMYFUNCTION("""COMPUTED_VALUE"""),"+ 0,9 %")</f>
        <v>+ 0,9 %</v>
      </c>
      <c r="E188" s="1" t="str">
        <f>IFERROR(__xludf.DUMMYFUNCTION("""COMPUTED_VALUE"""),"- 2,1 %")</f>
        <v>- 2,1 %</v>
      </c>
    </row>
    <row r="189">
      <c r="A189" s="2">
        <f>IFERROR(__xludf.DUMMYFUNCTION("""COMPUTED_VALUE"""),40483.0)</f>
        <v>40483</v>
      </c>
      <c r="B189" s="1" t="str">
        <f>IFERROR(__xludf.DUMMYFUNCTION("""COMPUTED_VALUE"""),"4.537 €/m2")</f>
        <v>4.537 €/m2</v>
      </c>
      <c r="C189" s="1" t="str">
        <f>IFERROR(__xludf.DUMMYFUNCTION("""COMPUTED_VALUE"""),"+ 1,3 %")</f>
        <v>+ 1,3 %</v>
      </c>
      <c r="D189" s="1" t="str">
        <f>IFERROR(__xludf.DUMMYFUNCTION("""COMPUTED_VALUE"""),"+ 1,8 %")</f>
        <v>+ 1,8 %</v>
      </c>
      <c r="E189" s="1" t="str">
        <f>IFERROR(__xludf.DUMMYFUNCTION("""COMPUTED_VALUE"""),"- 1,6 %")</f>
        <v>- 1,6 %</v>
      </c>
    </row>
    <row r="190">
      <c r="A190" s="2">
        <f>IFERROR(__xludf.DUMMYFUNCTION("""COMPUTED_VALUE"""),40452.0)</f>
        <v>40452</v>
      </c>
      <c r="B190" s="1" t="str">
        <f>IFERROR(__xludf.DUMMYFUNCTION("""COMPUTED_VALUE"""),"4.479 €/m2")</f>
        <v>4.479 €/m2</v>
      </c>
      <c r="C190" s="1" t="str">
        <f>IFERROR(__xludf.DUMMYFUNCTION("""COMPUTED_VALUE"""),"+ 0,3 %")</f>
        <v>+ 0,3 %</v>
      </c>
      <c r="D190" s="1" t="str">
        <f>IFERROR(__xludf.DUMMYFUNCTION("""COMPUTED_VALUE"""),"- 0,6 %")</f>
        <v>- 0,6 %</v>
      </c>
      <c r="E190" s="1" t="str">
        <f>IFERROR(__xludf.DUMMYFUNCTION("""COMPUTED_VALUE"""),"- 4,3 %")</f>
        <v>- 4,3 %</v>
      </c>
    </row>
    <row r="191">
      <c r="A191" s="2">
        <f>IFERROR(__xludf.DUMMYFUNCTION("""COMPUTED_VALUE"""),40422.0)</f>
        <v>40422</v>
      </c>
      <c r="B191" s="1" t="str">
        <f>IFERROR(__xludf.DUMMYFUNCTION("""COMPUTED_VALUE"""),"4.464 €/m2")</f>
        <v>4.464 €/m2</v>
      </c>
      <c r="C191" s="1" t="str">
        <f>IFERROR(__xludf.DUMMYFUNCTION("""COMPUTED_VALUE"""),"+ 0,2 %")</f>
        <v>+ 0,2 %</v>
      </c>
      <c r="D191" s="1" t="str">
        <f>IFERROR(__xludf.DUMMYFUNCTION("""COMPUTED_VALUE"""),"- 2,2 %")</f>
        <v>- 2,2 %</v>
      </c>
      <c r="E191" s="1" t="str">
        <f>IFERROR(__xludf.DUMMYFUNCTION("""COMPUTED_VALUE"""),"- 3,0 %")</f>
        <v>- 3,0 %</v>
      </c>
    </row>
    <row r="192">
      <c r="A192" s="2">
        <f>IFERROR(__xludf.DUMMYFUNCTION("""COMPUTED_VALUE"""),40391.0)</f>
        <v>40391</v>
      </c>
      <c r="B192" s="1" t="str">
        <f>IFERROR(__xludf.DUMMYFUNCTION("""COMPUTED_VALUE"""),"4.455 €/m2")</f>
        <v>4.455 €/m2</v>
      </c>
      <c r="C192" s="1" t="str">
        <f>IFERROR(__xludf.DUMMYFUNCTION("""COMPUTED_VALUE"""),"- 1,1 %")</f>
        <v>- 1,1 %</v>
      </c>
      <c r="D192" s="1" t="str">
        <f>IFERROR(__xludf.DUMMYFUNCTION("""COMPUTED_VALUE"""),"- 2,4 %")</f>
        <v>- 2,4 %</v>
      </c>
      <c r="E192" s="1" t="str">
        <f>IFERROR(__xludf.DUMMYFUNCTION("""COMPUTED_VALUE"""),"- 3,6 %")</f>
        <v>- 3,6 %</v>
      </c>
    </row>
    <row r="193">
      <c r="A193" s="2">
        <f>IFERROR(__xludf.DUMMYFUNCTION("""COMPUTED_VALUE"""),40360.0)</f>
        <v>40360</v>
      </c>
      <c r="B193" s="1" t="str">
        <f>IFERROR(__xludf.DUMMYFUNCTION("""COMPUTED_VALUE"""),"4.506 €/m2")</f>
        <v>4.506 €/m2</v>
      </c>
      <c r="C193" s="1" t="str">
        <f>IFERROR(__xludf.DUMMYFUNCTION("""COMPUTED_VALUE"""),"- 1,2 %")</f>
        <v>- 1,2 %</v>
      </c>
      <c r="D193" s="1" t="str">
        <f>IFERROR(__xludf.DUMMYFUNCTION("""COMPUTED_VALUE"""),"- 1,0 %")</f>
        <v>- 1,0 %</v>
      </c>
      <c r="E193" s="1" t="str">
        <f>IFERROR(__xludf.DUMMYFUNCTION("""COMPUTED_VALUE"""),"- 2,5 %")</f>
        <v>- 2,5 %</v>
      </c>
    </row>
    <row r="194">
      <c r="A194" s="2">
        <f>IFERROR(__xludf.DUMMYFUNCTION("""COMPUTED_VALUE"""),40330.0)</f>
        <v>40330</v>
      </c>
      <c r="B194" s="1" t="str">
        <f>IFERROR(__xludf.DUMMYFUNCTION("""COMPUTED_VALUE"""),"4.563 €/m2")</f>
        <v>4.563 €/m2</v>
      </c>
      <c r="C194" s="1" t="str">
        <f>IFERROR(__xludf.DUMMYFUNCTION("""COMPUTED_VALUE"""),"- 0,1 %")</f>
        <v>- 0,1 %</v>
      </c>
      <c r="D194" s="1" t="str">
        <f>IFERROR(__xludf.DUMMYFUNCTION("""COMPUTED_VALUE"""),"+ 0,2 %")</f>
        <v>+ 0,2 %</v>
      </c>
      <c r="E194" s="1" t="str">
        <f>IFERROR(__xludf.DUMMYFUNCTION("""COMPUTED_VALUE"""),"- 1,9 %")</f>
        <v>- 1,9 %</v>
      </c>
    </row>
    <row r="195">
      <c r="A195" s="2">
        <f>IFERROR(__xludf.DUMMYFUNCTION("""COMPUTED_VALUE"""),40299.0)</f>
        <v>40299</v>
      </c>
      <c r="B195" s="1" t="str">
        <f>IFERROR(__xludf.DUMMYFUNCTION("""COMPUTED_VALUE"""),"4.566 €/m2")</f>
        <v>4.566 €/m2</v>
      </c>
      <c r="C195" s="1" t="str">
        <f>IFERROR(__xludf.DUMMYFUNCTION("""COMPUTED_VALUE"""),"+ 0,3 %")</f>
        <v>+ 0,3 %</v>
      </c>
      <c r="D195" s="1" t="str">
        <f>IFERROR(__xludf.DUMMYFUNCTION("""COMPUTED_VALUE"""),"- 0,4 %")</f>
        <v>- 0,4 %</v>
      </c>
      <c r="E195" s="1" t="str">
        <f>IFERROR(__xludf.DUMMYFUNCTION("""COMPUTED_VALUE"""),"- 4,0 %")</f>
        <v>- 4,0 %</v>
      </c>
    </row>
    <row r="196">
      <c r="A196" s="2">
        <f>IFERROR(__xludf.DUMMYFUNCTION("""COMPUTED_VALUE"""),40269.0)</f>
        <v>40269</v>
      </c>
      <c r="B196" s="1" t="str">
        <f>IFERROR(__xludf.DUMMYFUNCTION("""COMPUTED_VALUE"""),"4.550 €/m2")</f>
        <v>4.550 €/m2</v>
      </c>
      <c r="C196" s="1" t="str">
        <f>IFERROR(__xludf.DUMMYFUNCTION("""COMPUTED_VALUE"""),"- 0,1 %")</f>
        <v>- 0,1 %</v>
      </c>
      <c r="D196" s="1" t="str">
        <f>IFERROR(__xludf.DUMMYFUNCTION("""COMPUTED_VALUE"""),"- 0,8 %")</f>
        <v>- 0,8 %</v>
      </c>
      <c r="E196" s="1" t="str">
        <f>IFERROR(__xludf.DUMMYFUNCTION("""COMPUTED_VALUE"""),"- 3,1 %")</f>
        <v>- 3,1 %</v>
      </c>
    </row>
    <row r="197">
      <c r="A197" s="2">
        <f>IFERROR(__xludf.DUMMYFUNCTION("""COMPUTED_VALUE"""),40238.0)</f>
        <v>40238</v>
      </c>
      <c r="B197" s="1" t="str">
        <f>IFERROR(__xludf.DUMMYFUNCTION("""COMPUTED_VALUE"""),"4.554 €/m2")</f>
        <v>4.554 €/m2</v>
      </c>
      <c r="C197" s="1" t="str">
        <f>IFERROR(__xludf.DUMMYFUNCTION("""COMPUTED_VALUE"""),"- 0,6 %")</f>
        <v>- 0,6 %</v>
      </c>
      <c r="D197" s="1" t="str">
        <f>IFERROR(__xludf.DUMMYFUNCTION("""COMPUTED_VALUE"""),"- 1,1 %")</f>
        <v>- 1,1 %</v>
      </c>
      <c r="E197" s="1" t="str">
        <f>IFERROR(__xludf.DUMMYFUNCTION("""COMPUTED_VALUE"""),"- 6,8 %")</f>
        <v>- 6,8 %</v>
      </c>
    </row>
    <row r="198">
      <c r="A198" s="2">
        <f>IFERROR(__xludf.DUMMYFUNCTION("""COMPUTED_VALUE"""),40210.0)</f>
        <v>40210</v>
      </c>
      <c r="B198" s="1" t="str">
        <f>IFERROR(__xludf.DUMMYFUNCTION("""COMPUTED_VALUE"""),"4.583 €/m2")</f>
        <v>4.583 €/m2</v>
      </c>
      <c r="C198" s="1" t="str">
        <f>IFERROR(__xludf.DUMMYFUNCTION("""COMPUTED_VALUE"""),"- 0,1 %")</f>
        <v>- 0,1 %</v>
      </c>
      <c r="D198" s="1" t="str">
        <f>IFERROR(__xludf.DUMMYFUNCTION("""COMPUTED_VALUE"""),"- 0,7 %")</f>
        <v>- 0,7 %</v>
      </c>
      <c r="E198" s="1" t="str">
        <f>IFERROR(__xludf.DUMMYFUNCTION("""COMPUTED_VALUE"""),"- 6,3 %")</f>
        <v>- 6,3 %</v>
      </c>
    </row>
    <row r="199">
      <c r="A199" s="2">
        <f>IFERROR(__xludf.DUMMYFUNCTION("""COMPUTED_VALUE"""),40179.0)</f>
        <v>40179</v>
      </c>
      <c r="B199" s="1" t="str">
        <f>IFERROR(__xludf.DUMMYFUNCTION("""COMPUTED_VALUE"""),"4.585 €/m2")</f>
        <v>4.585 €/m2</v>
      </c>
      <c r="C199" s="1" t="str">
        <f>IFERROR(__xludf.DUMMYFUNCTION("""COMPUTED_VALUE"""),"- 0,4 %")</f>
        <v>- 0,4 %</v>
      </c>
      <c r="D199" s="1" t="str">
        <f>IFERROR(__xludf.DUMMYFUNCTION("""COMPUTED_VALUE"""),"- 2,0 %")</f>
        <v>- 2,0 %</v>
      </c>
      <c r="E199" s="1" t="str">
        <f>IFERROR(__xludf.DUMMYFUNCTION("""COMPUTED_VALUE"""),"- 6,3 %")</f>
        <v>- 6,3 %</v>
      </c>
    </row>
    <row r="200">
      <c r="A200" s="2">
        <f>IFERROR(__xludf.DUMMYFUNCTION("""COMPUTED_VALUE"""),40148.0)</f>
        <v>40148</v>
      </c>
      <c r="B200" s="1" t="str">
        <f>IFERROR(__xludf.DUMMYFUNCTION("""COMPUTED_VALUE"""),"4.603 €/m2")</f>
        <v>4.603 €/m2</v>
      </c>
      <c r="C200" s="1" t="str">
        <f>IFERROR(__xludf.DUMMYFUNCTION("""COMPUTED_VALUE"""),"- 0,2 %")</f>
        <v>- 0,2 %</v>
      </c>
      <c r="D200" s="1" t="str">
        <f>IFERROR(__xludf.DUMMYFUNCTION("""COMPUTED_VALUE"""),"+ 0,1 %")</f>
        <v>+ 0,1 %</v>
      </c>
      <c r="E200" s="1" t="str">
        <f>IFERROR(__xludf.DUMMYFUNCTION("""COMPUTED_VALUE"""),"- 2,3 %")</f>
        <v>- 2,3 %</v>
      </c>
    </row>
    <row r="201">
      <c r="A201" s="2">
        <f>IFERROR(__xludf.DUMMYFUNCTION("""COMPUTED_VALUE"""),40118.0)</f>
        <v>40118</v>
      </c>
      <c r="B201" s="1" t="str">
        <f>IFERROR(__xludf.DUMMYFUNCTION("""COMPUTED_VALUE"""),"4.613 €/m2")</f>
        <v>4.613 €/m2</v>
      </c>
      <c r="C201" s="1" t="str">
        <f>IFERROR(__xludf.DUMMYFUNCTION("""COMPUTED_VALUE"""),"- 1,4 %")</f>
        <v>- 1,4 %</v>
      </c>
      <c r="D201" s="1" t="str">
        <f>IFERROR(__xludf.DUMMYFUNCTION("""COMPUTED_VALUE"""),"- 0,2 %")</f>
        <v>- 0,2 %</v>
      </c>
      <c r="E201" s="1" t="str">
        <f>IFERROR(__xludf.DUMMYFUNCTION("""COMPUTED_VALUE"""),"- 6,0 %")</f>
        <v>- 6,0 %</v>
      </c>
    </row>
    <row r="202">
      <c r="A202" s="2">
        <f>IFERROR(__xludf.DUMMYFUNCTION("""COMPUTED_VALUE"""),40087.0)</f>
        <v>40087</v>
      </c>
      <c r="B202" s="1" t="str">
        <f>IFERROR(__xludf.DUMMYFUNCTION("""COMPUTED_VALUE"""),"4.678 €/m2")</f>
        <v>4.678 €/m2</v>
      </c>
      <c r="C202" s="1" t="str">
        <f>IFERROR(__xludf.DUMMYFUNCTION("""COMPUTED_VALUE"""),"+ 1,7 %")</f>
        <v>+ 1,7 %</v>
      </c>
      <c r="D202" s="1" t="str">
        <f>IFERROR(__xludf.DUMMYFUNCTION("""COMPUTED_VALUE"""),"+ 1,2 %")</f>
        <v>+ 1,2 %</v>
      </c>
      <c r="E202" s="1" t="str">
        <f>IFERROR(__xludf.DUMMYFUNCTION("""COMPUTED_VALUE"""),"- 4,8 %")</f>
        <v>- 4,8 %</v>
      </c>
    </row>
    <row r="203">
      <c r="A203" s="2">
        <f>IFERROR(__xludf.DUMMYFUNCTION("""COMPUTED_VALUE"""),40057.0)</f>
        <v>40057</v>
      </c>
      <c r="B203" s="1" t="str">
        <f>IFERROR(__xludf.DUMMYFUNCTION("""COMPUTED_VALUE"""),"4.600 €/m2")</f>
        <v>4.600 €/m2</v>
      </c>
      <c r="C203" s="1" t="str">
        <f>IFERROR(__xludf.DUMMYFUNCTION("""COMPUTED_VALUE"""),"- 0,5 %")</f>
        <v>- 0,5 %</v>
      </c>
      <c r="D203" s="1" t="str">
        <f>IFERROR(__xludf.DUMMYFUNCTION("""COMPUTED_VALUE"""),"- 1,1 %")</f>
        <v>- 1,1 %</v>
      </c>
      <c r="E203" s="1" t="str">
        <f>IFERROR(__xludf.DUMMYFUNCTION("""COMPUTED_VALUE"""),"- 6,5 %")</f>
        <v>- 6,5 %</v>
      </c>
    </row>
    <row r="204">
      <c r="A204" s="2">
        <f>IFERROR(__xludf.DUMMYFUNCTION("""COMPUTED_VALUE"""),40026.0)</f>
        <v>40026</v>
      </c>
      <c r="B204" s="1" t="str">
        <f>IFERROR(__xludf.DUMMYFUNCTION("""COMPUTED_VALUE"""),"4.622 €/m2")</f>
        <v>4.622 €/m2</v>
      </c>
      <c r="C204" s="1" t="str">
        <f>IFERROR(__xludf.DUMMYFUNCTION("""COMPUTED_VALUE"""),"0,0 %")</f>
        <v>0,0 %</v>
      </c>
      <c r="D204" s="1" t="str">
        <f>IFERROR(__xludf.DUMMYFUNCTION("""COMPUTED_VALUE"""),"- 2,8 %")</f>
        <v>- 2,8 %</v>
      </c>
      <c r="E204" s="1" t="str">
        <f>IFERROR(__xludf.DUMMYFUNCTION("""COMPUTED_VALUE"""),"- 6,6 %")</f>
        <v>- 6,6 %</v>
      </c>
    </row>
    <row r="205">
      <c r="A205" s="2">
        <f>IFERROR(__xludf.DUMMYFUNCTION("""COMPUTED_VALUE"""),39995.0)</f>
        <v>39995</v>
      </c>
      <c r="B205" s="1" t="str">
        <f>IFERROR(__xludf.DUMMYFUNCTION("""COMPUTED_VALUE"""),"4.622 €/m2")</f>
        <v>4.622 €/m2</v>
      </c>
      <c r="C205" s="1" t="str">
        <f>IFERROR(__xludf.DUMMYFUNCTION("""COMPUTED_VALUE"""),"- 0,6 %")</f>
        <v>- 0,6 %</v>
      </c>
      <c r="D205" s="1" t="str">
        <f>IFERROR(__xludf.DUMMYFUNCTION("""COMPUTED_VALUE"""),"- 1,6 %")</f>
        <v>- 1,6 %</v>
      </c>
      <c r="E205" s="1" t="str">
        <f>IFERROR(__xludf.DUMMYFUNCTION("""COMPUTED_VALUE"""),"- 5,7 %")</f>
        <v>- 5,7 %</v>
      </c>
    </row>
    <row r="206">
      <c r="A206" s="2">
        <f>IFERROR(__xludf.DUMMYFUNCTION("""COMPUTED_VALUE"""),39965.0)</f>
        <v>39965</v>
      </c>
      <c r="B206" s="1" t="str">
        <f>IFERROR(__xludf.DUMMYFUNCTION("""COMPUTED_VALUE"""),"4.650 €/m2")</f>
        <v>4.650 €/m2</v>
      </c>
      <c r="C206" s="1" t="str">
        <f>IFERROR(__xludf.DUMMYFUNCTION("""COMPUTED_VALUE"""),"- 2,2 %")</f>
        <v>- 2,2 %</v>
      </c>
      <c r="D206" s="1" t="str">
        <f>IFERROR(__xludf.DUMMYFUNCTION("""COMPUTED_VALUE"""),"- 4,9 %")</f>
        <v>- 4,9 %</v>
      </c>
      <c r="E206" s="1" t="str">
        <f>IFERROR(__xludf.DUMMYFUNCTION("""COMPUTED_VALUE"""),"- 5,7 %")</f>
        <v>- 5,7 %</v>
      </c>
    </row>
    <row r="207">
      <c r="A207" s="2">
        <f>IFERROR(__xludf.DUMMYFUNCTION("""COMPUTED_VALUE"""),39934.0)</f>
        <v>39934</v>
      </c>
      <c r="B207" s="1" t="str">
        <f>IFERROR(__xludf.DUMMYFUNCTION("""COMPUTED_VALUE"""),"4.755 €/m2")</f>
        <v>4.755 €/m2</v>
      </c>
      <c r="C207" s="1" t="str">
        <f>IFERROR(__xludf.DUMMYFUNCTION("""COMPUTED_VALUE"""),"+ 1,2 %")</f>
        <v>+ 1,2 %</v>
      </c>
      <c r="D207" s="1" t="str">
        <f>IFERROR(__xludf.DUMMYFUNCTION("""COMPUTED_VALUE"""),"- 2,8 %")</f>
        <v>- 2,8 %</v>
      </c>
      <c r="E207" s="1" t="str">
        <f>IFERROR(__xludf.DUMMYFUNCTION("""COMPUTED_VALUE"""),"- 1,8 %")</f>
        <v>- 1,8 %</v>
      </c>
    </row>
    <row r="208">
      <c r="A208" s="2">
        <f>IFERROR(__xludf.DUMMYFUNCTION("""COMPUTED_VALUE"""),39904.0)</f>
        <v>39904</v>
      </c>
      <c r="B208" s="1" t="str">
        <f>IFERROR(__xludf.DUMMYFUNCTION("""COMPUTED_VALUE"""),"4.697 €/m2")</f>
        <v>4.697 €/m2</v>
      </c>
      <c r="C208" s="1" t="str">
        <f>IFERROR(__xludf.DUMMYFUNCTION("""COMPUTED_VALUE"""),"- 3,9 %")</f>
        <v>- 3,9 %</v>
      </c>
      <c r="D208" s="1" t="str">
        <f>IFERROR(__xludf.DUMMYFUNCTION("""COMPUTED_VALUE"""),"- 4,0 %")</f>
        <v>- 4,0 %</v>
      </c>
      <c r="E208" s="1" t="str">
        <f>IFERROR(__xludf.DUMMYFUNCTION("""COMPUTED_VALUE"""),"- 3,2 %")</f>
        <v>- 3,2 %</v>
      </c>
    </row>
    <row r="209">
      <c r="A209" s="2">
        <f>IFERROR(__xludf.DUMMYFUNCTION("""COMPUTED_VALUE"""),39873.0)</f>
        <v>39873</v>
      </c>
      <c r="B209" s="1" t="str">
        <f>IFERROR(__xludf.DUMMYFUNCTION("""COMPUTED_VALUE"""),"4.887 €/m2")</f>
        <v>4.887 €/m2</v>
      </c>
      <c r="C209" s="1" t="str">
        <f>IFERROR(__xludf.DUMMYFUNCTION("""COMPUTED_VALUE"""),"- 0,1 %")</f>
        <v>- 0,1 %</v>
      </c>
      <c r="D209" s="1" t="str">
        <f>IFERROR(__xludf.DUMMYFUNCTION("""COMPUTED_VALUE"""),"+ 3,8 %")</f>
        <v>+ 3,8 %</v>
      </c>
      <c r="E209" s="1" t="str">
        <f>IFERROR(__xludf.DUMMYFUNCTION("""COMPUTED_VALUE"""),"+ 1,3 %")</f>
        <v>+ 1,3 %</v>
      </c>
    </row>
    <row r="210">
      <c r="A210" s="2">
        <f>IFERROR(__xludf.DUMMYFUNCTION("""COMPUTED_VALUE"""),39845.0)</f>
        <v>39845</v>
      </c>
      <c r="B210" s="1" t="str">
        <f>IFERROR(__xludf.DUMMYFUNCTION("""COMPUTED_VALUE"""),"4.893 €/m2")</f>
        <v>4.893 €/m2</v>
      </c>
      <c r="C210" s="1" t="str">
        <f>IFERROR(__xludf.DUMMYFUNCTION("""COMPUTED_VALUE"""),"0,0 %")</f>
        <v>0,0 %</v>
      </c>
      <c r="D210" s="1" t="str">
        <f>IFERROR(__xludf.DUMMYFUNCTION("""COMPUTED_VALUE"""),"- 0,3 %")</f>
        <v>- 0,3 %</v>
      </c>
      <c r="E210" s="1" t="str">
        <f>IFERROR(__xludf.DUMMYFUNCTION("""COMPUTED_VALUE"""),"+ 6,5 %")</f>
        <v>+ 6,5 %</v>
      </c>
    </row>
    <row r="211">
      <c r="A211" s="2">
        <f>IFERROR(__xludf.DUMMYFUNCTION("""COMPUTED_VALUE"""),39814.0)</f>
        <v>39814</v>
      </c>
      <c r="B211" s="1" t="str">
        <f>IFERROR(__xludf.DUMMYFUNCTION("""COMPUTED_VALUE"""),"4.895 €/m2")</f>
        <v>4.895 €/m2</v>
      </c>
      <c r="C211" s="1" t="str">
        <f>IFERROR(__xludf.DUMMYFUNCTION("""COMPUTED_VALUE"""),"+ 3,9 %")</f>
        <v>+ 3,9 %</v>
      </c>
      <c r="D211" s="1" t="str">
        <f>IFERROR(__xludf.DUMMYFUNCTION("""COMPUTED_VALUE"""),"- 0,4 %")</f>
        <v>- 0,4 %</v>
      </c>
      <c r="E211" s="1" t="str">
        <f>IFERROR(__xludf.DUMMYFUNCTION("""COMPUTED_VALUE"""),"+ 5,1 %")</f>
        <v>+ 5,1 %</v>
      </c>
    </row>
    <row r="212">
      <c r="A212" s="2">
        <f>IFERROR(__xludf.DUMMYFUNCTION("""COMPUTED_VALUE"""),39783.0)</f>
        <v>39783</v>
      </c>
      <c r="B212" s="1" t="str">
        <f>IFERROR(__xludf.DUMMYFUNCTION("""COMPUTED_VALUE"""),"4.710 €/m2")</f>
        <v>4.710 €/m2</v>
      </c>
      <c r="C212" s="1" t="str">
        <f>IFERROR(__xludf.DUMMYFUNCTION("""COMPUTED_VALUE"""),"- 4,0 %")</f>
        <v>- 4,0 %</v>
      </c>
      <c r="D212" s="1" t="str">
        <f>IFERROR(__xludf.DUMMYFUNCTION("""COMPUTED_VALUE"""),"- 4,2 %")</f>
        <v>- 4,2 %</v>
      </c>
      <c r="E212" s="1" t="str">
        <f>IFERROR(__xludf.DUMMYFUNCTION("""COMPUTED_VALUE"""),"n.d.")</f>
        <v>n.d.</v>
      </c>
    </row>
    <row r="213">
      <c r="A213" s="2">
        <f>IFERROR(__xludf.DUMMYFUNCTION("""COMPUTED_VALUE"""),39753.0)</f>
        <v>39753</v>
      </c>
      <c r="B213" s="1" t="str">
        <f>IFERROR(__xludf.DUMMYFUNCTION("""COMPUTED_VALUE"""),"4.908 €/m2")</f>
        <v>4.908 €/m2</v>
      </c>
      <c r="C213" s="1" t="str">
        <f>IFERROR(__xludf.DUMMYFUNCTION("""COMPUTED_VALUE"""),"- 0,2 %")</f>
        <v>- 0,2 %</v>
      </c>
      <c r="D213" s="1" t="str">
        <f>IFERROR(__xludf.DUMMYFUNCTION("""COMPUTED_VALUE"""),"- 0,8 %")</f>
        <v>- 0,8 %</v>
      </c>
      <c r="E213" s="1" t="str">
        <f>IFERROR(__xludf.DUMMYFUNCTION("""COMPUTED_VALUE"""),"n.d.")</f>
        <v>n.d.</v>
      </c>
    </row>
    <row r="214">
      <c r="A214" s="2">
        <f>IFERROR(__xludf.DUMMYFUNCTION("""COMPUTED_VALUE"""),39722.0)</f>
        <v>39722</v>
      </c>
      <c r="B214" s="1" t="str">
        <f>IFERROR(__xludf.DUMMYFUNCTION("""COMPUTED_VALUE"""),"4.915 €/m2")</f>
        <v>4.915 €/m2</v>
      </c>
      <c r="C214" s="1" t="str">
        <f>IFERROR(__xludf.DUMMYFUNCTION("""COMPUTED_VALUE"""),"- 0,1 %")</f>
        <v>- 0,1 %</v>
      </c>
      <c r="D214" s="1" t="str">
        <f>IFERROR(__xludf.DUMMYFUNCTION("""COMPUTED_VALUE"""),"+ 0,3 %")</f>
        <v>+ 0,3 %</v>
      </c>
      <c r="E214" s="1" t="str">
        <f>IFERROR(__xludf.DUMMYFUNCTION("""COMPUTED_VALUE"""),"n.d.")</f>
        <v>n.d.</v>
      </c>
    </row>
    <row r="215">
      <c r="A215" s="2">
        <f>IFERROR(__xludf.DUMMYFUNCTION("""COMPUTED_VALUE"""),39692.0)</f>
        <v>39692</v>
      </c>
      <c r="B215" s="1" t="str">
        <f>IFERROR(__xludf.DUMMYFUNCTION("""COMPUTED_VALUE"""),"4.918 €/m2")</f>
        <v>4.918 €/m2</v>
      </c>
      <c r="C215" s="1" t="str">
        <f>IFERROR(__xludf.DUMMYFUNCTION("""COMPUTED_VALUE"""),"- 0,6 %")</f>
        <v>- 0,6 %</v>
      </c>
      <c r="D215" s="1" t="str">
        <f>IFERROR(__xludf.DUMMYFUNCTION("""COMPUTED_VALUE"""),"- 0,3 %")</f>
        <v>- 0,3 %</v>
      </c>
      <c r="E215" s="1" t="str">
        <f>IFERROR(__xludf.DUMMYFUNCTION("""COMPUTED_VALUE"""),"n.d.")</f>
        <v>n.d.</v>
      </c>
    </row>
    <row r="216">
      <c r="A216" s="2">
        <f>IFERROR(__xludf.DUMMYFUNCTION("""COMPUTED_VALUE"""),39661.0)</f>
        <v>39661</v>
      </c>
      <c r="B216" s="1" t="str">
        <f>IFERROR(__xludf.DUMMYFUNCTION("""COMPUTED_VALUE"""),"4.947 €/m2")</f>
        <v>4.947 €/m2</v>
      </c>
      <c r="C216" s="1" t="str">
        <f>IFERROR(__xludf.DUMMYFUNCTION("""COMPUTED_VALUE"""),"+ 0,9 %")</f>
        <v>+ 0,9 %</v>
      </c>
      <c r="D216" s="1" t="str">
        <f>IFERROR(__xludf.DUMMYFUNCTION("""COMPUTED_VALUE"""),"+ 2,1 %")</f>
        <v>+ 2,1 %</v>
      </c>
      <c r="E216" s="1" t="str">
        <f>IFERROR(__xludf.DUMMYFUNCTION("""COMPUTED_VALUE"""),"n.d.")</f>
        <v>n.d.</v>
      </c>
    </row>
    <row r="217">
      <c r="A217" s="2">
        <f>IFERROR(__xludf.DUMMYFUNCTION("""COMPUTED_VALUE"""),39630.0)</f>
        <v>39630</v>
      </c>
      <c r="B217" s="1" t="str">
        <f>IFERROR(__xludf.DUMMYFUNCTION("""COMPUTED_VALUE"""),"4.903 €/m2")</f>
        <v>4.903 €/m2</v>
      </c>
      <c r="C217" s="1" t="str">
        <f>IFERROR(__xludf.DUMMYFUNCTION("""COMPUTED_VALUE"""),"- 0,6 %")</f>
        <v>- 0,6 %</v>
      </c>
      <c r="D217" s="1" t="str">
        <f>IFERROR(__xludf.DUMMYFUNCTION("""COMPUTED_VALUE"""),"+ 1,1 %")</f>
        <v>+ 1,1 %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IFERROR(__xludf.DUMMYFUNCTION("""COMPUTED_VALUE"""),"4.931 €/m2")</f>
        <v>4.931 €/m2</v>
      </c>
      <c r="C218" s="1" t="str">
        <f>IFERROR(__xludf.DUMMYFUNCTION("""COMPUTED_VALUE"""),"+ 1,8 %")</f>
        <v>+ 1,8 %</v>
      </c>
      <c r="D218" s="1" t="str">
        <f>IFERROR(__xludf.DUMMYFUNCTION("""COMPUTED_VALUE"""),"+ 2,2 %")</f>
        <v>+ 2,2 %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IFERROR(__xludf.DUMMYFUNCTION("""COMPUTED_VALUE"""),"4.845 €/m2")</f>
        <v>4.845 €/m2</v>
      </c>
      <c r="C219" s="1" t="str">
        <f>IFERROR(__xludf.DUMMYFUNCTION("""COMPUTED_VALUE"""),"- 0,1 %")</f>
        <v>- 0,1 %</v>
      </c>
      <c r="D219" s="1" t="str">
        <f>IFERROR(__xludf.DUMMYFUNCTION("""COMPUTED_VALUE"""),"+ 5,4 %")</f>
        <v>+ 5,4 %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IFERROR(__xludf.DUMMYFUNCTION("""COMPUTED_VALUE"""),"4.852 €/m2")</f>
        <v>4.852 €/m2</v>
      </c>
      <c r="C220" s="1" t="str">
        <f>IFERROR(__xludf.DUMMYFUNCTION("""COMPUTED_VALUE"""),"+ 0,6 %")</f>
        <v>+ 0,6 %</v>
      </c>
      <c r="D220" s="1" t="str">
        <f>IFERROR(__xludf.DUMMYFUNCTION("""COMPUTED_VALUE"""),"+ 4,2 %")</f>
        <v>+ 4,2 %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IFERROR(__xludf.DUMMYFUNCTION("""COMPUTED_VALUE"""),"4.825 €/m2")</f>
        <v>4.825 €/m2</v>
      </c>
      <c r="C221" s="1" t="str">
        <f>IFERROR(__xludf.DUMMYFUNCTION("""COMPUTED_VALUE"""),"+ 5,0 %")</f>
        <v>+ 5,0 %</v>
      </c>
      <c r="D221" s="1" t="str">
        <f>IFERROR(__xludf.DUMMYFUNCTION("""COMPUTED_VALUE"""),"n.d.")</f>
        <v>n.d.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IFERROR(__xludf.DUMMYFUNCTION("""COMPUTED_VALUE"""),"4.596 €/m2")</f>
        <v>4.596 €/m2</v>
      </c>
      <c r="C222" s="1" t="str">
        <f>IFERROR(__xludf.DUMMYFUNCTION("""COMPUTED_VALUE"""),"- 1,3 %")</f>
        <v>- 1,3 %</v>
      </c>
      <c r="D222" s="1" t="str">
        <f>IFERROR(__xludf.DUMMYFUNCTION("""COMPUTED_VALUE"""),"n.d.")</f>
        <v>n.d.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IFERROR(__xludf.DUMMYFUNCTION("""COMPUTED_VALUE"""),"4.657 €/m2")</f>
        <v>4.657 €/m2</v>
      </c>
      <c r="C223" s="1" t="str">
        <f>IFERROR(__xludf.DUMMYFUNCTION("""COMPUTED_VALUE"""),"n.d.")</f>
        <v>n.d.</v>
      </c>
      <c r="D223" s="1" t="str">
        <f>IFERROR(__xludf.DUMMYFUNCTION("""COMPUTED_VALUE"""),"n.d.")</f>
        <v>n.d.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IFERROR(__xludf.DUMMYFUNCTION("""COMPUTED_VALUE"""),"n.d.")</f>
        <v>n.d.</v>
      </c>
      <c r="C224" s="1" t="str">
        <f>IFERROR(__xludf.DUMMYFUNCTION("""COMPUTED_VALUE"""),"n.d.")</f>
        <v>n.d.</v>
      </c>
      <c r="D224" s="1" t="str">
        <f>IFERROR(__xludf.DUMMYFUNCTION("""COMPUTED_VALUE"""),"n.d.")</f>
        <v>n.d.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IFERROR(__xludf.DUMMYFUNCTION("""COMPUTED_VALUE"""),"n.d.")</f>
        <v>n.d.</v>
      </c>
      <c r="C225" s="1" t="str">
        <f>IFERROR(__xludf.DUMMYFUNCTION("""COMPUTED_VALUE"""),"n.d.")</f>
        <v>n.d.</v>
      </c>
      <c r="D225" s="1" t="str">
        <f>IFERROR(__xludf.DUMMYFUNCTION("""COMPUTED_VALUE"""),"n.d.")</f>
        <v>n.d.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IFERROR(__xludf.DUMMYFUNCTION("""COMPUTED_VALUE"""),"n.d.")</f>
        <v>n.d.</v>
      </c>
      <c r="C226" s="1" t="str">
        <f>IFERROR(__xludf.DUMMYFUNCTION("""COMPUTED_VALUE"""),"n.d.")</f>
        <v>n.d.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IFERROR(__xludf.DUMMYFUNCTION("""COMPUTED_VALUE"""),"n.d.")</f>
        <v>n.d.</v>
      </c>
      <c r="C227" s="1" t="str">
        <f>IFERROR(__xludf.DUMMYFUNCTION("""COMPUTED_VALUE"""),"n.d.")</f>
        <v>n.d.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IFERROR(__xludf.DUMMYFUNCTION("""COMPUTED_VALUE"""),"n.d.")</f>
        <v>n.d.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IFERROR(__xludf.DUMMYFUNCTION("IMPORTHTML(""https://www.idealista.com/sala-de-prensa/informes-precio-vivienda/venta/madrid-comunidad/madrid-provincia/madrid/ciudad-lineal/historico/"",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IFERROR(__xludf.DUMMYFUNCTION("""COMPUTED_VALUE"""),"5.174 €/m2")</f>
        <v>5.174 €/m2</v>
      </c>
      <c r="C2" s="1" t="str">
        <f>IFERROR(__xludf.DUMMYFUNCTION("""COMPUTED_VALUE"""),"+ 0,7 %")</f>
        <v>+ 0,7 %</v>
      </c>
      <c r="D2" s="1" t="str">
        <f>IFERROR(__xludf.DUMMYFUNCTION("""COMPUTED_VALUE"""),"+ 2,3 %")</f>
        <v>+ 2,3 %</v>
      </c>
      <c r="E2" s="1" t="str">
        <f>IFERROR(__xludf.DUMMYFUNCTION("""COMPUTED_VALUE"""),"+ 12,3 %")</f>
        <v>+ 12,3 %</v>
      </c>
    </row>
    <row r="3">
      <c r="A3" s="2">
        <f>IFERROR(__xludf.DUMMYFUNCTION("""COMPUTED_VALUE"""),46143.0)</f>
        <v>46143</v>
      </c>
      <c r="B3" s="1" t="str">
        <f>IFERROR(__xludf.DUMMYFUNCTION("""COMPUTED_VALUE"""),"5.136 €/m2")</f>
        <v>5.136 €/m2</v>
      </c>
      <c r="C3" s="1" t="str">
        <f>IFERROR(__xludf.DUMMYFUNCTION("""COMPUTED_VALUE"""),"+ 0,8 %")</f>
        <v>+ 0,8 %</v>
      </c>
      <c r="D3" s="1" t="str">
        <f>IFERROR(__xludf.DUMMYFUNCTION("""COMPUTED_VALUE"""),"+ 2,5 %")</f>
        <v>+ 2,5 %</v>
      </c>
      <c r="E3" s="1" t="str">
        <f>IFERROR(__xludf.DUMMYFUNCTION("""COMPUTED_VALUE"""),"+ 14,6 %")</f>
        <v>+ 14,6 %</v>
      </c>
    </row>
    <row r="4">
      <c r="A4" s="2">
        <f>IFERROR(__xludf.DUMMYFUNCTION("""COMPUTED_VALUE"""),46113.0)</f>
        <v>46113</v>
      </c>
      <c r="B4" s="1" t="str">
        <f>IFERROR(__xludf.DUMMYFUNCTION("""COMPUTED_VALUE"""),"5.096 €/m2")</f>
        <v>5.096 €/m2</v>
      </c>
      <c r="C4" s="1" t="str">
        <f>IFERROR(__xludf.DUMMYFUNCTION("""COMPUTED_VALUE"""),"+ 0,7 %")</f>
        <v>+ 0,7 %</v>
      </c>
      <c r="D4" s="1" t="str">
        <f>IFERROR(__xludf.DUMMYFUNCTION("""COMPUTED_VALUE"""),"+ 1,7 %")</f>
        <v>+ 1,7 %</v>
      </c>
      <c r="E4" s="1" t="str">
        <f>IFERROR(__xludf.DUMMYFUNCTION("""COMPUTED_VALUE"""),"+ 17,2 %")</f>
        <v>+ 17,2 %</v>
      </c>
    </row>
    <row r="5">
      <c r="A5" s="2">
        <f>IFERROR(__xludf.DUMMYFUNCTION("""COMPUTED_VALUE"""),46082.0)</f>
        <v>46082</v>
      </c>
      <c r="B5" s="1" t="str">
        <f>IFERROR(__xludf.DUMMYFUNCTION("""COMPUTED_VALUE"""),"5.058 €/m2")</f>
        <v>5.058 €/m2</v>
      </c>
      <c r="C5" s="1" t="str">
        <f>IFERROR(__xludf.DUMMYFUNCTION("""COMPUTED_VALUE"""),"+ 1,0 %")</f>
        <v>+ 1,0 %</v>
      </c>
      <c r="D5" s="1" t="str">
        <f>IFERROR(__xludf.DUMMYFUNCTION("""COMPUTED_VALUE"""),"+ 1,2 %")</f>
        <v>+ 1,2 %</v>
      </c>
      <c r="E5" s="1" t="str">
        <f>IFERROR(__xludf.DUMMYFUNCTION("""COMPUTED_VALUE"""),"+ 19,9 %")</f>
        <v>+ 19,9 %</v>
      </c>
    </row>
    <row r="6">
      <c r="A6" s="2">
        <f>IFERROR(__xludf.DUMMYFUNCTION("""COMPUTED_VALUE"""),46054.0)</f>
        <v>46054</v>
      </c>
      <c r="B6" s="1" t="str">
        <f>IFERROR(__xludf.DUMMYFUNCTION("""COMPUTED_VALUE"""),"5.009 €/m2")</f>
        <v>5.009 €/m2</v>
      </c>
      <c r="C6" s="1" t="str">
        <f>IFERROR(__xludf.DUMMYFUNCTION("""COMPUTED_VALUE"""),"0,0 %")</f>
        <v>0,0 %</v>
      </c>
      <c r="D6" s="1" t="str">
        <f>IFERROR(__xludf.DUMMYFUNCTION("""COMPUTED_VALUE"""),"+ 1,6 %")</f>
        <v>+ 1,6 %</v>
      </c>
      <c r="E6" s="1" t="str">
        <f>IFERROR(__xludf.DUMMYFUNCTION("""COMPUTED_VALUE"""),"+ 22,6 %")</f>
        <v>+ 22,6 %</v>
      </c>
    </row>
    <row r="7">
      <c r="A7" s="2">
        <f>IFERROR(__xludf.DUMMYFUNCTION("""COMPUTED_VALUE"""),46023.0)</f>
        <v>46023</v>
      </c>
      <c r="B7" s="1" t="str">
        <f>IFERROR(__xludf.DUMMYFUNCTION("""COMPUTED_VALUE"""),"5.010 €/m2")</f>
        <v>5.010 €/m2</v>
      </c>
      <c r="C7" s="1" t="str">
        <f>IFERROR(__xludf.DUMMYFUNCTION("""COMPUTED_VALUE"""),"+ 0,3 %")</f>
        <v>+ 0,3 %</v>
      </c>
      <c r="D7" s="1" t="str">
        <f>IFERROR(__xludf.DUMMYFUNCTION("""COMPUTED_VALUE"""),"+ 2,6 %")</f>
        <v>+ 2,6 %</v>
      </c>
      <c r="E7" s="1" t="str">
        <f>IFERROR(__xludf.DUMMYFUNCTION("""COMPUTED_VALUE"""),"+ 25,2 %")</f>
        <v>+ 25,2 %</v>
      </c>
    </row>
    <row r="8">
      <c r="A8" s="2">
        <f>IFERROR(__xludf.DUMMYFUNCTION("""COMPUTED_VALUE"""),45992.0)</f>
        <v>45992</v>
      </c>
      <c r="B8" s="1" t="str">
        <f>IFERROR(__xludf.DUMMYFUNCTION("""COMPUTED_VALUE"""),"4.997 €/m2")</f>
        <v>4.997 €/m2</v>
      </c>
      <c r="C8" s="1" t="str">
        <f>IFERROR(__xludf.DUMMYFUNCTION("""COMPUTED_VALUE"""),"+ 1,3 %")</f>
        <v>+ 1,3 %</v>
      </c>
      <c r="D8" s="1" t="str">
        <f>IFERROR(__xludf.DUMMYFUNCTION("""COMPUTED_VALUE"""),"+ 4,6 %")</f>
        <v>+ 4,6 %</v>
      </c>
      <c r="E8" s="1" t="str">
        <f>IFERROR(__xludf.DUMMYFUNCTION("""COMPUTED_VALUE"""),"+ 23,3 %")</f>
        <v>+ 23,3 %</v>
      </c>
    </row>
    <row r="9">
      <c r="A9" s="2">
        <f>IFERROR(__xludf.DUMMYFUNCTION("""COMPUTED_VALUE"""),45962.0)</f>
        <v>45962</v>
      </c>
      <c r="B9" s="1" t="str">
        <f>IFERROR(__xludf.DUMMYFUNCTION("""COMPUTED_VALUE"""),"4.932 €/m2")</f>
        <v>4.932 €/m2</v>
      </c>
      <c r="C9" s="1" t="str">
        <f>IFERROR(__xludf.DUMMYFUNCTION("""COMPUTED_VALUE"""),"+ 1,0 %")</f>
        <v>+ 1,0 %</v>
      </c>
      <c r="D9" s="1" t="str">
        <f>IFERROR(__xludf.DUMMYFUNCTION("""COMPUTED_VALUE"""),"+ 3,9 %")</f>
        <v>+ 3,9 %</v>
      </c>
      <c r="E9" s="1" t="str">
        <f>IFERROR(__xludf.DUMMYFUNCTION("""COMPUTED_VALUE"""),"+ 23,2 %")</f>
        <v>+ 23,2 %</v>
      </c>
    </row>
    <row r="10">
      <c r="A10" s="2">
        <f>IFERROR(__xludf.DUMMYFUNCTION("""COMPUTED_VALUE"""),45931.0)</f>
        <v>45931</v>
      </c>
      <c r="B10" s="1" t="str">
        <f>IFERROR(__xludf.DUMMYFUNCTION("""COMPUTED_VALUE"""),"4.883 €/m2")</f>
        <v>4.883 €/m2</v>
      </c>
      <c r="C10" s="1" t="str">
        <f>IFERROR(__xludf.DUMMYFUNCTION("""COMPUTED_VALUE"""),"+ 2,2 %")</f>
        <v>+ 2,2 %</v>
      </c>
      <c r="D10" s="1" t="str">
        <f>IFERROR(__xludf.DUMMYFUNCTION("""COMPUTED_VALUE"""),"+ 4,1 %")</f>
        <v>+ 4,1 %</v>
      </c>
      <c r="E10" s="1" t="str">
        <f>IFERROR(__xludf.DUMMYFUNCTION("""COMPUTED_VALUE"""),"+ 23,0 %")</f>
        <v>+ 23,0 %</v>
      </c>
    </row>
    <row r="11">
      <c r="A11" s="2">
        <f>IFERROR(__xludf.DUMMYFUNCTION("""COMPUTED_VALUE"""),45901.0)</f>
        <v>45901</v>
      </c>
      <c r="B11" s="1" t="str">
        <f>IFERROR(__xludf.DUMMYFUNCTION("""COMPUTED_VALUE"""),"4.776 €/m2")</f>
        <v>4.776 €/m2</v>
      </c>
      <c r="C11" s="1" t="str">
        <f>IFERROR(__xludf.DUMMYFUNCTION("""COMPUTED_VALUE"""),"+ 0,7 %")</f>
        <v>+ 0,7 %</v>
      </c>
      <c r="D11" s="1" t="str">
        <f>IFERROR(__xludf.DUMMYFUNCTION("""COMPUTED_VALUE"""),"+ 3,7 %")</f>
        <v>+ 3,7 %</v>
      </c>
      <c r="E11" s="1" t="str">
        <f>IFERROR(__xludf.DUMMYFUNCTION("""COMPUTED_VALUE"""),"+ 23,7 %")</f>
        <v>+ 23,7 %</v>
      </c>
    </row>
    <row r="12">
      <c r="A12" s="2">
        <f>IFERROR(__xludf.DUMMYFUNCTION("""COMPUTED_VALUE"""),45870.0)</f>
        <v>45870</v>
      </c>
      <c r="B12" s="1" t="str">
        <f>IFERROR(__xludf.DUMMYFUNCTION("""COMPUTED_VALUE"""),"4.745 €/m2")</f>
        <v>4.745 €/m2</v>
      </c>
      <c r="C12" s="1" t="str">
        <f>IFERROR(__xludf.DUMMYFUNCTION("""COMPUTED_VALUE"""),"+ 1,1 %")</f>
        <v>+ 1,1 %</v>
      </c>
      <c r="D12" s="1" t="str">
        <f>IFERROR(__xludf.DUMMYFUNCTION("""COMPUTED_VALUE"""),"+ 5,9 %")</f>
        <v>+ 5,9 %</v>
      </c>
      <c r="E12" s="1" t="str">
        <f>IFERROR(__xludf.DUMMYFUNCTION("""COMPUTED_VALUE"""),"+ 25,7 %")</f>
        <v>+ 25,7 %</v>
      </c>
    </row>
    <row r="13">
      <c r="A13" s="2">
        <f>IFERROR(__xludf.DUMMYFUNCTION("""COMPUTED_VALUE"""),45839.0)</f>
        <v>45839</v>
      </c>
      <c r="B13" s="1" t="str">
        <f>IFERROR(__xludf.DUMMYFUNCTION("""COMPUTED_VALUE"""),"4.691 €/m2")</f>
        <v>4.691 €/m2</v>
      </c>
      <c r="C13" s="1" t="str">
        <f>IFERROR(__xludf.DUMMYFUNCTION("""COMPUTED_VALUE"""),"+ 1,8 %")</f>
        <v>+ 1,8 %</v>
      </c>
      <c r="D13" s="1" t="str">
        <f>IFERROR(__xludf.DUMMYFUNCTION("""COMPUTED_VALUE"""),"+ 7,9 %")</f>
        <v>+ 7,9 %</v>
      </c>
      <c r="E13" s="1" t="str">
        <f>IFERROR(__xludf.DUMMYFUNCTION("""COMPUTED_VALUE"""),"+ 25,0 %")</f>
        <v>+ 25,0 %</v>
      </c>
    </row>
    <row r="14">
      <c r="A14" s="2">
        <f>IFERROR(__xludf.DUMMYFUNCTION("""COMPUTED_VALUE"""),45809.0)</f>
        <v>45809</v>
      </c>
      <c r="B14" s="1" t="str">
        <f>IFERROR(__xludf.DUMMYFUNCTION("""COMPUTED_VALUE"""),"4.606 €/m2")</f>
        <v>4.606 €/m2</v>
      </c>
      <c r="C14" s="1" t="str">
        <f>IFERROR(__xludf.DUMMYFUNCTION("""COMPUTED_VALUE"""),"+ 2,8 %")</f>
        <v>+ 2,8 %</v>
      </c>
      <c r="D14" s="1" t="str">
        <f>IFERROR(__xludf.DUMMYFUNCTION("""COMPUTED_VALUE"""),"+ 9,2 %")</f>
        <v>+ 9,2 %</v>
      </c>
      <c r="E14" s="1" t="str">
        <f>IFERROR(__xludf.DUMMYFUNCTION("""COMPUTED_VALUE"""),"+ 25,3 %")</f>
        <v>+ 25,3 %</v>
      </c>
    </row>
    <row r="15">
      <c r="A15" s="2">
        <f>IFERROR(__xludf.DUMMYFUNCTION("""COMPUTED_VALUE"""),45778.0)</f>
        <v>45778</v>
      </c>
      <c r="B15" s="1" t="str">
        <f>IFERROR(__xludf.DUMMYFUNCTION("""COMPUTED_VALUE"""),"4.480 €/m2")</f>
        <v>4.480 €/m2</v>
      </c>
      <c r="C15" s="1" t="str">
        <f>IFERROR(__xludf.DUMMYFUNCTION("""COMPUTED_VALUE"""),"+ 3,0 %")</f>
        <v>+ 3,0 %</v>
      </c>
      <c r="D15" s="1" t="str">
        <f>IFERROR(__xludf.DUMMYFUNCTION("""COMPUTED_VALUE"""),"+ 9,6 %")</f>
        <v>+ 9,6 %</v>
      </c>
      <c r="E15" s="1" t="str">
        <f>IFERROR(__xludf.DUMMYFUNCTION("""COMPUTED_VALUE"""),"+ 22,9 %")</f>
        <v>+ 22,9 %</v>
      </c>
    </row>
    <row r="16">
      <c r="A16" s="2">
        <f>IFERROR(__xludf.DUMMYFUNCTION("""COMPUTED_VALUE"""),45748.0)</f>
        <v>45748</v>
      </c>
      <c r="B16" s="1" t="str">
        <f>IFERROR(__xludf.DUMMYFUNCTION("""COMPUTED_VALUE"""),"4.350 €/m2")</f>
        <v>4.350 €/m2</v>
      </c>
      <c r="C16" s="1" t="str">
        <f>IFERROR(__xludf.DUMMYFUNCTION("""COMPUTED_VALUE"""),"+ 3,1 %")</f>
        <v>+ 3,1 %</v>
      </c>
      <c r="D16" s="1" t="str">
        <f>IFERROR(__xludf.DUMMYFUNCTION("""COMPUTED_VALUE"""),"+ 8,7 %")</f>
        <v>+ 8,7 %</v>
      </c>
      <c r="E16" s="1" t="str">
        <f>IFERROR(__xludf.DUMMYFUNCTION("""COMPUTED_VALUE"""),"+ 22,9 %")</f>
        <v>+ 22,9 %</v>
      </c>
    </row>
    <row r="17">
      <c r="A17" s="2">
        <f>IFERROR(__xludf.DUMMYFUNCTION("""COMPUTED_VALUE"""),45717.0)</f>
        <v>45717</v>
      </c>
      <c r="B17" s="1" t="str">
        <f>IFERROR(__xludf.DUMMYFUNCTION("""COMPUTED_VALUE"""),"4.219 €/m2")</f>
        <v>4.219 €/m2</v>
      </c>
      <c r="C17" s="1" t="str">
        <f>IFERROR(__xludf.DUMMYFUNCTION("""COMPUTED_VALUE"""),"+ 3,3 %")</f>
        <v>+ 3,3 %</v>
      </c>
      <c r="D17" s="1" t="str">
        <f>IFERROR(__xludf.DUMMYFUNCTION("""COMPUTED_VALUE"""),"+ 4,1 %")</f>
        <v>+ 4,1 %</v>
      </c>
      <c r="E17" s="1" t="str">
        <f>IFERROR(__xludf.DUMMYFUNCTION("""COMPUTED_VALUE"""),"+ 20,7 %")</f>
        <v>+ 20,7 %</v>
      </c>
    </row>
    <row r="18">
      <c r="A18" s="2">
        <f>IFERROR(__xludf.DUMMYFUNCTION("""COMPUTED_VALUE"""),45689.0)</f>
        <v>45689</v>
      </c>
      <c r="B18" s="1" t="str">
        <f>IFERROR(__xludf.DUMMYFUNCTION("""COMPUTED_VALUE"""),"4.086 €/m2")</f>
        <v>4.086 €/m2</v>
      </c>
      <c r="C18" s="1" t="str">
        <f>IFERROR(__xludf.DUMMYFUNCTION("""COMPUTED_VALUE"""),"+ 2,1 %")</f>
        <v>+ 2,1 %</v>
      </c>
      <c r="D18" s="1" t="str">
        <f>IFERROR(__xludf.DUMMYFUNCTION("""COMPUTED_VALUE"""),"+ 2,1 %")</f>
        <v>+ 2,1 %</v>
      </c>
      <c r="E18" s="1" t="str">
        <f>IFERROR(__xludf.DUMMYFUNCTION("""COMPUTED_VALUE"""),"+ 17,8 %")</f>
        <v>+ 17,8 %</v>
      </c>
    </row>
    <row r="19">
      <c r="A19" s="2">
        <f>IFERROR(__xludf.DUMMYFUNCTION("""COMPUTED_VALUE"""),45658.0)</f>
        <v>45658</v>
      </c>
      <c r="B19" s="1" t="str">
        <f>IFERROR(__xludf.DUMMYFUNCTION("""COMPUTED_VALUE"""),"4.001 €/m2")</f>
        <v>4.001 €/m2</v>
      </c>
      <c r="C19" s="1" t="str">
        <f>IFERROR(__xludf.DUMMYFUNCTION("""COMPUTED_VALUE"""),"- 1,3 %")</f>
        <v>- 1,3 %</v>
      </c>
      <c r="D19" s="1" t="str">
        <f>IFERROR(__xludf.DUMMYFUNCTION("""COMPUTED_VALUE"""),"+ 0,7 %")</f>
        <v>+ 0,7 %</v>
      </c>
      <c r="E19" s="1" t="str">
        <f>IFERROR(__xludf.DUMMYFUNCTION("""COMPUTED_VALUE"""),"+ 14,8 %")</f>
        <v>+ 14,8 %</v>
      </c>
    </row>
    <row r="20">
      <c r="A20" s="2">
        <f>IFERROR(__xludf.DUMMYFUNCTION("""COMPUTED_VALUE"""),45627.0)</f>
        <v>45627</v>
      </c>
      <c r="B20" s="1" t="str">
        <f>IFERROR(__xludf.DUMMYFUNCTION("""COMPUTED_VALUE"""),"4.052 €/m2")</f>
        <v>4.052 €/m2</v>
      </c>
      <c r="C20" s="1" t="str">
        <f>IFERROR(__xludf.DUMMYFUNCTION("""COMPUTED_VALUE"""),"+ 1,2 %")</f>
        <v>+ 1,2 %</v>
      </c>
      <c r="D20" s="1" t="str">
        <f>IFERROR(__xludf.DUMMYFUNCTION("""COMPUTED_VALUE"""),"+ 4,9 %")</f>
        <v>+ 4,9 %</v>
      </c>
      <c r="E20" s="1" t="str">
        <f>IFERROR(__xludf.DUMMYFUNCTION("""COMPUTED_VALUE"""),"+ 17,1 %")</f>
        <v>+ 17,1 %</v>
      </c>
    </row>
    <row r="21">
      <c r="A21" s="2">
        <f>IFERROR(__xludf.DUMMYFUNCTION("""COMPUTED_VALUE"""),45597.0)</f>
        <v>45597</v>
      </c>
      <c r="B21" s="1" t="str">
        <f>IFERROR(__xludf.DUMMYFUNCTION("""COMPUTED_VALUE"""),"4.002 €/m2")</f>
        <v>4.002 €/m2</v>
      </c>
      <c r="C21" s="1" t="str">
        <f>IFERROR(__xludf.DUMMYFUNCTION("""COMPUTED_VALUE"""),"+ 0,8 %")</f>
        <v>+ 0,8 %</v>
      </c>
      <c r="D21" s="1" t="str">
        <f>IFERROR(__xludf.DUMMYFUNCTION("""COMPUTED_VALUE"""),"+ 6,1 %")</f>
        <v>+ 6,1 %</v>
      </c>
      <c r="E21" s="1" t="str">
        <f>IFERROR(__xludf.DUMMYFUNCTION("""COMPUTED_VALUE"""),"+ 17,6 %")</f>
        <v>+ 17,6 %</v>
      </c>
    </row>
    <row r="22">
      <c r="A22" s="2">
        <f>IFERROR(__xludf.DUMMYFUNCTION("""COMPUTED_VALUE"""),45566.0)</f>
        <v>45566</v>
      </c>
      <c r="B22" s="1" t="str">
        <f>IFERROR(__xludf.DUMMYFUNCTION("""COMPUTED_VALUE"""),"3.971 €/m2")</f>
        <v>3.971 €/m2</v>
      </c>
      <c r="C22" s="1" t="str">
        <f>IFERROR(__xludf.DUMMYFUNCTION("""COMPUTED_VALUE"""),"+ 2,8 %")</f>
        <v>+ 2,8 %</v>
      </c>
      <c r="D22" s="1" t="str">
        <f>IFERROR(__xludf.DUMMYFUNCTION("""COMPUTED_VALUE"""),"+ 5,8 %")</f>
        <v>+ 5,8 %</v>
      </c>
      <c r="E22" s="1" t="str">
        <f>IFERROR(__xludf.DUMMYFUNCTION("""COMPUTED_VALUE"""),"+ 17,8 %")</f>
        <v>+ 17,8 %</v>
      </c>
    </row>
    <row r="23">
      <c r="A23" s="2">
        <f>IFERROR(__xludf.DUMMYFUNCTION("""COMPUTED_VALUE"""),45536.0)</f>
        <v>45536</v>
      </c>
      <c r="B23" s="1" t="str">
        <f>IFERROR(__xludf.DUMMYFUNCTION("""COMPUTED_VALUE"""),"3.862 €/m2")</f>
        <v>3.862 €/m2</v>
      </c>
      <c r="C23" s="1" t="str">
        <f>IFERROR(__xludf.DUMMYFUNCTION("""COMPUTED_VALUE"""),"+ 2,3 %")</f>
        <v>+ 2,3 %</v>
      </c>
      <c r="D23" s="1" t="str">
        <f>IFERROR(__xludf.DUMMYFUNCTION("""COMPUTED_VALUE"""),"+ 5,1 %")</f>
        <v>+ 5,1 %</v>
      </c>
      <c r="E23" s="1" t="str">
        <f>IFERROR(__xludf.DUMMYFUNCTION("""COMPUTED_VALUE"""),"+ 14,1 %")</f>
        <v>+ 14,1 %</v>
      </c>
    </row>
    <row r="24">
      <c r="A24" s="2">
        <f>IFERROR(__xludf.DUMMYFUNCTION("""COMPUTED_VALUE"""),45505.0)</f>
        <v>45505</v>
      </c>
      <c r="B24" s="1" t="str">
        <f>IFERROR(__xludf.DUMMYFUNCTION("""COMPUTED_VALUE"""),"3.774 €/m2")</f>
        <v>3.774 €/m2</v>
      </c>
      <c r="C24" s="1" t="str">
        <f>IFERROR(__xludf.DUMMYFUNCTION("""COMPUTED_VALUE"""),"+ 0,6 %")</f>
        <v>+ 0,6 %</v>
      </c>
      <c r="D24" s="1" t="str">
        <f>IFERROR(__xludf.DUMMYFUNCTION("""COMPUTED_VALUE"""),"+ 3,5 %")</f>
        <v>+ 3,5 %</v>
      </c>
      <c r="E24" s="1" t="str">
        <f>IFERROR(__xludf.DUMMYFUNCTION("""COMPUTED_VALUE"""),"+ 11,5 %")</f>
        <v>+ 11,5 %</v>
      </c>
    </row>
    <row r="25">
      <c r="A25" s="2">
        <f>IFERROR(__xludf.DUMMYFUNCTION("""COMPUTED_VALUE"""),45474.0)</f>
        <v>45474</v>
      </c>
      <c r="B25" s="1" t="str">
        <f>IFERROR(__xludf.DUMMYFUNCTION("""COMPUTED_VALUE"""),"3.752 €/m2")</f>
        <v>3.752 €/m2</v>
      </c>
      <c r="C25" s="1" t="str">
        <f>IFERROR(__xludf.DUMMYFUNCTION("""COMPUTED_VALUE"""),"+ 2,1 %")</f>
        <v>+ 2,1 %</v>
      </c>
      <c r="D25" s="1" t="str">
        <f>IFERROR(__xludf.DUMMYFUNCTION("""COMPUTED_VALUE"""),"+ 6,0 %")</f>
        <v>+ 6,0 %</v>
      </c>
      <c r="E25" s="1" t="str">
        <f>IFERROR(__xludf.DUMMYFUNCTION("""COMPUTED_VALUE"""),"+ 11,6 %")</f>
        <v>+ 11,6 %</v>
      </c>
    </row>
    <row r="26">
      <c r="A26" s="2">
        <f>IFERROR(__xludf.DUMMYFUNCTION("""COMPUTED_VALUE"""),45444.0)</f>
        <v>45444</v>
      </c>
      <c r="B26" s="1" t="str">
        <f>IFERROR(__xludf.DUMMYFUNCTION("""COMPUTED_VALUE"""),"3.676 €/m2")</f>
        <v>3.676 €/m2</v>
      </c>
      <c r="C26" s="1" t="str">
        <f>IFERROR(__xludf.DUMMYFUNCTION("""COMPUTED_VALUE"""),"+ 0,9 %")</f>
        <v>+ 0,9 %</v>
      </c>
      <c r="D26" s="1" t="str">
        <f>IFERROR(__xludf.DUMMYFUNCTION("""COMPUTED_VALUE"""),"+ 5,1 %")</f>
        <v>+ 5,1 %</v>
      </c>
      <c r="E26" s="1" t="str">
        <f>IFERROR(__xludf.DUMMYFUNCTION("""COMPUTED_VALUE"""),"+ 8,7 %")</f>
        <v>+ 8,7 %</v>
      </c>
    </row>
    <row r="27">
      <c r="A27" s="2">
        <f>IFERROR(__xludf.DUMMYFUNCTION("""COMPUTED_VALUE"""),45413.0)</f>
        <v>45413</v>
      </c>
      <c r="B27" s="1" t="str">
        <f>IFERROR(__xludf.DUMMYFUNCTION("""COMPUTED_VALUE"""),"3.645 €/m2")</f>
        <v>3.645 €/m2</v>
      </c>
      <c r="C27" s="1" t="str">
        <f>IFERROR(__xludf.DUMMYFUNCTION("""COMPUTED_VALUE"""),"+ 3,0 %")</f>
        <v>+ 3,0 %</v>
      </c>
      <c r="D27" s="1" t="str">
        <f>IFERROR(__xludf.DUMMYFUNCTION("""COMPUTED_VALUE"""),"+ 5,1 %")</f>
        <v>+ 5,1 %</v>
      </c>
      <c r="E27" s="1" t="str">
        <f>IFERROR(__xludf.DUMMYFUNCTION("""COMPUTED_VALUE"""),"+ 7,7 %")</f>
        <v>+ 7,7 %</v>
      </c>
    </row>
    <row r="28">
      <c r="A28" s="2">
        <f>IFERROR(__xludf.DUMMYFUNCTION("""COMPUTED_VALUE"""),45383.0)</f>
        <v>45383</v>
      </c>
      <c r="B28" s="1" t="str">
        <f>IFERROR(__xludf.DUMMYFUNCTION("""COMPUTED_VALUE"""),"3.538 €/m2")</f>
        <v>3.538 €/m2</v>
      </c>
      <c r="C28" s="1" t="str">
        <f>IFERROR(__xludf.DUMMYFUNCTION("""COMPUTED_VALUE"""),"+ 1,2 %")</f>
        <v>+ 1,2 %</v>
      </c>
      <c r="D28" s="1" t="str">
        <f>IFERROR(__xludf.DUMMYFUNCTION("""COMPUTED_VALUE"""),"+ 1,6 %")</f>
        <v>+ 1,6 %</v>
      </c>
      <c r="E28" s="1" t="str">
        <f>IFERROR(__xludf.DUMMYFUNCTION("""COMPUTED_VALUE"""),"+ 5,6 %")</f>
        <v>+ 5,6 %</v>
      </c>
    </row>
    <row r="29">
      <c r="A29" s="2">
        <f>IFERROR(__xludf.DUMMYFUNCTION("""COMPUTED_VALUE"""),45352.0)</f>
        <v>45352</v>
      </c>
      <c r="B29" s="1" t="str">
        <f>IFERROR(__xludf.DUMMYFUNCTION("""COMPUTED_VALUE"""),"3.497 €/m2")</f>
        <v>3.497 €/m2</v>
      </c>
      <c r="C29" s="1" t="str">
        <f>IFERROR(__xludf.DUMMYFUNCTION("""COMPUTED_VALUE"""),"+ 0,9 %")</f>
        <v>+ 0,9 %</v>
      </c>
      <c r="D29" s="1" t="str">
        <f>IFERROR(__xludf.DUMMYFUNCTION("""COMPUTED_VALUE"""),"+ 1,1 %")</f>
        <v>+ 1,1 %</v>
      </c>
      <c r="E29" s="1" t="str">
        <f>IFERROR(__xludf.DUMMYFUNCTION("""COMPUTED_VALUE"""),"+ 6,6 %")</f>
        <v>+ 6,6 %</v>
      </c>
    </row>
    <row r="30">
      <c r="A30" s="2">
        <f>IFERROR(__xludf.DUMMYFUNCTION("""COMPUTED_VALUE"""),45323.0)</f>
        <v>45323</v>
      </c>
      <c r="B30" s="1" t="str">
        <f>IFERROR(__xludf.DUMMYFUNCTION("""COMPUTED_VALUE"""),"3.467 €/m2")</f>
        <v>3.467 €/m2</v>
      </c>
      <c r="C30" s="1" t="str">
        <f>IFERROR(__xludf.DUMMYFUNCTION("""COMPUTED_VALUE"""),"- 0,5 %")</f>
        <v>- 0,5 %</v>
      </c>
      <c r="D30" s="1" t="str">
        <f>IFERROR(__xludf.DUMMYFUNCTION("""COMPUTED_VALUE"""),"+ 1,9 %")</f>
        <v>+ 1,9 %</v>
      </c>
      <c r="E30" s="1" t="str">
        <f>IFERROR(__xludf.DUMMYFUNCTION("""COMPUTED_VALUE"""),"+ 6,5 %")</f>
        <v>+ 6,5 %</v>
      </c>
    </row>
    <row r="31">
      <c r="A31" s="2">
        <f>IFERROR(__xludf.DUMMYFUNCTION("""COMPUTED_VALUE"""),45292.0)</f>
        <v>45292</v>
      </c>
      <c r="B31" s="1" t="str">
        <f>IFERROR(__xludf.DUMMYFUNCTION("""COMPUTED_VALUE"""),"3.484 €/m2")</f>
        <v>3.484 €/m2</v>
      </c>
      <c r="C31" s="1" t="str">
        <f>IFERROR(__xludf.DUMMYFUNCTION("""COMPUTED_VALUE"""),"+ 0,7 %")</f>
        <v>+ 0,7 %</v>
      </c>
      <c r="D31" s="1" t="str">
        <f>IFERROR(__xludf.DUMMYFUNCTION("""COMPUTED_VALUE"""),"+ 3,3 %")</f>
        <v>+ 3,3 %</v>
      </c>
      <c r="E31" s="1" t="str">
        <f>IFERROR(__xludf.DUMMYFUNCTION("""COMPUTED_VALUE"""),"+ 7,4 %")</f>
        <v>+ 7,4 %</v>
      </c>
    </row>
    <row r="32">
      <c r="A32" s="2">
        <f>IFERROR(__xludf.DUMMYFUNCTION("""COMPUTED_VALUE"""),45261.0)</f>
        <v>45261</v>
      </c>
      <c r="B32" s="1" t="str">
        <f>IFERROR(__xludf.DUMMYFUNCTION("""COMPUTED_VALUE"""),"3.459 €/m2")</f>
        <v>3.459 €/m2</v>
      </c>
      <c r="C32" s="1" t="str">
        <f>IFERROR(__xludf.DUMMYFUNCTION("""COMPUTED_VALUE"""),"+ 1,6 %")</f>
        <v>+ 1,6 %</v>
      </c>
      <c r="D32" s="1" t="str">
        <f>IFERROR(__xludf.DUMMYFUNCTION("""COMPUTED_VALUE"""),"+ 2,2 %")</f>
        <v>+ 2,2 %</v>
      </c>
      <c r="E32" s="1" t="str">
        <f>IFERROR(__xludf.DUMMYFUNCTION("""COMPUTED_VALUE"""),"+ 6,1 %")</f>
        <v>+ 6,1 %</v>
      </c>
    </row>
    <row r="33">
      <c r="A33" s="2">
        <f>IFERROR(__xludf.DUMMYFUNCTION("""COMPUTED_VALUE"""),45231.0)</f>
        <v>45231</v>
      </c>
      <c r="B33" s="1" t="str">
        <f>IFERROR(__xludf.DUMMYFUNCTION("""COMPUTED_VALUE"""),"3.404 €/m2")</f>
        <v>3.404 €/m2</v>
      </c>
      <c r="C33" s="1" t="str">
        <f>IFERROR(__xludf.DUMMYFUNCTION("""COMPUTED_VALUE"""),"+ 0,9 %")</f>
        <v>+ 0,9 %</v>
      </c>
      <c r="D33" s="1" t="str">
        <f>IFERROR(__xludf.DUMMYFUNCTION("""COMPUTED_VALUE"""),"+ 0,6 %")</f>
        <v>+ 0,6 %</v>
      </c>
      <c r="E33" s="1" t="str">
        <f>IFERROR(__xludf.DUMMYFUNCTION("""COMPUTED_VALUE"""),"+ 3,7 %")</f>
        <v>+ 3,7 %</v>
      </c>
    </row>
    <row r="34">
      <c r="A34" s="2">
        <f>IFERROR(__xludf.DUMMYFUNCTION("""COMPUTED_VALUE"""),45200.0)</f>
        <v>45200</v>
      </c>
      <c r="B34" s="1" t="str">
        <f>IFERROR(__xludf.DUMMYFUNCTION("""COMPUTED_VALUE"""),"3.372 €/m2")</f>
        <v>3.372 €/m2</v>
      </c>
      <c r="C34" s="1" t="str">
        <f>IFERROR(__xludf.DUMMYFUNCTION("""COMPUTED_VALUE"""),"- 0,3 %")</f>
        <v>- 0,3 %</v>
      </c>
      <c r="D34" s="1" t="str">
        <f>IFERROR(__xludf.DUMMYFUNCTION("""COMPUTED_VALUE"""),"+ 0,3 %")</f>
        <v>+ 0,3 %</v>
      </c>
      <c r="E34" s="1" t="str">
        <f>IFERROR(__xludf.DUMMYFUNCTION("""COMPUTED_VALUE"""),"+ 2,4 %")</f>
        <v>+ 2,4 %</v>
      </c>
    </row>
    <row r="35">
      <c r="A35" s="2">
        <f>IFERROR(__xludf.DUMMYFUNCTION("""COMPUTED_VALUE"""),45170.0)</f>
        <v>45170</v>
      </c>
      <c r="B35" s="1" t="str">
        <f>IFERROR(__xludf.DUMMYFUNCTION("""COMPUTED_VALUE"""),"3.384 €/m2")</f>
        <v>3.384 €/m2</v>
      </c>
      <c r="C35" s="1" t="str">
        <f>IFERROR(__xludf.DUMMYFUNCTION("""COMPUTED_VALUE"""),"0,0 %")</f>
        <v>0,0 %</v>
      </c>
      <c r="D35" s="1" t="str">
        <f>IFERROR(__xludf.DUMMYFUNCTION("""COMPUTED_VALUE"""),"+ 0,1 %")</f>
        <v>+ 0,1 %</v>
      </c>
      <c r="E35" s="1" t="str">
        <f>IFERROR(__xludf.DUMMYFUNCTION("""COMPUTED_VALUE"""),"+ 2,6 %")</f>
        <v>+ 2,6 %</v>
      </c>
    </row>
    <row r="36">
      <c r="A36" s="2">
        <f>IFERROR(__xludf.DUMMYFUNCTION("""COMPUTED_VALUE"""),45139.0)</f>
        <v>45139</v>
      </c>
      <c r="B36" s="1" t="str">
        <f>IFERROR(__xludf.DUMMYFUNCTION("""COMPUTED_VALUE"""),"3.384 €/m2")</f>
        <v>3.384 €/m2</v>
      </c>
      <c r="C36" s="1" t="str">
        <f>IFERROR(__xludf.DUMMYFUNCTION("""COMPUTED_VALUE"""),"+ 0,7 %")</f>
        <v>+ 0,7 %</v>
      </c>
      <c r="D36" s="1" t="str">
        <f>IFERROR(__xludf.DUMMYFUNCTION("""COMPUTED_VALUE"""),"0,0 %")</f>
        <v>0,0 %</v>
      </c>
      <c r="E36" s="1" t="str">
        <f>IFERROR(__xludf.DUMMYFUNCTION("""COMPUTED_VALUE"""),"+ 3,3 %")</f>
        <v>+ 3,3 %</v>
      </c>
    </row>
    <row r="37">
      <c r="A37" s="2">
        <f>IFERROR(__xludf.DUMMYFUNCTION("""COMPUTED_VALUE"""),45108.0)</f>
        <v>45108</v>
      </c>
      <c r="B37" s="1" t="str">
        <f>IFERROR(__xludf.DUMMYFUNCTION("""COMPUTED_VALUE"""),"3.361 €/m2")</f>
        <v>3.361 €/m2</v>
      </c>
      <c r="C37" s="1" t="str">
        <f>IFERROR(__xludf.DUMMYFUNCTION("""COMPUTED_VALUE"""),"- 0,6 %")</f>
        <v>- 0,6 %</v>
      </c>
      <c r="D37" s="1" t="str">
        <f>IFERROR(__xludf.DUMMYFUNCTION("""COMPUTED_VALUE"""),"+ 0,3 %")</f>
        <v>+ 0,3 %</v>
      </c>
      <c r="E37" s="1" t="str">
        <f>IFERROR(__xludf.DUMMYFUNCTION("""COMPUTED_VALUE"""),"+ 5,1 %")</f>
        <v>+ 5,1 %</v>
      </c>
    </row>
    <row r="38">
      <c r="A38" s="2">
        <f>IFERROR(__xludf.DUMMYFUNCTION("""COMPUTED_VALUE"""),45078.0)</f>
        <v>45078</v>
      </c>
      <c r="B38" s="1" t="str">
        <f>IFERROR(__xludf.DUMMYFUNCTION("""COMPUTED_VALUE"""),"3.382 €/m2")</f>
        <v>3.382 €/m2</v>
      </c>
      <c r="C38" s="1" t="str">
        <f>IFERROR(__xludf.DUMMYFUNCTION("""COMPUTED_VALUE"""),"- 0,1 %")</f>
        <v>- 0,1 %</v>
      </c>
      <c r="D38" s="1" t="str">
        <f>IFERROR(__xludf.DUMMYFUNCTION("""COMPUTED_VALUE"""),"+ 3,1 %")</f>
        <v>+ 3,1 %</v>
      </c>
      <c r="E38" s="1" t="str">
        <f>IFERROR(__xludf.DUMMYFUNCTION("""COMPUTED_VALUE"""),"+ 7,7 %")</f>
        <v>+ 7,7 %</v>
      </c>
    </row>
    <row r="39">
      <c r="A39" s="2">
        <f>IFERROR(__xludf.DUMMYFUNCTION("""COMPUTED_VALUE"""),45047.0)</f>
        <v>45047</v>
      </c>
      <c r="B39" s="1" t="str">
        <f>IFERROR(__xludf.DUMMYFUNCTION("""COMPUTED_VALUE"""),"3.384 €/m2")</f>
        <v>3.384 €/m2</v>
      </c>
      <c r="C39" s="1" t="str">
        <f>IFERROR(__xludf.DUMMYFUNCTION("""COMPUTED_VALUE"""),"+ 1,0 %")</f>
        <v>+ 1,0 %</v>
      </c>
      <c r="D39" s="1" t="str">
        <f>IFERROR(__xludf.DUMMYFUNCTION("""COMPUTED_VALUE"""),"+ 4,0 %")</f>
        <v>+ 4,0 %</v>
      </c>
      <c r="E39" s="1" t="str">
        <f>IFERROR(__xludf.DUMMYFUNCTION("""COMPUTED_VALUE"""),"+ 8,3 %")</f>
        <v>+ 8,3 %</v>
      </c>
    </row>
    <row r="40">
      <c r="A40" s="2">
        <f>IFERROR(__xludf.DUMMYFUNCTION("""COMPUTED_VALUE"""),45017.0)</f>
        <v>45017</v>
      </c>
      <c r="B40" s="1" t="str">
        <f>IFERROR(__xludf.DUMMYFUNCTION("""COMPUTED_VALUE"""),"3.352 €/m2")</f>
        <v>3.352 €/m2</v>
      </c>
      <c r="C40" s="1" t="str">
        <f>IFERROR(__xludf.DUMMYFUNCTION("""COMPUTED_VALUE"""),"+ 2,2 %")</f>
        <v>+ 2,2 %</v>
      </c>
      <c r="D40" s="1" t="str">
        <f>IFERROR(__xludf.DUMMYFUNCTION("""COMPUTED_VALUE"""),"+ 3,3 %")</f>
        <v>+ 3,3 %</v>
      </c>
      <c r="E40" s="1" t="str">
        <f>IFERROR(__xludf.DUMMYFUNCTION("""COMPUTED_VALUE"""),"+ 8,7 %")</f>
        <v>+ 8,7 %</v>
      </c>
    </row>
    <row r="41">
      <c r="A41" s="2">
        <f>IFERROR(__xludf.DUMMYFUNCTION("""COMPUTED_VALUE"""),44986.0)</f>
        <v>44986</v>
      </c>
      <c r="B41" s="1" t="str">
        <f>IFERROR(__xludf.DUMMYFUNCTION("""COMPUTED_VALUE"""),"3.281 €/m2")</f>
        <v>3.281 €/m2</v>
      </c>
      <c r="C41" s="1" t="str">
        <f>IFERROR(__xludf.DUMMYFUNCTION("""COMPUTED_VALUE"""),"+ 0,8 %")</f>
        <v>+ 0,8 %</v>
      </c>
      <c r="D41" s="1" t="str">
        <f>IFERROR(__xludf.DUMMYFUNCTION("""COMPUTED_VALUE"""),"+ 0,7 %")</f>
        <v>+ 0,7 %</v>
      </c>
      <c r="E41" s="1" t="str">
        <f>IFERROR(__xludf.DUMMYFUNCTION("""COMPUTED_VALUE"""),"+ 8,0 %")</f>
        <v>+ 8,0 %</v>
      </c>
    </row>
    <row r="42">
      <c r="A42" s="2">
        <f>IFERROR(__xludf.DUMMYFUNCTION("""COMPUTED_VALUE"""),44958.0)</f>
        <v>44958</v>
      </c>
      <c r="B42" s="1" t="str">
        <f>IFERROR(__xludf.DUMMYFUNCTION("""COMPUTED_VALUE"""),"3.255 €/m2")</f>
        <v>3.255 €/m2</v>
      </c>
      <c r="C42" s="1" t="str">
        <f>IFERROR(__xludf.DUMMYFUNCTION("""COMPUTED_VALUE"""),"+ 0,3 %")</f>
        <v>+ 0,3 %</v>
      </c>
      <c r="D42" s="1" t="str">
        <f>IFERROR(__xludf.DUMMYFUNCTION("""COMPUTED_VALUE"""),"- 0,8 %")</f>
        <v>- 0,8 %</v>
      </c>
      <c r="E42" s="1" t="str">
        <f>IFERROR(__xludf.DUMMYFUNCTION("""COMPUTED_VALUE"""),"+ 6,8 %")</f>
        <v>+ 6,8 %</v>
      </c>
    </row>
    <row r="43">
      <c r="A43" s="2">
        <f>IFERROR(__xludf.DUMMYFUNCTION("""COMPUTED_VALUE"""),44927.0)</f>
        <v>44927</v>
      </c>
      <c r="B43" s="1" t="str">
        <f>IFERROR(__xludf.DUMMYFUNCTION("""COMPUTED_VALUE"""),"3.244 €/m2")</f>
        <v>3.244 €/m2</v>
      </c>
      <c r="C43" s="1" t="str">
        <f>IFERROR(__xludf.DUMMYFUNCTION("""COMPUTED_VALUE"""),"- 0,5 %")</f>
        <v>- 0,5 %</v>
      </c>
      <c r="D43" s="1" t="str">
        <f>IFERROR(__xludf.DUMMYFUNCTION("""COMPUTED_VALUE"""),"- 1,5 %")</f>
        <v>- 1,5 %</v>
      </c>
      <c r="E43" s="1" t="str">
        <f>IFERROR(__xludf.DUMMYFUNCTION("""COMPUTED_VALUE"""),"+ 8,3 %")</f>
        <v>+ 8,3 %</v>
      </c>
    </row>
    <row r="44">
      <c r="A44" s="2">
        <f>IFERROR(__xludf.DUMMYFUNCTION("""COMPUTED_VALUE"""),44896.0)</f>
        <v>44896</v>
      </c>
      <c r="B44" s="1" t="str">
        <f>IFERROR(__xludf.DUMMYFUNCTION("""COMPUTED_VALUE"""),"3.260 €/m2")</f>
        <v>3.260 €/m2</v>
      </c>
      <c r="C44" s="1" t="str">
        <f>IFERROR(__xludf.DUMMYFUNCTION("""COMPUTED_VALUE"""),"- 0,7 %")</f>
        <v>- 0,7 %</v>
      </c>
      <c r="D44" s="1" t="str">
        <f>IFERROR(__xludf.DUMMYFUNCTION("""COMPUTED_VALUE"""),"- 1,2 %")</f>
        <v>- 1,2 %</v>
      </c>
      <c r="E44" s="1" t="str">
        <f>IFERROR(__xludf.DUMMYFUNCTION("""COMPUTED_VALUE"""),"+ 9,2 %")</f>
        <v>+ 9,2 %</v>
      </c>
    </row>
    <row r="45">
      <c r="A45" s="2">
        <f>IFERROR(__xludf.DUMMYFUNCTION("""COMPUTED_VALUE"""),44866.0)</f>
        <v>44866</v>
      </c>
      <c r="B45" s="1" t="str">
        <f>IFERROR(__xludf.DUMMYFUNCTION("""COMPUTED_VALUE"""),"3.281 €/m2")</f>
        <v>3.281 €/m2</v>
      </c>
      <c r="C45" s="1" t="str">
        <f>IFERROR(__xludf.DUMMYFUNCTION("""COMPUTED_VALUE"""),"- 0,4 %")</f>
        <v>- 0,4 %</v>
      </c>
      <c r="D45" s="1" t="str">
        <f>IFERROR(__xludf.DUMMYFUNCTION("""COMPUTED_VALUE"""),"+ 0,2 %")</f>
        <v>+ 0,2 %</v>
      </c>
      <c r="E45" s="1" t="str">
        <f>IFERROR(__xludf.DUMMYFUNCTION("""COMPUTED_VALUE"""),"+ 10,8 %")</f>
        <v>+ 10,8 %</v>
      </c>
    </row>
    <row r="46">
      <c r="A46" s="2">
        <f>IFERROR(__xludf.DUMMYFUNCTION("""COMPUTED_VALUE"""),44835.0)</f>
        <v>44835</v>
      </c>
      <c r="B46" s="1" t="str">
        <f>IFERROR(__xludf.DUMMYFUNCTION("""COMPUTED_VALUE"""),"3.294 €/m2")</f>
        <v>3.294 €/m2</v>
      </c>
      <c r="C46" s="1" t="str">
        <f>IFERROR(__xludf.DUMMYFUNCTION("""COMPUTED_VALUE"""),"- 0,1 %")</f>
        <v>- 0,1 %</v>
      </c>
      <c r="D46" s="1" t="str">
        <f>IFERROR(__xludf.DUMMYFUNCTION("""COMPUTED_VALUE"""),"+ 3,0 %")</f>
        <v>+ 3,0 %</v>
      </c>
      <c r="E46" s="1" t="str">
        <f>IFERROR(__xludf.DUMMYFUNCTION("""COMPUTED_VALUE"""),"+ 12,0 %")</f>
        <v>+ 12,0 %</v>
      </c>
    </row>
    <row r="47">
      <c r="A47" s="2">
        <f>IFERROR(__xludf.DUMMYFUNCTION("""COMPUTED_VALUE"""),44805.0)</f>
        <v>44805</v>
      </c>
      <c r="B47" s="1" t="str">
        <f>IFERROR(__xludf.DUMMYFUNCTION("""COMPUTED_VALUE"""),"3.298 €/m2")</f>
        <v>3.298 €/m2</v>
      </c>
      <c r="C47" s="1" t="str">
        <f>IFERROR(__xludf.DUMMYFUNCTION("""COMPUTED_VALUE"""),"+ 0,7 %")</f>
        <v>+ 0,7 %</v>
      </c>
      <c r="D47" s="1" t="str">
        <f>IFERROR(__xludf.DUMMYFUNCTION("""COMPUTED_VALUE"""),"+ 5,1 %")</f>
        <v>+ 5,1 %</v>
      </c>
      <c r="E47" s="1" t="str">
        <f>IFERROR(__xludf.DUMMYFUNCTION("""COMPUTED_VALUE"""),"+ 11,4 %")</f>
        <v>+ 11,4 %</v>
      </c>
    </row>
    <row r="48">
      <c r="A48" s="2">
        <f>IFERROR(__xludf.DUMMYFUNCTION("""COMPUTED_VALUE"""),44774.0)</f>
        <v>44774</v>
      </c>
      <c r="B48" s="1" t="str">
        <f>IFERROR(__xludf.DUMMYFUNCTION("""COMPUTED_VALUE"""),"3.275 €/m2")</f>
        <v>3.275 €/m2</v>
      </c>
      <c r="C48" s="1" t="str">
        <f>IFERROR(__xludf.DUMMYFUNCTION("""COMPUTED_VALUE"""),"+ 2,4 %")</f>
        <v>+ 2,4 %</v>
      </c>
      <c r="D48" s="1" t="str">
        <f>IFERROR(__xludf.DUMMYFUNCTION("""COMPUTED_VALUE"""),"+ 4,9 %")</f>
        <v>+ 4,9 %</v>
      </c>
      <c r="E48" s="1" t="str">
        <f>IFERROR(__xludf.DUMMYFUNCTION("""COMPUTED_VALUE"""),"+ 9,8 %")</f>
        <v>+ 9,8 %</v>
      </c>
    </row>
    <row r="49">
      <c r="A49" s="2">
        <f>IFERROR(__xludf.DUMMYFUNCTION("""COMPUTED_VALUE"""),44743.0)</f>
        <v>44743</v>
      </c>
      <c r="B49" s="1" t="str">
        <f>IFERROR(__xludf.DUMMYFUNCTION("""COMPUTED_VALUE"""),"3.198 €/m2")</f>
        <v>3.198 €/m2</v>
      </c>
      <c r="C49" s="1" t="str">
        <f>IFERROR(__xludf.DUMMYFUNCTION("""COMPUTED_VALUE"""),"+ 1,9 %")</f>
        <v>+ 1,9 %</v>
      </c>
      <c r="D49" s="1" t="str">
        <f>IFERROR(__xludf.DUMMYFUNCTION("""COMPUTED_VALUE"""),"+ 3,7 %")</f>
        <v>+ 3,7 %</v>
      </c>
      <c r="E49" s="1" t="str">
        <f>IFERROR(__xludf.DUMMYFUNCTION("""COMPUTED_VALUE"""),"+ 6,7 %")</f>
        <v>+ 6,7 %</v>
      </c>
    </row>
    <row r="50">
      <c r="A50" s="2">
        <f>IFERROR(__xludf.DUMMYFUNCTION("""COMPUTED_VALUE"""),44713.0)</f>
        <v>44713</v>
      </c>
      <c r="B50" s="1" t="str">
        <f>IFERROR(__xludf.DUMMYFUNCTION("""COMPUTED_VALUE"""),"3.139 €/m2")</f>
        <v>3.139 €/m2</v>
      </c>
      <c r="C50" s="1" t="str">
        <f>IFERROR(__xludf.DUMMYFUNCTION("""COMPUTED_VALUE"""),"+ 0,5 %")</f>
        <v>+ 0,5 %</v>
      </c>
      <c r="D50" s="1" t="str">
        <f>IFERROR(__xludf.DUMMYFUNCTION("""COMPUTED_VALUE"""),"+ 3,3 %")</f>
        <v>+ 3,3 %</v>
      </c>
      <c r="E50" s="1" t="str">
        <f>IFERROR(__xludf.DUMMYFUNCTION("""COMPUTED_VALUE"""),"+ 5,6 %")</f>
        <v>+ 5,6 %</v>
      </c>
    </row>
    <row r="51">
      <c r="A51" s="2">
        <f>IFERROR(__xludf.DUMMYFUNCTION("""COMPUTED_VALUE"""),44682.0)</f>
        <v>44682</v>
      </c>
      <c r="B51" s="1" t="str">
        <f>IFERROR(__xludf.DUMMYFUNCTION("""COMPUTED_VALUE"""),"3.123 €/m2")</f>
        <v>3.123 €/m2</v>
      </c>
      <c r="C51" s="1" t="str">
        <f>IFERROR(__xludf.DUMMYFUNCTION("""COMPUTED_VALUE"""),"+ 1,3 %")</f>
        <v>+ 1,3 %</v>
      </c>
      <c r="D51" s="1" t="str">
        <f>IFERROR(__xludf.DUMMYFUNCTION("""COMPUTED_VALUE"""),"+ 2,5 %")</f>
        <v>+ 2,5 %</v>
      </c>
      <c r="E51" s="1" t="str">
        <f>IFERROR(__xludf.DUMMYFUNCTION("""COMPUTED_VALUE"""),"+ 6,5 %")</f>
        <v>+ 6,5 %</v>
      </c>
    </row>
    <row r="52">
      <c r="A52" s="2">
        <f>IFERROR(__xludf.DUMMYFUNCTION("""COMPUTED_VALUE"""),44652.0)</f>
        <v>44652</v>
      </c>
      <c r="B52" s="1" t="str">
        <f>IFERROR(__xludf.DUMMYFUNCTION("""COMPUTED_VALUE"""),"3.084 €/m2")</f>
        <v>3.084 €/m2</v>
      </c>
      <c r="C52" s="1" t="str">
        <f>IFERROR(__xludf.DUMMYFUNCTION("""COMPUTED_VALUE"""),"+ 1,5 %")</f>
        <v>+ 1,5 %</v>
      </c>
      <c r="D52" s="1" t="str">
        <f>IFERROR(__xludf.DUMMYFUNCTION("""COMPUTED_VALUE"""),"+ 2,9 %")</f>
        <v>+ 2,9 %</v>
      </c>
      <c r="E52" s="1" t="str">
        <f>IFERROR(__xludf.DUMMYFUNCTION("""COMPUTED_VALUE"""),"+ 5,2 %")</f>
        <v>+ 5,2 %</v>
      </c>
    </row>
    <row r="53">
      <c r="A53" s="2">
        <f>IFERROR(__xludf.DUMMYFUNCTION("""COMPUTED_VALUE"""),44621.0)</f>
        <v>44621</v>
      </c>
      <c r="B53" s="1" t="str">
        <f>IFERROR(__xludf.DUMMYFUNCTION("""COMPUTED_VALUE"""),"3.039 €/m2")</f>
        <v>3.039 €/m2</v>
      </c>
      <c r="C53" s="1" t="str">
        <f>IFERROR(__xludf.DUMMYFUNCTION("""COMPUTED_VALUE"""),"- 0,2 %")</f>
        <v>- 0,2 %</v>
      </c>
      <c r="D53" s="1" t="str">
        <f>IFERROR(__xludf.DUMMYFUNCTION("""COMPUTED_VALUE"""),"+ 1,8 %")</f>
        <v>+ 1,8 %</v>
      </c>
      <c r="E53" s="1" t="str">
        <f>IFERROR(__xludf.DUMMYFUNCTION("""COMPUTED_VALUE"""),"+ 3,0 %")</f>
        <v>+ 3,0 %</v>
      </c>
    </row>
    <row r="54">
      <c r="A54" s="2">
        <f>IFERROR(__xludf.DUMMYFUNCTION("""COMPUTED_VALUE"""),44593.0)</f>
        <v>44593</v>
      </c>
      <c r="B54" s="1" t="str">
        <f>IFERROR(__xludf.DUMMYFUNCTION("""COMPUTED_VALUE"""),"3.046 €/m2")</f>
        <v>3.046 €/m2</v>
      </c>
      <c r="C54" s="1" t="str">
        <f>IFERROR(__xludf.DUMMYFUNCTION("""COMPUTED_VALUE"""),"+ 1,7 %")</f>
        <v>+ 1,7 %</v>
      </c>
      <c r="D54" s="1" t="str">
        <f>IFERROR(__xludf.DUMMYFUNCTION("""COMPUTED_VALUE"""),"+ 2,8 %")</f>
        <v>+ 2,8 %</v>
      </c>
      <c r="E54" s="1" t="str">
        <f>IFERROR(__xludf.DUMMYFUNCTION("""COMPUTED_VALUE"""),"+ 3,1 %")</f>
        <v>+ 3,1 %</v>
      </c>
    </row>
    <row r="55">
      <c r="A55" s="2">
        <f>IFERROR(__xludf.DUMMYFUNCTION("""COMPUTED_VALUE"""),44562.0)</f>
        <v>44562</v>
      </c>
      <c r="B55" s="1" t="str">
        <f>IFERROR(__xludf.DUMMYFUNCTION("""COMPUTED_VALUE"""),"2.996 €/m2")</f>
        <v>2.996 €/m2</v>
      </c>
      <c r="C55" s="1" t="str">
        <f>IFERROR(__xludf.DUMMYFUNCTION("""COMPUTED_VALUE"""),"+ 0,4 %")</f>
        <v>+ 0,4 %</v>
      </c>
      <c r="D55" s="1" t="str">
        <f>IFERROR(__xludf.DUMMYFUNCTION("""COMPUTED_VALUE"""),"+ 1,9 %")</f>
        <v>+ 1,9 %</v>
      </c>
      <c r="E55" s="1" t="str">
        <f>IFERROR(__xludf.DUMMYFUNCTION("""COMPUTED_VALUE"""),"+ 2,3 %")</f>
        <v>+ 2,3 %</v>
      </c>
    </row>
    <row r="56">
      <c r="A56" s="2">
        <f>IFERROR(__xludf.DUMMYFUNCTION("""COMPUTED_VALUE"""),44531.0)</f>
        <v>44531</v>
      </c>
      <c r="B56" s="1" t="str">
        <f>IFERROR(__xludf.DUMMYFUNCTION("""COMPUTED_VALUE"""),"2.985 €/m2")</f>
        <v>2.985 €/m2</v>
      </c>
      <c r="C56" s="1" t="str">
        <f>IFERROR(__xludf.DUMMYFUNCTION("""COMPUTED_VALUE"""),"+ 0,8 %")</f>
        <v>+ 0,8 %</v>
      </c>
      <c r="D56" s="1" t="str">
        <f>IFERROR(__xludf.DUMMYFUNCTION("""COMPUTED_VALUE"""),"+ 0,8 %")</f>
        <v>+ 0,8 %</v>
      </c>
      <c r="E56" s="1" t="str">
        <f>IFERROR(__xludf.DUMMYFUNCTION("""COMPUTED_VALUE"""),"+ 2,0 %")</f>
        <v>+ 2,0 %</v>
      </c>
    </row>
    <row r="57">
      <c r="A57" s="2">
        <f>IFERROR(__xludf.DUMMYFUNCTION("""COMPUTED_VALUE"""),44501.0)</f>
        <v>44501</v>
      </c>
      <c r="B57" s="1" t="str">
        <f>IFERROR(__xludf.DUMMYFUNCTION("""COMPUTED_VALUE"""),"2.962 €/m2")</f>
        <v>2.962 €/m2</v>
      </c>
      <c r="C57" s="1" t="str">
        <f>IFERROR(__xludf.DUMMYFUNCTION("""COMPUTED_VALUE"""),"+ 0,7 %")</f>
        <v>+ 0,7 %</v>
      </c>
      <c r="D57" s="1" t="str">
        <f>IFERROR(__xludf.DUMMYFUNCTION("""COMPUTED_VALUE"""),"- 0,7 %")</f>
        <v>- 0,7 %</v>
      </c>
      <c r="E57" s="1" t="str">
        <f>IFERROR(__xludf.DUMMYFUNCTION("""COMPUTED_VALUE"""),"+ 1,0 %")</f>
        <v>+ 1,0 %</v>
      </c>
    </row>
    <row r="58">
      <c r="A58" s="2">
        <f>IFERROR(__xludf.DUMMYFUNCTION("""COMPUTED_VALUE"""),44470.0)</f>
        <v>44470</v>
      </c>
      <c r="B58" s="1" t="str">
        <f>IFERROR(__xludf.DUMMYFUNCTION("""COMPUTED_VALUE"""),"2.941 €/m2")</f>
        <v>2.941 €/m2</v>
      </c>
      <c r="C58" s="1" t="str">
        <f>IFERROR(__xludf.DUMMYFUNCTION("""COMPUTED_VALUE"""),"- 0,7 %")</f>
        <v>- 0,7 %</v>
      </c>
      <c r="D58" s="1" t="str">
        <f>IFERROR(__xludf.DUMMYFUNCTION("""COMPUTED_VALUE"""),"- 1,9 %")</f>
        <v>- 1,9 %</v>
      </c>
      <c r="E58" s="1" t="str">
        <f>IFERROR(__xludf.DUMMYFUNCTION("""COMPUTED_VALUE"""),"- 0,3 %")</f>
        <v>- 0,3 %</v>
      </c>
    </row>
    <row r="59">
      <c r="A59" s="2">
        <f>IFERROR(__xludf.DUMMYFUNCTION("""COMPUTED_VALUE"""),44440.0)</f>
        <v>44440</v>
      </c>
      <c r="B59" s="1" t="str">
        <f>IFERROR(__xludf.DUMMYFUNCTION("""COMPUTED_VALUE"""),"2.962 €/m2")</f>
        <v>2.962 €/m2</v>
      </c>
      <c r="C59" s="1" t="str">
        <f>IFERROR(__xludf.DUMMYFUNCTION("""COMPUTED_VALUE"""),"- 0,7 %")</f>
        <v>- 0,7 %</v>
      </c>
      <c r="D59" s="1" t="str">
        <f>IFERROR(__xludf.DUMMYFUNCTION("""COMPUTED_VALUE"""),"- 0,4 %")</f>
        <v>- 0,4 %</v>
      </c>
      <c r="E59" s="1" t="str">
        <f>IFERROR(__xludf.DUMMYFUNCTION("""COMPUTED_VALUE"""),"- 0,4 %")</f>
        <v>- 0,4 %</v>
      </c>
    </row>
    <row r="60">
      <c r="A60" s="2">
        <f>IFERROR(__xludf.DUMMYFUNCTION("""COMPUTED_VALUE"""),44409.0)</f>
        <v>44409</v>
      </c>
      <c r="B60" s="1" t="str">
        <f>IFERROR(__xludf.DUMMYFUNCTION("""COMPUTED_VALUE"""),"2.983 €/m2")</f>
        <v>2.983 €/m2</v>
      </c>
      <c r="C60" s="1" t="str">
        <f>IFERROR(__xludf.DUMMYFUNCTION("""COMPUTED_VALUE"""),"- 0,5 %")</f>
        <v>- 0,5 %</v>
      </c>
      <c r="D60" s="1" t="str">
        <f>IFERROR(__xludf.DUMMYFUNCTION("""COMPUTED_VALUE"""),"+ 1,7 %")</f>
        <v>+ 1,7 %</v>
      </c>
      <c r="E60" s="1" t="str">
        <f>IFERROR(__xludf.DUMMYFUNCTION("""COMPUTED_VALUE"""),"+ 0,3 %")</f>
        <v>+ 0,3 %</v>
      </c>
    </row>
    <row r="61">
      <c r="A61" s="2">
        <f>IFERROR(__xludf.DUMMYFUNCTION("""COMPUTED_VALUE"""),44378.0)</f>
        <v>44378</v>
      </c>
      <c r="B61" s="1" t="str">
        <f>IFERROR(__xludf.DUMMYFUNCTION("""COMPUTED_VALUE"""),"2.998 €/m2")</f>
        <v>2.998 €/m2</v>
      </c>
      <c r="C61" s="1" t="str">
        <f>IFERROR(__xludf.DUMMYFUNCTION("""COMPUTED_VALUE"""),"+ 0,8 %")</f>
        <v>+ 0,8 %</v>
      </c>
      <c r="D61" s="1" t="str">
        <f>IFERROR(__xludf.DUMMYFUNCTION("""COMPUTED_VALUE"""),"+ 2,3 %")</f>
        <v>+ 2,3 %</v>
      </c>
      <c r="E61" s="1" t="str">
        <f>IFERROR(__xludf.DUMMYFUNCTION("""COMPUTED_VALUE"""),"+ 1,0 %")</f>
        <v>+ 1,0 %</v>
      </c>
    </row>
    <row r="62">
      <c r="A62" s="2">
        <f>IFERROR(__xludf.DUMMYFUNCTION("""COMPUTED_VALUE"""),44348.0)</f>
        <v>44348</v>
      </c>
      <c r="B62" s="1" t="str">
        <f>IFERROR(__xludf.DUMMYFUNCTION("""COMPUTED_VALUE"""),"2.974 €/m2")</f>
        <v>2.974 €/m2</v>
      </c>
      <c r="C62" s="1" t="str">
        <f>IFERROR(__xludf.DUMMYFUNCTION("""COMPUTED_VALUE"""),"+ 1,4 %")</f>
        <v>+ 1,4 %</v>
      </c>
      <c r="D62" s="1" t="str">
        <f>IFERROR(__xludf.DUMMYFUNCTION("""COMPUTED_VALUE"""),"+ 0,8 %")</f>
        <v>+ 0,8 %</v>
      </c>
      <c r="E62" s="1" t="str">
        <f>IFERROR(__xludf.DUMMYFUNCTION("""COMPUTED_VALUE"""),"- 1,0 %")</f>
        <v>- 1,0 %</v>
      </c>
    </row>
    <row r="63">
      <c r="A63" s="2">
        <f>IFERROR(__xludf.DUMMYFUNCTION("""COMPUTED_VALUE"""),44317.0)</f>
        <v>44317</v>
      </c>
      <c r="B63" s="1" t="str">
        <f>IFERROR(__xludf.DUMMYFUNCTION("""COMPUTED_VALUE"""),"2.934 €/m2")</f>
        <v>2.934 €/m2</v>
      </c>
      <c r="C63" s="1" t="str">
        <f>IFERROR(__xludf.DUMMYFUNCTION("""COMPUTED_VALUE"""),"+ 0,1 %")</f>
        <v>+ 0,1 %</v>
      </c>
      <c r="D63" s="1" t="str">
        <f>IFERROR(__xludf.DUMMYFUNCTION("""COMPUTED_VALUE"""),"- 0,7 %")</f>
        <v>- 0,7 %</v>
      </c>
      <c r="E63" s="1" t="str">
        <f>IFERROR(__xludf.DUMMYFUNCTION("""COMPUTED_VALUE"""),"- 3,9 %")</f>
        <v>- 3,9 %</v>
      </c>
    </row>
    <row r="64">
      <c r="A64" s="2">
        <f>IFERROR(__xludf.DUMMYFUNCTION("""COMPUTED_VALUE"""),44287.0)</f>
        <v>44287</v>
      </c>
      <c r="B64" s="1" t="str">
        <f>IFERROR(__xludf.DUMMYFUNCTION("""COMPUTED_VALUE"""),"2.931 €/m2")</f>
        <v>2.931 €/m2</v>
      </c>
      <c r="C64" s="1" t="str">
        <f>IFERROR(__xludf.DUMMYFUNCTION("""COMPUTED_VALUE"""),"- 0,7 %")</f>
        <v>- 0,7 %</v>
      </c>
      <c r="D64" s="1" t="str">
        <f>IFERROR(__xludf.DUMMYFUNCTION("""COMPUTED_VALUE"""),"+ 0,1 %")</f>
        <v>+ 0,1 %</v>
      </c>
      <c r="E64" s="1" t="str">
        <f>IFERROR(__xludf.DUMMYFUNCTION("""COMPUTED_VALUE"""),"- 2,4 %")</f>
        <v>- 2,4 %</v>
      </c>
    </row>
    <row r="65">
      <c r="A65" s="2">
        <f>IFERROR(__xludf.DUMMYFUNCTION("""COMPUTED_VALUE"""),44256.0)</f>
        <v>44256</v>
      </c>
      <c r="B65" s="1" t="str">
        <f>IFERROR(__xludf.DUMMYFUNCTION("""COMPUTED_VALUE"""),"2.951 €/m2")</f>
        <v>2.951 €/m2</v>
      </c>
      <c r="C65" s="1" t="str">
        <f>IFERROR(__xludf.DUMMYFUNCTION("""COMPUTED_VALUE"""),"- 0,2 %")</f>
        <v>- 0,2 %</v>
      </c>
      <c r="D65" s="1" t="str">
        <f>IFERROR(__xludf.DUMMYFUNCTION("""COMPUTED_VALUE"""),"+ 0,9 %")</f>
        <v>+ 0,9 %</v>
      </c>
      <c r="E65" s="1" t="str">
        <f>IFERROR(__xludf.DUMMYFUNCTION("""COMPUTED_VALUE"""),"- 1,8 %")</f>
        <v>- 1,8 %</v>
      </c>
    </row>
    <row r="66">
      <c r="A66" s="2">
        <f>IFERROR(__xludf.DUMMYFUNCTION("""COMPUTED_VALUE"""),44228.0)</f>
        <v>44228</v>
      </c>
      <c r="B66" s="1" t="str">
        <f>IFERROR(__xludf.DUMMYFUNCTION("""COMPUTED_VALUE"""),"2.956 €/m2")</f>
        <v>2.956 €/m2</v>
      </c>
      <c r="C66" s="1" t="str">
        <f>IFERROR(__xludf.DUMMYFUNCTION("""COMPUTED_VALUE"""),"+ 1,0 %")</f>
        <v>+ 1,0 %</v>
      </c>
      <c r="D66" s="1" t="str">
        <f>IFERROR(__xludf.DUMMYFUNCTION("""COMPUTED_VALUE"""),"+ 0,7 %")</f>
        <v>+ 0,7 %</v>
      </c>
      <c r="E66" s="1" t="str">
        <f>IFERROR(__xludf.DUMMYFUNCTION("""COMPUTED_VALUE"""),"- 1,7 %")</f>
        <v>- 1,7 %</v>
      </c>
    </row>
    <row r="67">
      <c r="A67" s="2">
        <f>IFERROR(__xludf.DUMMYFUNCTION("""COMPUTED_VALUE"""),44197.0)</f>
        <v>44197</v>
      </c>
      <c r="B67" s="1" t="str">
        <f>IFERROR(__xludf.DUMMYFUNCTION("""COMPUTED_VALUE"""),"2.928 €/m2")</f>
        <v>2.928 €/m2</v>
      </c>
      <c r="C67" s="1" t="str">
        <f>IFERROR(__xludf.DUMMYFUNCTION("""COMPUTED_VALUE"""),"+ 0,1 %")</f>
        <v>+ 0,1 %</v>
      </c>
      <c r="D67" s="1" t="str">
        <f>IFERROR(__xludf.DUMMYFUNCTION("""COMPUTED_VALUE"""),"- 0,7 %")</f>
        <v>- 0,7 %</v>
      </c>
      <c r="E67" s="1" t="str">
        <f>IFERROR(__xludf.DUMMYFUNCTION("""COMPUTED_VALUE"""),"- 2,6 %")</f>
        <v>- 2,6 %</v>
      </c>
    </row>
    <row r="68">
      <c r="A68" s="2">
        <f>IFERROR(__xludf.DUMMYFUNCTION("""COMPUTED_VALUE"""),44166.0)</f>
        <v>44166</v>
      </c>
      <c r="B68" s="1" t="str">
        <f>IFERROR(__xludf.DUMMYFUNCTION("""COMPUTED_VALUE"""),"2.926 €/m2")</f>
        <v>2.926 €/m2</v>
      </c>
      <c r="C68" s="1" t="str">
        <f>IFERROR(__xludf.DUMMYFUNCTION("""COMPUTED_VALUE"""),"- 0,3 %")</f>
        <v>- 0,3 %</v>
      </c>
      <c r="D68" s="1" t="str">
        <f>IFERROR(__xludf.DUMMYFUNCTION("""COMPUTED_VALUE"""),"- 1,7 %")</f>
        <v>- 1,7 %</v>
      </c>
      <c r="E68" s="1" t="str">
        <f>IFERROR(__xludf.DUMMYFUNCTION("""COMPUTED_VALUE"""),"- 2,7 %")</f>
        <v>- 2,7 %</v>
      </c>
    </row>
    <row r="69">
      <c r="A69" s="2">
        <f>IFERROR(__xludf.DUMMYFUNCTION("""COMPUTED_VALUE"""),44136.0)</f>
        <v>44136</v>
      </c>
      <c r="B69" s="1" t="str">
        <f>IFERROR(__xludf.DUMMYFUNCTION("""COMPUTED_VALUE"""),"2.934 €/m2")</f>
        <v>2.934 €/m2</v>
      </c>
      <c r="C69" s="1" t="str">
        <f>IFERROR(__xludf.DUMMYFUNCTION("""COMPUTED_VALUE"""),"- 0,5 %")</f>
        <v>- 0,5 %</v>
      </c>
      <c r="D69" s="1" t="str">
        <f>IFERROR(__xludf.DUMMYFUNCTION("""COMPUTED_VALUE"""),"- 1,3 %")</f>
        <v>- 1,3 %</v>
      </c>
      <c r="E69" s="1" t="str">
        <f>IFERROR(__xludf.DUMMYFUNCTION("""COMPUTED_VALUE"""),"- 2,7 %")</f>
        <v>- 2,7 %</v>
      </c>
    </row>
    <row r="70">
      <c r="A70" s="2">
        <f>IFERROR(__xludf.DUMMYFUNCTION("""COMPUTED_VALUE"""),44105.0)</f>
        <v>44105</v>
      </c>
      <c r="B70" s="1" t="str">
        <f>IFERROR(__xludf.DUMMYFUNCTION("""COMPUTED_VALUE"""),"2.949 €/m2")</f>
        <v>2.949 €/m2</v>
      </c>
      <c r="C70" s="1" t="str">
        <f>IFERROR(__xludf.DUMMYFUNCTION("""COMPUTED_VALUE"""),"- 0,9 %")</f>
        <v>- 0,9 %</v>
      </c>
      <c r="D70" s="1" t="str">
        <f>IFERROR(__xludf.DUMMYFUNCTION("""COMPUTED_VALUE"""),"- 0,7 %")</f>
        <v>- 0,7 %</v>
      </c>
      <c r="E70" s="1" t="str">
        <f>IFERROR(__xludf.DUMMYFUNCTION("""COMPUTED_VALUE"""),"- 2,6 %")</f>
        <v>- 2,6 %</v>
      </c>
    </row>
    <row r="71">
      <c r="A71" s="2">
        <f>IFERROR(__xludf.DUMMYFUNCTION("""COMPUTED_VALUE"""),44075.0)</f>
        <v>44075</v>
      </c>
      <c r="B71" s="1" t="str">
        <f>IFERROR(__xludf.DUMMYFUNCTION("""COMPUTED_VALUE"""),"2.975 €/m2")</f>
        <v>2.975 €/m2</v>
      </c>
      <c r="C71" s="1" t="str">
        <f>IFERROR(__xludf.DUMMYFUNCTION("""COMPUTED_VALUE"""),"0,0 %")</f>
        <v>0,0 %</v>
      </c>
      <c r="D71" s="1" t="str">
        <f>IFERROR(__xludf.DUMMYFUNCTION("""COMPUTED_VALUE"""),"- 1,0 %")</f>
        <v>- 1,0 %</v>
      </c>
      <c r="E71" s="1" t="str">
        <f>IFERROR(__xludf.DUMMYFUNCTION("""COMPUTED_VALUE"""),"- 2,6 %")</f>
        <v>- 2,6 %</v>
      </c>
    </row>
    <row r="72">
      <c r="A72" s="2">
        <f>IFERROR(__xludf.DUMMYFUNCTION("""COMPUTED_VALUE"""),44044.0)</f>
        <v>44044</v>
      </c>
      <c r="B72" s="1" t="str">
        <f>IFERROR(__xludf.DUMMYFUNCTION("""COMPUTED_VALUE"""),"2.974 €/m2")</f>
        <v>2.974 €/m2</v>
      </c>
      <c r="C72" s="1" t="str">
        <f>IFERROR(__xludf.DUMMYFUNCTION("""COMPUTED_VALUE"""),"+ 0,2 %")</f>
        <v>+ 0,2 %</v>
      </c>
      <c r="D72" s="1" t="str">
        <f>IFERROR(__xludf.DUMMYFUNCTION("""COMPUTED_VALUE"""),"- 2,6 %")</f>
        <v>- 2,6 %</v>
      </c>
      <c r="E72" s="1" t="str">
        <f>IFERROR(__xludf.DUMMYFUNCTION("""COMPUTED_VALUE"""),"- 3,8 %")</f>
        <v>- 3,8 %</v>
      </c>
    </row>
    <row r="73">
      <c r="A73" s="2">
        <f>IFERROR(__xludf.DUMMYFUNCTION("""COMPUTED_VALUE"""),44013.0)</f>
        <v>44013</v>
      </c>
      <c r="B73" s="1" t="str">
        <f>IFERROR(__xludf.DUMMYFUNCTION("""COMPUTED_VALUE"""),"2.969 €/m2")</f>
        <v>2.969 €/m2</v>
      </c>
      <c r="C73" s="1" t="str">
        <f>IFERROR(__xludf.DUMMYFUNCTION("""COMPUTED_VALUE"""),"- 1,2 %")</f>
        <v>- 1,2 %</v>
      </c>
      <c r="D73" s="1" t="str">
        <f>IFERROR(__xludf.DUMMYFUNCTION("""COMPUTED_VALUE"""),"- 1,1 %")</f>
        <v>- 1,1 %</v>
      </c>
      <c r="E73" s="1" t="str">
        <f>IFERROR(__xludf.DUMMYFUNCTION("""COMPUTED_VALUE"""),"- 3,9 %")</f>
        <v>- 3,9 %</v>
      </c>
    </row>
    <row r="74">
      <c r="A74" s="2">
        <f>IFERROR(__xludf.DUMMYFUNCTION("""COMPUTED_VALUE"""),43983.0)</f>
        <v>43983</v>
      </c>
      <c r="B74" s="1" t="str">
        <f>IFERROR(__xludf.DUMMYFUNCTION("""COMPUTED_VALUE"""),"3.005 €/m2")</f>
        <v>3.005 €/m2</v>
      </c>
      <c r="C74" s="1" t="str">
        <f>IFERROR(__xludf.DUMMYFUNCTION("""COMPUTED_VALUE"""),"- 1,6 %")</f>
        <v>- 1,6 %</v>
      </c>
      <c r="D74" s="1" t="str">
        <f>IFERROR(__xludf.DUMMYFUNCTION("""COMPUTED_VALUE"""),"0,0 %")</f>
        <v>0,0 %</v>
      </c>
      <c r="E74" s="1" t="str">
        <f>IFERROR(__xludf.DUMMYFUNCTION("""COMPUTED_VALUE"""),"- 2,2 %")</f>
        <v>- 2,2 %</v>
      </c>
    </row>
    <row r="75">
      <c r="A75" s="2">
        <f>IFERROR(__xludf.DUMMYFUNCTION("""COMPUTED_VALUE"""),43952.0)</f>
        <v>43952</v>
      </c>
      <c r="B75" s="1" t="str">
        <f>IFERROR(__xludf.DUMMYFUNCTION("""COMPUTED_VALUE"""),"3.054 €/m2")</f>
        <v>3.054 €/m2</v>
      </c>
      <c r="C75" s="1" t="str">
        <f>IFERROR(__xludf.DUMMYFUNCTION("""COMPUTED_VALUE"""),"+ 1,7 %")</f>
        <v>+ 1,7 %</v>
      </c>
      <c r="D75" s="1" t="str">
        <f>IFERROR(__xludf.DUMMYFUNCTION("""COMPUTED_VALUE"""),"+ 1,6 %")</f>
        <v>+ 1,6 %</v>
      </c>
      <c r="E75" s="1" t="str">
        <f>IFERROR(__xludf.DUMMYFUNCTION("""COMPUTED_VALUE"""),"- 0,2 %")</f>
        <v>- 0,2 %</v>
      </c>
    </row>
    <row r="76">
      <c r="A76" s="2">
        <f>IFERROR(__xludf.DUMMYFUNCTION("""COMPUTED_VALUE"""),43922.0)</f>
        <v>43922</v>
      </c>
      <c r="B76" s="1" t="str">
        <f>IFERROR(__xludf.DUMMYFUNCTION("""COMPUTED_VALUE"""),"3.002 €/m2")</f>
        <v>3.002 €/m2</v>
      </c>
      <c r="C76" s="1" t="str">
        <f>IFERROR(__xludf.DUMMYFUNCTION("""COMPUTED_VALUE"""),"- 0,1 %")</f>
        <v>- 0,1 %</v>
      </c>
      <c r="D76" s="1" t="str">
        <f>IFERROR(__xludf.DUMMYFUNCTION("""COMPUTED_VALUE"""),"- 0,1 %")</f>
        <v>- 0,1 %</v>
      </c>
      <c r="E76" s="1" t="str">
        <f>IFERROR(__xludf.DUMMYFUNCTION("""COMPUTED_VALUE"""),"- 1,7 %")</f>
        <v>- 1,7 %</v>
      </c>
    </row>
    <row r="77">
      <c r="A77" s="2">
        <f>IFERROR(__xludf.DUMMYFUNCTION("""COMPUTED_VALUE"""),43891.0)</f>
        <v>43891</v>
      </c>
      <c r="B77" s="1" t="str">
        <f>IFERROR(__xludf.DUMMYFUNCTION("""COMPUTED_VALUE"""),"3.005 €/m2")</f>
        <v>3.005 €/m2</v>
      </c>
      <c r="C77" s="1" t="str">
        <f>IFERROR(__xludf.DUMMYFUNCTION("""COMPUTED_VALUE"""),"0,0 %")</f>
        <v>0,0 %</v>
      </c>
      <c r="D77" s="1" t="str">
        <f>IFERROR(__xludf.DUMMYFUNCTION("""COMPUTED_VALUE"""),"- 0,1 %")</f>
        <v>- 0,1 %</v>
      </c>
      <c r="E77" s="1" t="str">
        <f>IFERROR(__xludf.DUMMYFUNCTION("""COMPUTED_VALUE"""),"- 1,1 %")</f>
        <v>- 1,1 %</v>
      </c>
    </row>
    <row r="78">
      <c r="A78" s="2">
        <f>IFERROR(__xludf.DUMMYFUNCTION("""COMPUTED_VALUE"""),43862.0)</f>
        <v>43862</v>
      </c>
      <c r="B78" s="1" t="str">
        <f>IFERROR(__xludf.DUMMYFUNCTION("""COMPUTED_VALUE"""),"3.006 €/m2")</f>
        <v>3.006 €/m2</v>
      </c>
      <c r="C78" s="1" t="str">
        <f>IFERROR(__xludf.DUMMYFUNCTION("""COMPUTED_VALUE"""),"0,0 %")</f>
        <v>0,0 %</v>
      </c>
      <c r="D78" s="1" t="str">
        <f>IFERROR(__xludf.DUMMYFUNCTION("""COMPUTED_VALUE"""),"- 0,3 %")</f>
        <v>- 0,3 %</v>
      </c>
      <c r="E78" s="1" t="str">
        <f>IFERROR(__xludf.DUMMYFUNCTION("""COMPUTED_VALUE"""),"- 0,7 %")</f>
        <v>- 0,7 %</v>
      </c>
    </row>
    <row r="79">
      <c r="A79" s="2">
        <f>IFERROR(__xludf.DUMMYFUNCTION("""COMPUTED_VALUE"""),43831.0)</f>
        <v>43831</v>
      </c>
      <c r="B79" s="1" t="str">
        <f>IFERROR(__xludf.DUMMYFUNCTION("""COMPUTED_VALUE"""),"3.006 €/m2")</f>
        <v>3.006 €/m2</v>
      </c>
      <c r="C79" s="1" t="str">
        <f>IFERROR(__xludf.DUMMYFUNCTION("""COMPUTED_VALUE"""),"- 0,1 %")</f>
        <v>- 0,1 %</v>
      </c>
      <c r="D79" s="1" t="str">
        <f>IFERROR(__xludf.DUMMYFUNCTION("""COMPUTED_VALUE"""),"- 0,7 %")</f>
        <v>- 0,7 %</v>
      </c>
      <c r="E79" s="1" t="str">
        <f>IFERROR(__xludf.DUMMYFUNCTION("""COMPUTED_VALUE"""),"- 0,5 %")</f>
        <v>- 0,5 %</v>
      </c>
    </row>
    <row r="80">
      <c r="A80" s="2">
        <f>IFERROR(__xludf.DUMMYFUNCTION("""COMPUTED_VALUE"""),43800.0)</f>
        <v>43800</v>
      </c>
      <c r="B80" s="1" t="str">
        <f>IFERROR(__xludf.DUMMYFUNCTION("""COMPUTED_VALUE"""),"3.008 €/m2")</f>
        <v>3.008 €/m2</v>
      </c>
      <c r="C80" s="1" t="str">
        <f>IFERROR(__xludf.DUMMYFUNCTION("""COMPUTED_VALUE"""),"- 0,3 %")</f>
        <v>- 0,3 %</v>
      </c>
      <c r="D80" s="1" t="str">
        <f>IFERROR(__xludf.DUMMYFUNCTION("""COMPUTED_VALUE"""),"- 1,5 %")</f>
        <v>- 1,5 %</v>
      </c>
      <c r="E80" s="1" t="str">
        <f>IFERROR(__xludf.DUMMYFUNCTION("""COMPUTED_VALUE"""),"+ 0,7 %")</f>
        <v>+ 0,7 %</v>
      </c>
    </row>
    <row r="81">
      <c r="A81" s="2">
        <f>IFERROR(__xludf.DUMMYFUNCTION("""COMPUTED_VALUE"""),43770.0)</f>
        <v>43770</v>
      </c>
      <c r="B81" s="1" t="str">
        <f>IFERROR(__xludf.DUMMYFUNCTION("""COMPUTED_VALUE"""),"3.016 €/m2")</f>
        <v>3.016 €/m2</v>
      </c>
      <c r="C81" s="1" t="str">
        <f>IFERROR(__xludf.DUMMYFUNCTION("""COMPUTED_VALUE"""),"- 0,4 %")</f>
        <v>- 0,4 %</v>
      </c>
      <c r="D81" s="1" t="str">
        <f>IFERROR(__xludf.DUMMYFUNCTION("""COMPUTED_VALUE"""),"- 2,4 %")</f>
        <v>- 2,4 %</v>
      </c>
      <c r="E81" s="1" t="str">
        <f>IFERROR(__xludf.DUMMYFUNCTION("""COMPUTED_VALUE"""),"+ 2,6 %")</f>
        <v>+ 2,6 %</v>
      </c>
    </row>
    <row r="82">
      <c r="A82" s="2">
        <f>IFERROR(__xludf.DUMMYFUNCTION("""COMPUTED_VALUE"""),43739.0)</f>
        <v>43739</v>
      </c>
      <c r="B82" s="1" t="str">
        <f>IFERROR(__xludf.DUMMYFUNCTION("""COMPUTED_VALUE"""),"3.027 €/m2")</f>
        <v>3.027 €/m2</v>
      </c>
      <c r="C82" s="1" t="str">
        <f>IFERROR(__xludf.DUMMYFUNCTION("""COMPUTED_VALUE"""),"- 0,9 %")</f>
        <v>- 0,9 %</v>
      </c>
      <c r="D82" s="1" t="str">
        <f>IFERROR(__xludf.DUMMYFUNCTION("""COMPUTED_VALUE"""),"- 2,0 %")</f>
        <v>- 2,0 %</v>
      </c>
      <c r="E82" s="1" t="str">
        <f>IFERROR(__xludf.DUMMYFUNCTION("""COMPUTED_VALUE"""),"+ 3,3 %")</f>
        <v>+ 3,3 %</v>
      </c>
    </row>
    <row r="83">
      <c r="A83" s="2">
        <f>IFERROR(__xludf.DUMMYFUNCTION("""COMPUTED_VALUE"""),43709.0)</f>
        <v>43709</v>
      </c>
      <c r="B83" s="1" t="str">
        <f>IFERROR(__xludf.DUMMYFUNCTION("""COMPUTED_VALUE"""),"3.055 €/m2")</f>
        <v>3.055 €/m2</v>
      </c>
      <c r="C83" s="1" t="str">
        <f>IFERROR(__xludf.DUMMYFUNCTION("""COMPUTED_VALUE"""),"- 1,1 %")</f>
        <v>- 1,1 %</v>
      </c>
      <c r="D83" s="1" t="str">
        <f>IFERROR(__xludf.DUMMYFUNCTION("""COMPUTED_VALUE"""),"- 0,6 %")</f>
        <v>- 0,6 %</v>
      </c>
      <c r="E83" s="1" t="str">
        <f>IFERROR(__xludf.DUMMYFUNCTION("""COMPUTED_VALUE"""),"+ 4,7 %")</f>
        <v>+ 4,7 %</v>
      </c>
    </row>
    <row r="84">
      <c r="A84" s="2">
        <f>IFERROR(__xludf.DUMMYFUNCTION("""COMPUTED_VALUE"""),43678.0)</f>
        <v>43678</v>
      </c>
      <c r="B84" s="1" t="str">
        <f>IFERROR(__xludf.DUMMYFUNCTION("""COMPUTED_VALUE"""),"3.090 €/m2")</f>
        <v>3.090 €/m2</v>
      </c>
      <c r="C84" s="1" t="str">
        <f>IFERROR(__xludf.DUMMYFUNCTION("""COMPUTED_VALUE"""),"0,0 %")</f>
        <v>0,0 %</v>
      </c>
      <c r="D84" s="1" t="str">
        <f>IFERROR(__xludf.DUMMYFUNCTION("""COMPUTED_VALUE"""),"+ 1,0 %")</f>
        <v>+ 1,0 %</v>
      </c>
      <c r="E84" s="1" t="str">
        <f>IFERROR(__xludf.DUMMYFUNCTION("""COMPUTED_VALUE"""),"+ 4,8 %")</f>
        <v>+ 4,8 %</v>
      </c>
    </row>
    <row r="85">
      <c r="A85" s="2">
        <f>IFERROR(__xludf.DUMMYFUNCTION("""COMPUTED_VALUE"""),43647.0)</f>
        <v>43647</v>
      </c>
      <c r="B85" s="1" t="str">
        <f>IFERROR(__xludf.DUMMYFUNCTION("""COMPUTED_VALUE"""),"3.089 €/m2")</f>
        <v>3.089 €/m2</v>
      </c>
      <c r="C85" s="1" t="str">
        <f>IFERROR(__xludf.DUMMYFUNCTION("""COMPUTED_VALUE"""),"+ 0,5 %")</f>
        <v>+ 0,5 %</v>
      </c>
      <c r="D85" s="1" t="str">
        <f>IFERROR(__xludf.DUMMYFUNCTION("""COMPUTED_VALUE"""),"+ 1,1 %")</f>
        <v>+ 1,1 %</v>
      </c>
      <c r="E85" s="1" t="str">
        <f>IFERROR(__xludf.DUMMYFUNCTION("""COMPUTED_VALUE"""),"+ 5,6 %")</f>
        <v>+ 5,6 %</v>
      </c>
    </row>
    <row r="86">
      <c r="A86" s="2">
        <f>IFERROR(__xludf.DUMMYFUNCTION("""COMPUTED_VALUE"""),43617.0)</f>
        <v>43617</v>
      </c>
      <c r="B86" s="1" t="str">
        <f>IFERROR(__xludf.DUMMYFUNCTION("""COMPUTED_VALUE"""),"3.073 €/m2")</f>
        <v>3.073 €/m2</v>
      </c>
      <c r="C86" s="1" t="str">
        <f>IFERROR(__xludf.DUMMYFUNCTION("""COMPUTED_VALUE"""),"+ 0,4 %")</f>
        <v>+ 0,4 %</v>
      </c>
      <c r="D86" s="1" t="str">
        <f>IFERROR(__xludf.DUMMYFUNCTION("""COMPUTED_VALUE"""),"+ 1,1 %")</f>
        <v>+ 1,1 %</v>
      </c>
      <c r="E86" s="1" t="str">
        <f>IFERROR(__xludf.DUMMYFUNCTION("""COMPUTED_VALUE"""),"+ 7,2 %")</f>
        <v>+ 7,2 %</v>
      </c>
    </row>
    <row r="87">
      <c r="A87" s="2">
        <f>IFERROR(__xludf.DUMMYFUNCTION("""COMPUTED_VALUE"""),43586.0)</f>
        <v>43586</v>
      </c>
      <c r="B87" s="1" t="str">
        <f>IFERROR(__xludf.DUMMYFUNCTION("""COMPUTED_VALUE"""),"3.060 €/m2")</f>
        <v>3.060 €/m2</v>
      </c>
      <c r="C87" s="1" t="str">
        <f>IFERROR(__xludf.DUMMYFUNCTION("""COMPUTED_VALUE"""),"+ 0,2 %")</f>
        <v>+ 0,2 %</v>
      </c>
      <c r="D87" s="1" t="str">
        <f>IFERROR(__xludf.DUMMYFUNCTION("""COMPUTED_VALUE"""),"+ 1,1 %")</f>
        <v>+ 1,1 %</v>
      </c>
      <c r="E87" s="1" t="str">
        <f>IFERROR(__xludf.DUMMYFUNCTION("""COMPUTED_VALUE"""),"+ 8,8 %")</f>
        <v>+ 8,8 %</v>
      </c>
    </row>
    <row r="88">
      <c r="A88" s="2">
        <f>IFERROR(__xludf.DUMMYFUNCTION("""COMPUTED_VALUE"""),43556.0)</f>
        <v>43556</v>
      </c>
      <c r="B88" s="1" t="str">
        <f>IFERROR(__xludf.DUMMYFUNCTION("""COMPUTED_VALUE"""),"3.055 €/m2")</f>
        <v>3.055 €/m2</v>
      </c>
      <c r="C88" s="1" t="str">
        <f>IFERROR(__xludf.DUMMYFUNCTION("""COMPUTED_VALUE"""),"+ 0,6 %")</f>
        <v>+ 0,6 %</v>
      </c>
      <c r="D88" s="1" t="str">
        <f>IFERROR(__xludf.DUMMYFUNCTION("""COMPUTED_VALUE"""),"+ 1,1 %")</f>
        <v>+ 1,1 %</v>
      </c>
      <c r="E88" s="1" t="str">
        <f>IFERROR(__xludf.DUMMYFUNCTION("""COMPUTED_VALUE"""),"+ 10,1 %")</f>
        <v>+ 10,1 %</v>
      </c>
    </row>
    <row r="89">
      <c r="A89" s="2">
        <f>IFERROR(__xludf.DUMMYFUNCTION("""COMPUTED_VALUE"""),43525.0)</f>
        <v>43525</v>
      </c>
      <c r="B89" s="1" t="str">
        <f>IFERROR(__xludf.DUMMYFUNCTION("""COMPUTED_VALUE"""),"3.038 €/m2")</f>
        <v>3.038 €/m2</v>
      </c>
      <c r="C89" s="1" t="str">
        <f>IFERROR(__xludf.DUMMYFUNCTION("""COMPUTED_VALUE"""),"+ 0,4 %")</f>
        <v>+ 0,4 %</v>
      </c>
      <c r="D89" s="1" t="str">
        <f>IFERROR(__xludf.DUMMYFUNCTION("""COMPUTED_VALUE"""),"+ 1,7 %")</f>
        <v>+ 1,7 %</v>
      </c>
      <c r="E89" s="1" t="str">
        <f>IFERROR(__xludf.DUMMYFUNCTION("""COMPUTED_VALUE"""),"+ 10,5 %")</f>
        <v>+ 10,5 %</v>
      </c>
    </row>
    <row r="90">
      <c r="A90" s="2">
        <f>IFERROR(__xludf.DUMMYFUNCTION("""COMPUTED_VALUE"""),43497.0)</f>
        <v>43497</v>
      </c>
      <c r="B90" s="1" t="str">
        <f>IFERROR(__xludf.DUMMYFUNCTION("""COMPUTED_VALUE"""),"3.027 €/m2")</f>
        <v>3.027 €/m2</v>
      </c>
      <c r="C90" s="1" t="str">
        <f>IFERROR(__xludf.DUMMYFUNCTION("""COMPUTED_VALUE"""),"+ 0,1 %")</f>
        <v>+ 0,1 %</v>
      </c>
      <c r="D90" s="1" t="str">
        <f>IFERROR(__xludf.DUMMYFUNCTION("""COMPUTED_VALUE"""),"+ 2,9 %")</f>
        <v>+ 2,9 %</v>
      </c>
      <c r="E90" s="1" t="str">
        <f>IFERROR(__xludf.DUMMYFUNCTION("""COMPUTED_VALUE"""),"+ 12,9 %")</f>
        <v>+ 12,9 %</v>
      </c>
    </row>
    <row r="91">
      <c r="A91" s="2">
        <f>IFERROR(__xludf.DUMMYFUNCTION("""COMPUTED_VALUE"""),43466.0)</f>
        <v>43466</v>
      </c>
      <c r="B91" s="1" t="str">
        <f>IFERROR(__xludf.DUMMYFUNCTION("""COMPUTED_VALUE"""),"3.022 €/m2")</f>
        <v>3.022 €/m2</v>
      </c>
      <c r="C91" s="1" t="str">
        <f>IFERROR(__xludf.DUMMYFUNCTION("""COMPUTED_VALUE"""),"+ 1,2 %")</f>
        <v>+ 1,2 %</v>
      </c>
      <c r="D91" s="1" t="str">
        <f>IFERROR(__xludf.DUMMYFUNCTION("""COMPUTED_VALUE"""),"+ 3,1 %")</f>
        <v>+ 3,1 %</v>
      </c>
      <c r="E91" s="1" t="str">
        <f>IFERROR(__xludf.DUMMYFUNCTION("""COMPUTED_VALUE"""),"+ 15,8 %")</f>
        <v>+ 15,8 %</v>
      </c>
    </row>
    <row r="92">
      <c r="A92" s="2">
        <f>IFERROR(__xludf.DUMMYFUNCTION("""COMPUTED_VALUE"""),43435.0)</f>
        <v>43435</v>
      </c>
      <c r="B92" s="1" t="str">
        <f>IFERROR(__xludf.DUMMYFUNCTION("""COMPUTED_VALUE"""),"2.988 €/m2")</f>
        <v>2.988 €/m2</v>
      </c>
      <c r="C92" s="1" t="str">
        <f>IFERROR(__xludf.DUMMYFUNCTION("""COMPUTED_VALUE"""),"+ 1,6 %")</f>
        <v>+ 1,6 %</v>
      </c>
      <c r="D92" s="1" t="str">
        <f>IFERROR(__xludf.DUMMYFUNCTION("""COMPUTED_VALUE"""),"+ 2,4 %")</f>
        <v>+ 2,4 %</v>
      </c>
      <c r="E92" s="1" t="str">
        <f>IFERROR(__xludf.DUMMYFUNCTION("""COMPUTED_VALUE"""),"+ 15,4 %")</f>
        <v>+ 15,4 %</v>
      </c>
    </row>
    <row r="93">
      <c r="A93" s="2">
        <f>IFERROR(__xludf.DUMMYFUNCTION("""COMPUTED_VALUE"""),43405.0)</f>
        <v>43405</v>
      </c>
      <c r="B93" s="1" t="str">
        <f>IFERROR(__xludf.DUMMYFUNCTION("""COMPUTED_VALUE"""),"2.941 €/m2")</f>
        <v>2.941 €/m2</v>
      </c>
      <c r="C93" s="1" t="str">
        <f>IFERROR(__xludf.DUMMYFUNCTION("""COMPUTED_VALUE"""),"+ 0,4 %")</f>
        <v>+ 0,4 %</v>
      </c>
      <c r="D93" s="1" t="str">
        <f>IFERROR(__xludf.DUMMYFUNCTION("""COMPUTED_VALUE"""),"- 0,2 %")</f>
        <v>- 0,2 %</v>
      </c>
      <c r="E93" s="1" t="str">
        <f>IFERROR(__xludf.DUMMYFUNCTION("""COMPUTED_VALUE"""),"+ 13,6 %")</f>
        <v>+ 13,6 %</v>
      </c>
    </row>
    <row r="94">
      <c r="A94" s="2">
        <f>IFERROR(__xludf.DUMMYFUNCTION("""COMPUTED_VALUE"""),43374.0)</f>
        <v>43374</v>
      </c>
      <c r="B94" s="1" t="str">
        <f>IFERROR(__xludf.DUMMYFUNCTION("""COMPUTED_VALUE"""),"2.930 €/m2")</f>
        <v>2.930 €/m2</v>
      </c>
      <c r="C94" s="1" t="str">
        <f>IFERROR(__xludf.DUMMYFUNCTION("""COMPUTED_VALUE"""),"+ 0,4 %")</f>
        <v>+ 0,4 %</v>
      </c>
      <c r="D94" s="1" t="str">
        <f>IFERROR(__xludf.DUMMYFUNCTION("""COMPUTED_VALUE"""),"+ 0,2 %")</f>
        <v>+ 0,2 %</v>
      </c>
      <c r="E94" s="1" t="str">
        <f>IFERROR(__xludf.DUMMYFUNCTION("""COMPUTED_VALUE"""),"+ 13,3 %")</f>
        <v>+ 13,3 %</v>
      </c>
    </row>
    <row r="95">
      <c r="A95" s="2">
        <f>IFERROR(__xludf.DUMMYFUNCTION("""COMPUTED_VALUE"""),43344.0)</f>
        <v>43344</v>
      </c>
      <c r="B95" s="1" t="str">
        <f>IFERROR(__xludf.DUMMYFUNCTION("""COMPUTED_VALUE"""),"2.918 €/m2")</f>
        <v>2.918 €/m2</v>
      </c>
      <c r="C95" s="1" t="str">
        <f>IFERROR(__xludf.DUMMYFUNCTION("""COMPUTED_VALUE"""),"- 1,0 %")</f>
        <v>- 1,0 %</v>
      </c>
      <c r="D95" s="1" t="str">
        <f>IFERROR(__xludf.DUMMYFUNCTION("""COMPUTED_VALUE"""),"+ 1,8 %")</f>
        <v>+ 1,8 %</v>
      </c>
      <c r="E95" s="1" t="str">
        <f>IFERROR(__xludf.DUMMYFUNCTION("""COMPUTED_VALUE"""),"+ 13,7 %")</f>
        <v>+ 13,7 %</v>
      </c>
    </row>
    <row r="96">
      <c r="A96" s="2">
        <f>IFERROR(__xludf.DUMMYFUNCTION("""COMPUTED_VALUE"""),43313.0)</f>
        <v>43313</v>
      </c>
      <c r="B96" s="1" t="str">
        <f>IFERROR(__xludf.DUMMYFUNCTION("""COMPUTED_VALUE"""),"2.947 €/m2")</f>
        <v>2.947 €/m2</v>
      </c>
      <c r="C96" s="1" t="str">
        <f>IFERROR(__xludf.DUMMYFUNCTION("""COMPUTED_VALUE"""),"+ 0,8 %")</f>
        <v>+ 0,8 %</v>
      </c>
      <c r="D96" s="1" t="str">
        <f>IFERROR(__xludf.DUMMYFUNCTION("""COMPUTED_VALUE"""),"+ 4,8 %")</f>
        <v>+ 4,8 %</v>
      </c>
      <c r="E96" s="1" t="str">
        <f>IFERROR(__xludf.DUMMYFUNCTION("""COMPUTED_VALUE"""),"+ 15,9 %")</f>
        <v>+ 15,9 %</v>
      </c>
    </row>
    <row r="97">
      <c r="A97" s="2">
        <f>IFERROR(__xludf.DUMMYFUNCTION("""COMPUTED_VALUE"""),43282.0)</f>
        <v>43282</v>
      </c>
      <c r="B97" s="1" t="str">
        <f>IFERROR(__xludf.DUMMYFUNCTION("""COMPUTED_VALUE"""),"2.924 €/m2")</f>
        <v>2.924 €/m2</v>
      </c>
      <c r="C97" s="1" t="str">
        <f>IFERROR(__xludf.DUMMYFUNCTION("""COMPUTED_VALUE"""),"+ 2,0 %")</f>
        <v>+ 2,0 %</v>
      </c>
      <c r="D97" s="1" t="str">
        <f>IFERROR(__xludf.DUMMYFUNCTION("""COMPUTED_VALUE"""),"+ 5,4 %")</f>
        <v>+ 5,4 %</v>
      </c>
      <c r="E97" s="1" t="str">
        <f>IFERROR(__xludf.DUMMYFUNCTION("""COMPUTED_VALUE"""),"+ 15,2 %")</f>
        <v>+ 15,2 %</v>
      </c>
    </row>
    <row r="98">
      <c r="A98" s="2">
        <f>IFERROR(__xludf.DUMMYFUNCTION("""COMPUTED_VALUE"""),43252.0)</f>
        <v>43252</v>
      </c>
      <c r="B98" s="1" t="str">
        <f>IFERROR(__xludf.DUMMYFUNCTION("""COMPUTED_VALUE"""),"2.866 €/m2")</f>
        <v>2.866 €/m2</v>
      </c>
      <c r="C98" s="1" t="str">
        <f>IFERROR(__xludf.DUMMYFUNCTION("""COMPUTED_VALUE"""),"+ 1,9 %")</f>
        <v>+ 1,9 %</v>
      </c>
      <c r="D98" s="1" t="str">
        <f>IFERROR(__xludf.DUMMYFUNCTION("""COMPUTED_VALUE"""),"+ 4,2 %")</f>
        <v>+ 4,2 %</v>
      </c>
      <c r="E98" s="1" t="str">
        <f>IFERROR(__xludf.DUMMYFUNCTION("""COMPUTED_VALUE"""),"+ 14,3 %")</f>
        <v>+ 14,3 %</v>
      </c>
    </row>
    <row r="99">
      <c r="A99" s="2">
        <f>IFERROR(__xludf.DUMMYFUNCTION("""COMPUTED_VALUE"""),43221.0)</f>
        <v>43221</v>
      </c>
      <c r="B99" s="1" t="str">
        <f>IFERROR(__xludf.DUMMYFUNCTION("""COMPUTED_VALUE"""),"2.811 €/m2")</f>
        <v>2.811 €/m2</v>
      </c>
      <c r="C99" s="1" t="str">
        <f>IFERROR(__xludf.DUMMYFUNCTION("""COMPUTED_VALUE"""),"+ 1,3 %")</f>
        <v>+ 1,3 %</v>
      </c>
      <c r="D99" s="1" t="str">
        <f>IFERROR(__xludf.DUMMYFUNCTION("""COMPUTED_VALUE"""),"+ 4,8 %")</f>
        <v>+ 4,8 %</v>
      </c>
      <c r="E99" s="1" t="str">
        <f>IFERROR(__xludf.DUMMYFUNCTION("""COMPUTED_VALUE"""),"+ 13,3 %")</f>
        <v>+ 13,3 %</v>
      </c>
    </row>
    <row r="100">
      <c r="A100" s="2">
        <f>IFERROR(__xludf.DUMMYFUNCTION("""COMPUTED_VALUE"""),43191.0)</f>
        <v>43191</v>
      </c>
      <c r="B100" s="1" t="str">
        <f>IFERROR(__xludf.DUMMYFUNCTION("""COMPUTED_VALUE"""),"2.775 €/m2")</f>
        <v>2.775 €/m2</v>
      </c>
      <c r="C100" s="1" t="str">
        <f>IFERROR(__xludf.DUMMYFUNCTION("""COMPUTED_VALUE"""),"+ 0,9 %")</f>
        <v>+ 0,9 %</v>
      </c>
      <c r="D100" s="1" t="str">
        <f>IFERROR(__xludf.DUMMYFUNCTION("""COMPUTED_VALUE"""),"+ 6,4 %")</f>
        <v>+ 6,4 %</v>
      </c>
      <c r="E100" s="1" t="str">
        <f>IFERROR(__xludf.DUMMYFUNCTION("""COMPUTED_VALUE"""),"+ 12,9 %")</f>
        <v>+ 12,9 %</v>
      </c>
    </row>
    <row r="101">
      <c r="A101" s="2">
        <f>IFERROR(__xludf.DUMMYFUNCTION("""COMPUTED_VALUE"""),43160.0)</f>
        <v>43160</v>
      </c>
      <c r="B101" s="1" t="str">
        <f>IFERROR(__xludf.DUMMYFUNCTION("""COMPUTED_VALUE"""),"2.750 €/m2")</f>
        <v>2.750 €/m2</v>
      </c>
      <c r="C101" s="1" t="str">
        <f>IFERROR(__xludf.DUMMYFUNCTION("""COMPUTED_VALUE"""),"+ 2,6 %")</f>
        <v>+ 2,6 %</v>
      </c>
      <c r="D101" s="1" t="str">
        <f>IFERROR(__xludf.DUMMYFUNCTION("""COMPUTED_VALUE"""),"+ 6,2 %")</f>
        <v>+ 6,2 %</v>
      </c>
      <c r="E101" s="1" t="str">
        <f>IFERROR(__xludf.DUMMYFUNCTION("""COMPUTED_VALUE"""),"+ 12,7 %")</f>
        <v>+ 12,7 %</v>
      </c>
    </row>
    <row r="102">
      <c r="A102" s="2">
        <f>IFERROR(__xludf.DUMMYFUNCTION("""COMPUTED_VALUE"""),43132.0)</f>
        <v>43132</v>
      </c>
      <c r="B102" s="1" t="str">
        <f>IFERROR(__xludf.DUMMYFUNCTION("""COMPUTED_VALUE"""),"2.681 €/m2")</f>
        <v>2.681 €/m2</v>
      </c>
      <c r="C102" s="1" t="str">
        <f>IFERROR(__xludf.DUMMYFUNCTION("""COMPUTED_VALUE"""),"+ 2,8 %")</f>
        <v>+ 2,8 %</v>
      </c>
      <c r="D102" s="1" t="str">
        <f>IFERROR(__xludf.DUMMYFUNCTION("""COMPUTED_VALUE"""),"+ 3,6 %")</f>
        <v>+ 3,6 %</v>
      </c>
      <c r="E102" s="1" t="str">
        <f>IFERROR(__xludf.DUMMYFUNCTION("""COMPUTED_VALUE"""),"+ 9,8 %")</f>
        <v>+ 9,8 %</v>
      </c>
    </row>
    <row r="103">
      <c r="A103" s="2">
        <f>IFERROR(__xludf.DUMMYFUNCTION("""COMPUTED_VALUE"""),43101.0)</f>
        <v>43101</v>
      </c>
      <c r="B103" s="1" t="str">
        <f>IFERROR(__xludf.DUMMYFUNCTION("""COMPUTED_VALUE"""),"2.609 €/m2")</f>
        <v>2.609 €/m2</v>
      </c>
      <c r="C103" s="1" t="str">
        <f>IFERROR(__xludf.DUMMYFUNCTION("""COMPUTED_VALUE"""),"+ 0,8 %")</f>
        <v>+ 0,8 %</v>
      </c>
      <c r="D103" s="1" t="str">
        <f>IFERROR(__xludf.DUMMYFUNCTION("""COMPUTED_VALUE"""),"+ 0,9 %")</f>
        <v>+ 0,9 %</v>
      </c>
      <c r="E103" s="1" t="str">
        <f>IFERROR(__xludf.DUMMYFUNCTION("""COMPUTED_VALUE"""),"+ 9,1 %")</f>
        <v>+ 9,1 %</v>
      </c>
    </row>
    <row r="104">
      <c r="A104" s="2">
        <f>IFERROR(__xludf.DUMMYFUNCTION("""COMPUTED_VALUE"""),43070.0)</f>
        <v>43070</v>
      </c>
      <c r="B104" s="1" t="str">
        <f>IFERROR(__xludf.DUMMYFUNCTION("""COMPUTED_VALUE"""),"2.589 €/m2")</f>
        <v>2.589 €/m2</v>
      </c>
      <c r="C104" s="1" t="str">
        <f>IFERROR(__xludf.DUMMYFUNCTION("""COMPUTED_VALUE"""),"0,0 %")</f>
        <v>0,0 %</v>
      </c>
      <c r="D104" s="1" t="str">
        <f>IFERROR(__xludf.DUMMYFUNCTION("""COMPUTED_VALUE"""),"+ 0,9 %")</f>
        <v>+ 0,9 %</v>
      </c>
      <c r="E104" s="1" t="str">
        <f>IFERROR(__xludf.DUMMYFUNCTION("""COMPUTED_VALUE"""),"+ 7,1 %")</f>
        <v>+ 7,1 %</v>
      </c>
    </row>
    <row r="105">
      <c r="A105" s="2">
        <f>IFERROR(__xludf.DUMMYFUNCTION("""COMPUTED_VALUE"""),43040.0)</f>
        <v>43040</v>
      </c>
      <c r="B105" s="1" t="str">
        <f>IFERROR(__xludf.DUMMYFUNCTION("""COMPUTED_VALUE"""),"2.589 €/m2")</f>
        <v>2.589 €/m2</v>
      </c>
      <c r="C105" s="1" t="str">
        <f>IFERROR(__xludf.DUMMYFUNCTION("""COMPUTED_VALUE"""),"+ 0,1 %")</f>
        <v>+ 0,1 %</v>
      </c>
      <c r="D105" s="1" t="str">
        <f>IFERROR(__xludf.DUMMYFUNCTION("""COMPUTED_VALUE"""),"+ 1,8 %")</f>
        <v>+ 1,8 %</v>
      </c>
      <c r="E105" s="1" t="str">
        <f>IFERROR(__xludf.DUMMYFUNCTION("""COMPUTED_VALUE"""),"+ 5,4 %")</f>
        <v>+ 5,4 %</v>
      </c>
    </row>
    <row r="106">
      <c r="A106" s="2">
        <f>IFERROR(__xludf.DUMMYFUNCTION("""COMPUTED_VALUE"""),43009.0)</f>
        <v>43009</v>
      </c>
      <c r="B106" s="1" t="str">
        <f>IFERROR(__xludf.DUMMYFUNCTION("""COMPUTED_VALUE"""),"2.586 €/m2")</f>
        <v>2.586 €/m2</v>
      </c>
      <c r="C106" s="1" t="str">
        <f>IFERROR(__xludf.DUMMYFUNCTION("""COMPUTED_VALUE"""),"+ 0,8 %")</f>
        <v>+ 0,8 %</v>
      </c>
      <c r="D106" s="1" t="str">
        <f>IFERROR(__xludf.DUMMYFUNCTION("""COMPUTED_VALUE"""),"+ 1,9 %")</f>
        <v>+ 1,9 %</v>
      </c>
      <c r="E106" s="1" t="str">
        <f>IFERROR(__xludf.DUMMYFUNCTION("""COMPUTED_VALUE"""),"+ 5,5 %")</f>
        <v>+ 5,5 %</v>
      </c>
    </row>
    <row r="107">
      <c r="A107" s="2">
        <f>IFERROR(__xludf.DUMMYFUNCTION("""COMPUTED_VALUE"""),42979.0)</f>
        <v>42979</v>
      </c>
      <c r="B107" s="1" t="str">
        <f>IFERROR(__xludf.DUMMYFUNCTION("""COMPUTED_VALUE"""),"2.566 €/m2")</f>
        <v>2.566 €/m2</v>
      </c>
      <c r="C107" s="1" t="str">
        <f>IFERROR(__xludf.DUMMYFUNCTION("""COMPUTED_VALUE"""),"+ 0,9 %")</f>
        <v>+ 0,9 %</v>
      </c>
      <c r="D107" s="1" t="str">
        <f>IFERROR(__xludf.DUMMYFUNCTION("""COMPUTED_VALUE"""),"+ 2,3 %")</f>
        <v>+ 2,3 %</v>
      </c>
      <c r="E107" s="1" t="str">
        <f>IFERROR(__xludf.DUMMYFUNCTION("""COMPUTED_VALUE"""),"+ 6,2 %")</f>
        <v>+ 6,2 %</v>
      </c>
    </row>
    <row r="108">
      <c r="A108" s="2">
        <f>IFERROR(__xludf.DUMMYFUNCTION("""COMPUTED_VALUE"""),42948.0)</f>
        <v>42948</v>
      </c>
      <c r="B108" s="1" t="str">
        <f>IFERROR(__xludf.DUMMYFUNCTION("""COMPUTED_VALUE"""),"2.544 €/m2")</f>
        <v>2.544 €/m2</v>
      </c>
      <c r="C108" s="1" t="str">
        <f>IFERROR(__xludf.DUMMYFUNCTION("""COMPUTED_VALUE"""),"+ 0,2 %")</f>
        <v>+ 0,2 %</v>
      </c>
      <c r="D108" s="1" t="str">
        <f>IFERROR(__xludf.DUMMYFUNCTION("""COMPUTED_VALUE"""),"+ 2,5 %")</f>
        <v>+ 2,5 %</v>
      </c>
      <c r="E108" s="1" t="str">
        <f>IFERROR(__xludf.DUMMYFUNCTION("""COMPUTED_VALUE"""),"+ 6,1 %")</f>
        <v>+ 6,1 %</v>
      </c>
    </row>
    <row r="109">
      <c r="A109" s="2">
        <f>IFERROR(__xludf.DUMMYFUNCTION("""COMPUTED_VALUE"""),42917.0)</f>
        <v>42917</v>
      </c>
      <c r="B109" s="1" t="str">
        <f>IFERROR(__xludf.DUMMYFUNCTION("""COMPUTED_VALUE"""),"2.538 €/m2")</f>
        <v>2.538 €/m2</v>
      </c>
      <c r="C109" s="1" t="str">
        <f>IFERROR(__xludf.DUMMYFUNCTION("""COMPUTED_VALUE"""),"+ 1,2 %")</f>
        <v>+ 1,2 %</v>
      </c>
      <c r="D109" s="1" t="str">
        <f>IFERROR(__xludf.DUMMYFUNCTION("""COMPUTED_VALUE"""),"+ 3,3 %")</f>
        <v>+ 3,3 %</v>
      </c>
      <c r="E109" s="1" t="str">
        <f>IFERROR(__xludf.DUMMYFUNCTION("""COMPUTED_VALUE"""),"+ 5,4 %")</f>
        <v>+ 5,4 %</v>
      </c>
    </row>
    <row r="110">
      <c r="A110" s="2">
        <f>IFERROR(__xludf.DUMMYFUNCTION("""COMPUTED_VALUE"""),42887.0)</f>
        <v>42887</v>
      </c>
      <c r="B110" s="1" t="str">
        <f>IFERROR(__xludf.DUMMYFUNCTION("""COMPUTED_VALUE"""),"2.507 €/m2")</f>
        <v>2.507 €/m2</v>
      </c>
      <c r="C110" s="1" t="str">
        <f>IFERROR(__xludf.DUMMYFUNCTION("""COMPUTED_VALUE"""),"+ 1,0 %")</f>
        <v>+ 1,0 %</v>
      </c>
      <c r="D110" s="1" t="str">
        <f>IFERROR(__xludf.DUMMYFUNCTION("""COMPUTED_VALUE"""),"+ 2,8 %")</f>
        <v>+ 2,8 %</v>
      </c>
      <c r="E110" s="1" t="str">
        <f>IFERROR(__xludf.DUMMYFUNCTION("""COMPUTED_VALUE"""),"+ 4,0 %")</f>
        <v>+ 4,0 %</v>
      </c>
    </row>
    <row r="111">
      <c r="A111" s="2">
        <f>IFERROR(__xludf.DUMMYFUNCTION("""COMPUTED_VALUE"""),42856.0)</f>
        <v>42856</v>
      </c>
      <c r="B111" s="1" t="str">
        <f>IFERROR(__xludf.DUMMYFUNCTION("""COMPUTED_VALUE"""),"2.482 €/m2")</f>
        <v>2.482 €/m2</v>
      </c>
      <c r="C111" s="1" t="str">
        <f>IFERROR(__xludf.DUMMYFUNCTION("""COMPUTED_VALUE"""),"+ 1,0 %")</f>
        <v>+ 1,0 %</v>
      </c>
      <c r="D111" s="1" t="str">
        <f>IFERROR(__xludf.DUMMYFUNCTION("""COMPUTED_VALUE"""),"+ 1,7 %")</f>
        <v>+ 1,7 %</v>
      </c>
      <c r="E111" s="1" t="str">
        <f>IFERROR(__xludf.DUMMYFUNCTION("""COMPUTED_VALUE"""),"+ 2,4 %")</f>
        <v>+ 2,4 %</v>
      </c>
    </row>
    <row r="112">
      <c r="A112" s="2">
        <f>IFERROR(__xludf.DUMMYFUNCTION("""COMPUTED_VALUE"""),42826.0)</f>
        <v>42826</v>
      </c>
      <c r="B112" s="1" t="str">
        <f>IFERROR(__xludf.DUMMYFUNCTION("""COMPUTED_VALUE"""),"2.458 €/m2")</f>
        <v>2.458 €/m2</v>
      </c>
      <c r="C112" s="1" t="str">
        <f>IFERROR(__xludf.DUMMYFUNCTION("""COMPUTED_VALUE"""),"+ 0,7 %")</f>
        <v>+ 0,7 %</v>
      </c>
      <c r="D112" s="1" t="str">
        <f>IFERROR(__xludf.DUMMYFUNCTION("""COMPUTED_VALUE"""),"+ 2,7 %")</f>
        <v>+ 2,7 %</v>
      </c>
      <c r="E112" s="1" t="str">
        <f>IFERROR(__xludf.DUMMYFUNCTION("""COMPUTED_VALUE"""),"+ 1,2 %")</f>
        <v>+ 1,2 %</v>
      </c>
    </row>
    <row r="113">
      <c r="A113" s="2">
        <f>IFERROR(__xludf.DUMMYFUNCTION("""COMPUTED_VALUE"""),42795.0)</f>
        <v>42795</v>
      </c>
      <c r="B113" s="1" t="str">
        <f>IFERROR(__xludf.DUMMYFUNCTION("""COMPUTED_VALUE"""),"2.440 €/m2")</f>
        <v>2.440 €/m2</v>
      </c>
      <c r="C113" s="1" t="str">
        <f>IFERROR(__xludf.DUMMYFUNCTION("""COMPUTED_VALUE"""),"- 0,1 %")</f>
        <v>- 0,1 %</v>
      </c>
      <c r="D113" s="1" t="str">
        <f>IFERROR(__xludf.DUMMYFUNCTION("""COMPUTED_VALUE"""),"+ 0,9 %")</f>
        <v>+ 0,9 %</v>
      </c>
      <c r="E113" s="1" t="str">
        <f>IFERROR(__xludf.DUMMYFUNCTION("""COMPUTED_VALUE"""),"+ 1,0 %")</f>
        <v>+ 1,0 %</v>
      </c>
    </row>
    <row r="114">
      <c r="A114" s="2">
        <f>IFERROR(__xludf.DUMMYFUNCTION("""COMPUTED_VALUE"""),42767.0)</f>
        <v>42767</v>
      </c>
      <c r="B114" s="1" t="str">
        <f>IFERROR(__xludf.DUMMYFUNCTION("""COMPUTED_VALUE"""),"2.441 €/m2")</f>
        <v>2.441 €/m2</v>
      </c>
      <c r="C114" s="1" t="str">
        <f>IFERROR(__xludf.DUMMYFUNCTION("""COMPUTED_VALUE"""),"+ 2,0 %")</f>
        <v>+ 2,0 %</v>
      </c>
      <c r="D114" s="1" t="str">
        <f>IFERROR(__xludf.DUMMYFUNCTION("""COMPUTED_VALUE"""),"- 0,7 %")</f>
        <v>- 0,7 %</v>
      </c>
      <c r="E114" s="1" t="str">
        <f>IFERROR(__xludf.DUMMYFUNCTION("""COMPUTED_VALUE"""),"+ 1,3 %")</f>
        <v>+ 1,3 %</v>
      </c>
    </row>
    <row r="115">
      <c r="A115" s="2">
        <f>IFERROR(__xludf.DUMMYFUNCTION("""COMPUTED_VALUE"""),42736.0)</f>
        <v>42736</v>
      </c>
      <c r="B115" s="1" t="str">
        <f>IFERROR(__xludf.DUMMYFUNCTION("""COMPUTED_VALUE"""),"2.393 €/m2")</f>
        <v>2.393 €/m2</v>
      </c>
      <c r="C115" s="1" t="str">
        <f>IFERROR(__xludf.DUMMYFUNCTION("""COMPUTED_VALUE"""),"- 1,0 %")</f>
        <v>- 1,0 %</v>
      </c>
      <c r="D115" s="1" t="str">
        <f>IFERROR(__xludf.DUMMYFUNCTION("""COMPUTED_VALUE"""),"- 2,3 %")</f>
        <v>- 2,3 %</v>
      </c>
      <c r="E115" s="1" t="str">
        <f>IFERROR(__xludf.DUMMYFUNCTION("""COMPUTED_VALUE"""),"- 0,2 %")</f>
        <v>- 0,2 %</v>
      </c>
    </row>
    <row r="116">
      <c r="A116" s="2">
        <f>IFERROR(__xludf.DUMMYFUNCTION("""COMPUTED_VALUE"""),42705.0)</f>
        <v>42705</v>
      </c>
      <c r="B116" s="1" t="str">
        <f>IFERROR(__xludf.DUMMYFUNCTION("""COMPUTED_VALUE"""),"2.418 €/m2")</f>
        <v>2.418 €/m2</v>
      </c>
      <c r="C116" s="1" t="str">
        <f>IFERROR(__xludf.DUMMYFUNCTION("""COMPUTED_VALUE"""),"- 1,6 %")</f>
        <v>- 1,6 %</v>
      </c>
      <c r="D116" s="1" t="str">
        <f>IFERROR(__xludf.DUMMYFUNCTION("""COMPUTED_VALUE"""),"+ 0,1 %")</f>
        <v>+ 0,1 %</v>
      </c>
      <c r="E116" s="1" t="str">
        <f>IFERROR(__xludf.DUMMYFUNCTION("""COMPUTED_VALUE"""),"+ 0,6 %")</f>
        <v>+ 0,6 %</v>
      </c>
    </row>
    <row r="117">
      <c r="A117" s="2">
        <f>IFERROR(__xludf.DUMMYFUNCTION("""COMPUTED_VALUE"""),42675.0)</f>
        <v>42675</v>
      </c>
      <c r="B117" s="1" t="str">
        <f>IFERROR(__xludf.DUMMYFUNCTION("""COMPUTED_VALUE"""),"2.457 €/m2")</f>
        <v>2.457 €/m2</v>
      </c>
      <c r="C117" s="1" t="str">
        <f>IFERROR(__xludf.DUMMYFUNCTION("""COMPUTED_VALUE"""),"+ 0,3 %")</f>
        <v>+ 0,3 %</v>
      </c>
      <c r="D117" s="1" t="str">
        <f>IFERROR(__xludf.DUMMYFUNCTION("""COMPUTED_VALUE"""),"+ 2,5 %")</f>
        <v>+ 2,5 %</v>
      </c>
      <c r="E117" s="1" t="str">
        <f>IFERROR(__xludf.DUMMYFUNCTION("""COMPUTED_VALUE"""),"+ 1,7 %")</f>
        <v>+ 1,7 %</v>
      </c>
    </row>
    <row r="118">
      <c r="A118" s="2">
        <f>IFERROR(__xludf.DUMMYFUNCTION("""COMPUTED_VALUE"""),42644.0)</f>
        <v>42644</v>
      </c>
      <c r="B118" s="1" t="str">
        <f>IFERROR(__xludf.DUMMYFUNCTION("""COMPUTED_VALUE"""),"2.450 €/m2")</f>
        <v>2.450 €/m2</v>
      </c>
      <c r="C118" s="1" t="str">
        <f>IFERROR(__xludf.DUMMYFUNCTION("""COMPUTED_VALUE"""),"+ 1,4 %")</f>
        <v>+ 1,4 %</v>
      </c>
      <c r="D118" s="1" t="str">
        <f>IFERROR(__xludf.DUMMYFUNCTION("""COMPUTED_VALUE"""),"+ 1,7 %")</f>
        <v>+ 1,7 %</v>
      </c>
      <c r="E118" s="1" t="str">
        <f>IFERROR(__xludf.DUMMYFUNCTION("""COMPUTED_VALUE"""),"+ 1,4 %")</f>
        <v>+ 1,4 %</v>
      </c>
    </row>
    <row r="119">
      <c r="A119" s="2">
        <f>IFERROR(__xludf.DUMMYFUNCTION("""COMPUTED_VALUE"""),42614.0)</f>
        <v>42614</v>
      </c>
      <c r="B119" s="1" t="str">
        <f>IFERROR(__xludf.DUMMYFUNCTION("""COMPUTED_VALUE"""),"2.416 €/m2")</f>
        <v>2.416 €/m2</v>
      </c>
      <c r="C119" s="1" t="str">
        <f>IFERROR(__xludf.DUMMYFUNCTION("""COMPUTED_VALUE"""),"+ 0,8 %")</f>
        <v>+ 0,8 %</v>
      </c>
      <c r="D119" s="1" t="str">
        <f>IFERROR(__xludf.DUMMYFUNCTION("""COMPUTED_VALUE"""),"+ 0,2 %")</f>
        <v>+ 0,2 %</v>
      </c>
      <c r="E119" s="1" t="str">
        <f>IFERROR(__xludf.DUMMYFUNCTION("""COMPUTED_VALUE"""),"+ 0,3 %")</f>
        <v>+ 0,3 %</v>
      </c>
    </row>
    <row r="120">
      <c r="A120" s="2">
        <f>IFERROR(__xludf.DUMMYFUNCTION("""COMPUTED_VALUE"""),42583.0)</f>
        <v>42583</v>
      </c>
      <c r="B120" s="1" t="str">
        <f>IFERROR(__xludf.DUMMYFUNCTION("""COMPUTED_VALUE"""),"2.397 €/m2")</f>
        <v>2.397 €/m2</v>
      </c>
      <c r="C120" s="1" t="str">
        <f>IFERROR(__xludf.DUMMYFUNCTION("""COMPUTED_VALUE"""),"- 0,5 %")</f>
        <v>- 0,5 %</v>
      </c>
      <c r="D120" s="1" t="str">
        <f>IFERROR(__xludf.DUMMYFUNCTION("""COMPUTED_VALUE"""),"- 1,1 %")</f>
        <v>- 1,1 %</v>
      </c>
      <c r="E120" s="1" t="str">
        <f>IFERROR(__xludf.DUMMYFUNCTION("""COMPUTED_VALUE"""),"- 0,6 %")</f>
        <v>- 0,6 %</v>
      </c>
    </row>
    <row r="121">
      <c r="A121" s="2">
        <f>IFERROR(__xludf.DUMMYFUNCTION("""COMPUTED_VALUE"""),42552.0)</f>
        <v>42552</v>
      </c>
      <c r="B121" s="1" t="str">
        <f>IFERROR(__xludf.DUMMYFUNCTION("""COMPUTED_VALUE"""),"2.409 €/m2")</f>
        <v>2.409 €/m2</v>
      </c>
      <c r="C121" s="1" t="str">
        <f>IFERROR(__xludf.DUMMYFUNCTION("""COMPUTED_VALUE"""),"0,0 %")</f>
        <v>0,0 %</v>
      </c>
      <c r="D121" s="1" t="str">
        <f>IFERROR(__xludf.DUMMYFUNCTION("""COMPUTED_VALUE"""),"- 0,7 %")</f>
        <v>- 0,7 %</v>
      </c>
      <c r="E121" s="1" t="str">
        <f>IFERROR(__xludf.DUMMYFUNCTION("""COMPUTED_VALUE"""),"- 0,5 %")</f>
        <v>- 0,5 %</v>
      </c>
    </row>
    <row r="122">
      <c r="A122" s="2">
        <f>IFERROR(__xludf.DUMMYFUNCTION("""COMPUTED_VALUE"""),42522.0)</f>
        <v>42522</v>
      </c>
      <c r="B122" s="1" t="str">
        <f>IFERROR(__xludf.DUMMYFUNCTION("""COMPUTED_VALUE"""),"2.410 €/m2")</f>
        <v>2.410 €/m2</v>
      </c>
      <c r="C122" s="1" t="str">
        <f>IFERROR(__xludf.DUMMYFUNCTION("""COMPUTED_VALUE"""),"- 0,5 %")</f>
        <v>- 0,5 %</v>
      </c>
      <c r="D122" s="1" t="str">
        <f>IFERROR(__xludf.DUMMYFUNCTION("""COMPUTED_VALUE"""),"- 0,2 %")</f>
        <v>- 0,2 %</v>
      </c>
      <c r="E122" s="1" t="str">
        <f>IFERROR(__xludf.DUMMYFUNCTION("""COMPUTED_VALUE"""),"- 2,1 %")</f>
        <v>- 2,1 %</v>
      </c>
    </row>
    <row r="123">
      <c r="A123" s="2">
        <f>IFERROR(__xludf.DUMMYFUNCTION("""COMPUTED_VALUE"""),42491.0)</f>
        <v>42491</v>
      </c>
      <c r="B123" s="1" t="str">
        <f>IFERROR(__xludf.DUMMYFUNCTION("""COMPUTED_VALUE"""),"2.423 €/m2")</f>
        <v>2.423 €/m2</v>
      </c>
      <c r="C123" s="1" t="str">
        <f>IFERROR(__xludf.DUMMYFUNCTION("""COMPUTED_VALUE"""),"- 0,2 %")</f>
        <v>- 0,2 %</v>
      </c>
      <c r="D123" s="1" t="str">
        <f>IFERROR(__xludf.DUMMYFUNCTION("""COMPUTED_VALUE"""),"+ 0,5 %")</f>
        <v>+ 0,5 %</v>
      </c>
      <c r="E123" s="1" t="str">
        <f>IFERROR(__xludf.DUMMYFUNCTION("""COMPUTED_VALUE"""),"- 1,1 %")</f>
        <v>- 1,1 %</v>
      </c>
    </row>
    <row r="124">
      <c r="A124" s="2">
        <f>IFERROR(__xludf.DUMMYFUNCTION("""COMPUTED_VALUE"""),42461.0)</f>
        <v>42461</v>
      </c>
      <c r="B124" s="1" t="str">
        <f>IFERROR(__xludf.DUMMYFUNCTION("""COMPUTED_VALUE"""),"2.427 €/m2")</f>
        <v>2.427 €/m2</v>
      </c>
      <c r="C124" s="1" t="str">
        <f>IFERROR(__xludf.DUMMYFUNCTION("""COMPUTED_VALUE"""),"+ 0,5 %")</f>
        <v>+ 0,5 %</v>
      </c>
      <c r="D124" s="1" t="str">
        <f>IFERROR(__xludf.DUMMYFUNCTION("""COMPUTED_VALUE"""),"+ 1,3 %")</f>
        <v>+ 1,3 %</v>
      </c>
      <c r="E124" s="1" t="str">
        <f>IFERROR(__xludf.DUMMYFUNCTION("""COMPUTED_VALUE"""),"- 1,1 %")</f>
        <v>- 1,1 %</v>
      </c>
    </row>
    <row r="125">
      <c r="A125" s="2">
        <f>IFERROR(__xludf.DUMMYFUNCTION("""COMPUTED_VALUE"""),42430.0)</f>
        <v>42430</v>
      </c>
      <c r="B125" s="1" t="str">
        <f>IFERROR(__xludf.DUMMYFUNCTION("""COMPUTED_VALUE"""),"2.416 €/m2")</f>
        <v>2.416 €/m2</v>
      </c>
      <c r="C125" s="1" t="str">
        <f>IFERROR(__xludf.DUMMYFUNCTION("""COMPUTED_VALUE"""),"+ 0,2 %")</f>
        <v>+ 0,2 %</v>
      </c>
      <c r="D125" s="1" t="str">
        <f>IFERROR(__xludf.DUMMYFUNCTION("""COMPUTED_VALUE"""),"+ 0,5 %")</f>
        <v>+ 0,5 %</v>
      </c>
      <c r="E125" s="1" t="str">
        <f>IFERROR(__xludf.DUMMYFUNCTION("""COMPUTED_VALUE"""),"- 1,7 %")</f>
        <v>- 1,7 %</v>
      </c>
    </row>
    <row r="126">
      <c r="A126" s="2">
        <f>IFERROR(__xludf.DUMMYFUNCTION("""COMPUTED_VALUE"""),42401.0)</f>
        <v>42401</v>
      </c>
      <c r="B126" s="1" t="str">
        <f>IFERROR(__xludf.DUMMYFUNCTION("""COMPUTED_VALUE"""),"2.410 €/m2")</f>
        <v>2.410 €/m2</v>
      </c>
      <c r="C126" s="1" t="str">
        <f>IFERROR(__xludf.DUMMYFUNCTION("""COMPUTED_VALUE"""),"+ 0,6 %")</f>
        <v>+ 0,6 %</v>
      </c>
      <c r="D126" s="1" t="str">
        <f>IFERROR(__xludf.DUMMYFUNCTION("""COMPUTED_VALUE"""),"- 0,2 %")</f>
        <v>- 0,2 %</v>
      </c>
      <c r="E126" s="1" t="str">
        <f>IFERROR(__xludf.DUMMYFUNCTION("""COMPUTED_VALUE"""),"- 1,5 %")</f>
        <v>- 1,5 %</v>
      </c>
    </row>
    <row r="127">
      <c r="A127" s="2">
        <f>IFERROR(__xludf.DUMMYFUNCTION("""COMPUTED_VALUE"""),42370.0)</f>
        <v>42370</v>
      </c>
      <c r="B127" s="1" t="str">
        <f>IFERROR(__xludf.DUMMYFUNCTION("""COMPUTED_VALUE"""),"2.397 €/m2")</f>
        <v>2.397 €/m2</v>
      </c>
      <c r="C127" s="1" t="str">
        <f>IFERROR(__xludf.DUMMYFUNCTION("""COMPUTED_VALUE"""),"- 0,3 %")</f>
        <v>- 0,3 %</v>
      </c>
      <c r="D127" s="1" t="str">
        <f>IFERROR(__xludf.DUMMYFUNCTION("""COMPUTED_VALUE"""),"- 0,8 %")</f>
        <v>- 0,8 %</v>
      </c>
      <c r="E127" s="1" t="str">
        <f>IFERROR(__xludf.DUMMYFUNCTION("""COMPUTED_VALUE"""),"- 2,4 %")</f>
        <v>- 2,4 %</v>
      </c>
    </row>
    <row r="128">
      <c r="A128" s="2">
        <f>IFERROR(__xludf.DUMMYFUNCTION("""COMPUTED_VALUE"""),42339.0)</f>
        <v>42339</v>
      </c>
      <c r="B128" s="1" t="str">
        <f>IFERROR(__xludf.DUMMYFUNCTION("""COMPUTED_VALUE"""),"2.404 €/m2")</f>
        <v>2.404 €/m2</v>
      </c>
      <c r="C128" s="1" t="str">
        <f>IFERROR(__xludf.DUMMYFUNCTION("""COMPUTED_VALUE"""),"- 0,4 %")</f>
        <v>- 0,4 %</v>
      </c>
      <c r="D128" s="1" t="str">
        <f>IFERROR(__xludf.DUMMYFUNCTION("""COMPUTED_VALUE"""),"- 0,1 %")</f>
        <v>- 0,1 %</v>
      </c>
      <c r="E128" s="1" t="str">
        <f>IFERROR(__xludf.DUMMYFUNCTION("""COMPUTED_VALUE"""),"- 0,4 %")</f>
        <v>- 0,4 %</v>
      </c>
    </row>
    <row r="129">
      <c r="A129" s="2">
        <f>IFERROR(__xludf.DUMMYFUNCTION("""COMPUTED_VALUE"""),42309.0)</f>
        <v>42309</v>
      </c>
      <c r="B129" s="1" t="str">
        <f>IFERROR(__xludf.DUMMYFUNCTION("""COMPUTED_VALUE"""),"2.415 €/m2")</f>
        <v>2.415 €/m2</v>
      </c>
      <c r="C129" s="1" t="str">
        <f>IFERROR(__xludf.DUMMYFUNCTION("""COMPUTED_VALUE"""),"0,0 %")</f>
        <v>0,0 %</v>
      </c>
      <c r="D129" s="1" t="str">
        <f>IFERROR(__xludf.DUMMYFUNCTION("""COMPUTED_VALUE"""),"+ 0,1 %")</f>
        <v>+ 0,1 %</v>
      </c>
      <c r="E129" s="1" t="str">
        <f>IFERROR(__xludf.DUMMYFUNCTION("""COMPUTED_VALUE"""),"- 1,5 %")</f>
        <v>- 1,5 %</v>
      </c>
    </row>
    <row r="130">
      <c r="A130" s="2">
        <f>IFERROR(__xludf.DUMMYFUNCTION("""COMPUTED_VALUE"""),42278.0)</f>
        <v>42278</v>
      </c>
      <c r="B130" s="1" t="str">
        <f>IFERROR(__xludf.DUMMYFUNCTION("""COMPUTED_VALUE"""),"2.415 €/m2")</f>
        <v>2.415 €/m2</v>
      </c>
      <c r="C130" s="1" t="str">
        <f>IFERROR(__xludf.DUMMYFUNCTION("""COMPUTED_VALUE"""),"+ 0,3 %")</f>
        <v>+ 0,3 %</v>
      </c>
      <c r="D130" s="1" t="str">
        <f>IFERROR(__xludf.DUMMYFUNCTION("""COMPUTED_VALUE"""),"- 0,2 %")</f>
        <v>- 0,2 %</v>
      </c>
      <c r="E130" s="1" t="str">
        <f>IFERROR(__xludf.DUMMYFUNCTION("""COMPUTED_VALUE"""),"- 2,4 %")</f>
        <v>- 2,4 %</v>
      </c>
    </row>
    <row r="131">
      <c r="A131" s="2">
        <f>IFERROR(__xludf.DUMMYFUNCTION("""COMPUTED_VALUE"""),42248.0)</f>
        <v>42248</v>
      </c>
      <c r="B131" s="1" t="str">
        <f>IFERROR(__xludf.DUMMYFUNCTION("""COMPUTED_VALUE"""),"2.407 €/m2")</f>
        <v>2.407 €/m2</v>
      </c>
      <c r="C131" s="1" t="str">
        <f>IFERROR(__xludf.DUMMYFUNCTION("""COMPUTED_VALUE"""),"- 0,2 %")</f>
        <v>- 0,2 %</v>
      </c>
      <c r="D131" s="1" t="str">
        <f>IFERROR(__xludf.DUMMYFUNCTION("""COMPUTED_VALUE"""),"- 2,2 %")</f>
        <v>- 2,2 %</v>
      </c>
      <c r="E131" s="1" t="str">
        <f>IFERROR(__xludf.DUMMYFUNCTION("""COMPUTED_VALUE"""),"- 2,5 %")</f>
        <v>- 2,5 %</v>
      </c>
    </row>
    <row r="132">
      <c r="A132" s="2">
        <f>IFERROR(__xludf.DUMMYFUNCTION("""COMPUTED_VALUE"""),42217.0)</f>
        <v>42217</v>
      </c>
      <c r="B132" s="1" t="str">
        <f>IFERROR(__xludf.DUMMYFUNCTION("""COMPUTED_VALUE"""),"2.412 €/m2")</f>
        <v>2.412 €/m2</v>
      </c>
      <c r="C132" s="1" t="str">
        <f>IFERROR(__xludf.DUMMYFUNCTION("""COMPUTED_VALUE"""),"- 0,3 %")</f>
        <v>- 0,3 %</v>
      </c>
      <c r="D132" s="1" t="str">
        <f>IFERROR(__xludf.DUMMYFUNCTION("""COMPUTED_VALUE"""),"- 1,5 %")</f>
        <v>- 1,5 %</v>
      </c>
      <c r="E132" s="1" t="str">
        <f>IFERROR(__xludf.DUMMYFUNCTION("""COMPUTED_VALUE"""),"+ 0,7 %")</f>
        <v>+ 0,7 %</v>
      </c>
    </row>
    <row r="133">
      <c r="A133" s="2">
        <f>IFERROR(__xludf.DUMMYFUNCTION("""COMPUTED_VALUE"""),42186.0)</f>
        <v>42186</v>
      </c>
      <c r="B133" s="1" t="str">
        <f>IFERROR(__xludf.DUMMYFUNCTION("""COMPUTED_VALUE"""),"2.420 €/m2")</f>
        <v>2.420 €/m2</v>
      </c>
      <c r="C133" s="1" t="str">
        <f>IFERROR(__xludf.DUMMYFUNCTION("""COMPUTED_VALUE"""),"- 1,7 %")</f>
        <v>- 1,7 %</v>
      </c>
      <c r="D133" s="1" t="str">
        <f>IFERROR(__xludf.DUMMYFUNCTION("""COMPUTED_VALUE"""),"- 1,4 %")</f>
        <v>- 1,4 %</v>
      </c>
      <c r="E133" s="1" t="str">
        <f>IFERROR(__xludf.DUMMYFUNCTION("""COMPUTED_VALUE"""),"0,0 %")</f>
        <v>0,0 %</v>
      </c>
    </row>
    <row r="134">
      <c r="A134" s="2">
        <f>IFERROR(__xludf.DUMMYFUNCTION("""COMPUTED_VALUE"""),42156.0)</f>
        <v>42156</v>
      </c>
      <c r="B134" s="1" t="str">
        <f>IFERROR(__xludf.DUMMYFUNCTION("""COMPUTED_VALUE"""),"2.461 €/m2")</f>
        <v>2.461 €/m2</v>
      </c>
      <c r="C134" s="1" t="str">
        <f>IFERROR(__xludf.DUMMYFUNCTION("""COMPUTED_VALUE"""),"+ 0,5 %")</f>
        <v>+ 0,5 %</v>
      </c>
      <c r="D134" s="1" t="str">
        <f>IFERROR(__xludf.DUMMYFUNCTION("""COMPUTED_VALUE"""),"+ 0,1 %")</f>
        <v>+ 0,1 %</v>
      </c>
      <c r="E134" s="1" t="str">
        <f>IFERROR(__xludf.DUMMYFUNCTION("""COMPUTED_VALUE"""),"- 1,6 %")</f>
        <v>- 1,6 %</v>
      </c>
    </row>
    <row r="135">
      <c r="A135" s="2">
        <f>IFERROR(__xludf.DUMMYFUNCTION("""COMPUTED_VALUE"""),42125.0)</f>
        <v>42125</v>
      </c>
      <c r="B135" s="1" t="str">
        <f>IFERROR(__xludf.DUMMYFUNCTION("""COMPUTED_VALUE"""),"2.450 €/m2")</f>
        <v>2.450 €/m2</v>
      </c>
      <c r="C135" s="1" t="str">
        <f>IFERROR(__xludf.DUMMYFUNCTION("""COMPUTED_VALUE"""),"- 0,2 %")</f>
        <v>- 0,2 %</v>
      </c>
      <c r="D135" s="1" t="str">
        <f>IFERROR(__xludf.DUMMYFUNCTION("""COMPUTED_VALUE"""),"+ 0,1 %")</f>
        <v>+ 0,1 %</v>
      </c>
      <c r="E135" s="1" t="str">
        <f>IFERROR(__xludf.DUMMYFUNCTION("""COMPUTED_VALUE"""),"- 1,2 %")</f>
        <v>- 1,2 %</v>
      </c>
    </row>
    <row r="136">
      <c r="A136" s="2">
        <f>IFERROR(__xludf.DUMMYFUNCTION("""COMPUTED_VALUE"""),42095.0)</f>
        <v>42095</v>
      </c>
      <c r="B136" s="1" t="str">
        <f>IFERROR(__xludf.DUMMYFUNCTION("""COMPUTED_VALUE"""),"2.455 €/m2")</f>
        <v>2.455 €/m2</v>
      </c>
      <c r="C136" s="1" t="str">
        <f>IFERROR(__xludf.DUMMYFUNCTION("""COMPUTED_VALUE"""),"- 0,1 %")</f>
        <v>- 0,1 %</v>
      </c>
      <c r="D136" s="1" t="str">
        <f>IFERROR(__xludf.DUMMYFUNCTION("""COMPUTED_VALUE"""),"- 0,1 %")</f>
        <v>- 0,1 %</v>
      </c>
      <c r="E136" s="1" t="str">
        <f>IFERROR(__xludf.DUMMYFUNCTION("""COMPUTED_VALUE"""),"- 0,6 %")</f>
        <v>- 0,6 %</v>
      </c>
    </row>
    <row r="137">
      <c r="A137" s="2">
        <f>IFERROR(__xludf.DUMMYFUNCTION("""COMPUTED_VALUE"""),42064.0)</f>
        <v>42064</v>
      </c>
      <c r="B137" s="1" t="str">
        <f>IFERROR(__xludf.DUMMYFUNCTION("""COMPUTED_VALUE"""),"2.459 €/m2")</f>
        <v>2.459 €/m2</v>
      </c>
      <c r="C137" s="1" t="str">
        <f>IFERROR(__xludf.DUMMYFUNCTION("""COMPUTED_VALUE"""),"+ 0,5 %")</f>
        <v>+ 0,5 %</v>
      </c>
      <c r="D137" s="1" t="str">
        <f>IFERROR(__xludf.DUMMYFUNCTION("""COMPUTED_VALUE"""),"+ 1,8 %")</f>
        <v>+ 1,8 %</v>
      </c>
      <c r="E137" s="1" t="str">
        <f>IFERROR(__xludf.DUMMYFUNCTION("""COMPUTED_VALUE"""),"- 0,6 %")</f>
        <v>- 0,6 %</v>
      </c>
    </row>
    <row r="138">
      <c r="A138" s="2">
        <f>IFERROR(__xludf.DUMMYFUNCTION("""COMPUTED_VALUE"""),42036.0)</f>
        <v>42036</v>
      </c>
      <c r="B138" s="1" t="str">
        <f>IFERROR(__xludf.DUMMYFUNCTION("""COMPUTED_VALUE"""),"2.446 €/m2")</f>
        <v>2.446 €/m2</v>
      </c>
      <c r="C138" s="1" t="str">
        <f>IFERROR(__xludf.DUMMYFUNCTION("""COMPUTED_VALUE"""),"- 0,4 %")</f>
        <v>- 0,4 %</v>
      </c>
      <c r="D138" s="1" t="str">
        <f>IFERROR(__xludf.DUMMYFUNCTION("""COMPUTED_VALUE"""),"- 0,2 %")</f>
        <v>- 0,2 %</v>
      </c>
      <c r="E138" s="1" t="str">
        <f>IFERROR(__xludf.DUMMYFUNCTION("""COMPUTED_VALUE"""),"- 1,7 %")</f>
        <v>- 1,7 %</v>
      </c>
    </row>
    <row r="139">
      <c r="A139" s="2">
        <f>IFERROR(__xludf.DUMMYFUNCTION("""COMPUTED_VALUE"""),42005.0)</f>
        <v>42005</v>
      </c>
      <c r="B139" s="1" t="str">
        <f>IFERROR(__xludf.DUMMYFUNCTION("""COMPUTED_VALUE"""),"2.457 €/m2")</f>
        <v>2.457 €/m2</v>
      </c>
      <c r="C139" s="1" t="str">
        <f>IFERROR(__xludf.DUMMYFUNCTION("""COMPUTED_VALUE"""),"+ 1,8 %")</f>
        <v>+ 1,8 %</v>
      </c>
      <c r="D139" s="1" t="str">
        <f>IFERROR(__xludf.DUMMYFUNCTION("""COMPUTED_VALUE"""),"- 0,7 %")</f>
        <v>- 0,7 %</v>
      </c>
      <c r="E139" s="1" t="str">
        <f>IFERROR(__xludf.DUMMYFUNCTION("""COMPUTED_VALUE"""),"- 1,9 %")</f>
        <v>- 1,9 %</v>
      </c>
    </row>
    <row r="140">
      <c r="A140" s="2">
        <f>IFERROR(__xludf.DUMMYFUNCTION("""COMPUTED_VALUE"""),41974.0)</f>
        <v>41974</v>
      </c>
      <c r="B140" s="1" t="str">
        <f>IFERROR(__xludf.DUMMYFUNCTION("""COMPUTED_VALUE"""),"2.414 €/m2")</f>
        <v>2.414 €/m2</v>
      </c>
      <c r="C140" s="1" t="str">
        <f>IFERROR(__xludf.DUMMYFUNCTION("""COMPUTED_VALUE"""),"- 1,5 %")</f>
        <v>- 1,5 %</v>
      </c>
      <c r="D140" s="1" t="str">
        <f>IFERROR(__xludf.DUMMYFUNCTION("""COMPUTED_VALUE"""),"- 2,3 %")</f>
        <v>- 2,3 %</v>
      </c>
      <c r="E140" s="1" t="str">
        <f>IFERROR(__xludf.DUMMYFUNCTION("""COMPUTED_VALUE"""),"- 3,9 %")</f>
        <v>- 3,9 %</v>
      </c>
    </row>
    <row r="141">
      <c r="A141" s="2">
        <f>IFERROR(__xludf.DUMMYFUNCTION("""COMPUTED_VALUE"""),41944.0)</f>
        <v>41944</v>
      </c>
      <c r="B141" s="1" t="str">
        <f>IFERROR(__xludf.DUMMYFUNCTION("""COMPUTED_VALUE"""),"2.451 €/m2")</f>
        <v>2.451 €/m2</v>
      </c>
      <c r="C141" s="1" t="str">
        <f>IFERROR(__xludf.DUMMYFUNCTION("""COMPUTED_VALUE"""),"- 0,9 %")</f>
        <v>- 0,9 %</v>
      </c>
      <c r="D141" s="1" t="str">
        <f>IFERROR(__xludf.DUMMYFUNCTION("""COMPUTED_VALUE"""),"+ 2,3 %")</f>
        <v>+ 2,3 %</v>
      </c>
      <c r="E141" s="1" t="str">
        <f>IFERROR(__xludf.DUMMYFUNCTION("""COMPUTED_VALUE"""),"- 2,4 %")</f>
        <v>- 2,4 %</v>
      </c>
    </row>
    <row r="142">
      <c r="A142" s="2">
        <f>IFERROR(__xludf.DUMMYFUNCTION("""COMPUTED_VALUE"""),41913.0)</f>
        <v>41913</v>
      </c>
      <c r="B142" s="1" t="str">
        <f>IFERROR(__xludf.DUMMYFUNCTION("""COMPUTED_VALUE"""),"2.474 €/m2")</f>
        <v>2.474 €/m2</v>
      </c>
      <c r="C142" s="1" t="str">
        <f>IFERROR(__xludf.DUMMYFUNCTION("""COMPUTED_VALUE"""),"+ 0,2 %")</f>
        <v>+ 0,2 %</v>
      </c>
      <c r="D142" s="1" t="str">
        <f>IFERROR(__xludf.DUMMYFUNCTION("""COMPUTED_VALUE"""),"+ 2,2 %")</f>
        <v>+ 2,2 %</v>
      </c>
      <c r="E142" s="1" t="str">
        <f>IFERROR(__xludf.DUMMYFUNCTION("""COMPUTED_VALUE"""),"- 1,5 %")</f>
        <v>- 1,5 %</v>
      </c>
    </row>
    <row r="143">
      <c r="A143" s="2">
        <f>IFERROR(__xludf.DUMMYFUNCTION("""COMPUTED_VALUE"""),41883.0)</f>
        <v>41883</v>
      </c>
      <c r="B143" s="1" t="str">
        <f>IFERROR(__xludf.DUMMYFUNCTION("""COMPUTED_VALUE"""),"2.470 €/m2")</f>
        <v>2.470 €/m2</v>
      </c>
      <c r="C143" s="1" t="str">
        <f>IFERROR(__xludf.DUMMYFUNCTION("""COMPUTED_VALUE"""),"+ 3,1 %")</f>
        <v>+ 3,1 %</v>
      </c>
      <c r="D143" s="1" t="str">
        <f>IFERROR(__xludf.DUMMYFUNCTION("""COMPUTED_VALUE"""),"- 1,3 %")</f>
        <v>- 1,3 %</v>
      </c>
      <c r="E143" s="1" t="str">
        <f>IFERROR(__xludf.DUMMYFUNCTION("""COMPUTED_VALUE"""),"- 1,8 %")</f>
        <v>- 1,8 %</v>
      </c>
    </row>
    <row r="144">
      <c r="A144" s="2">
        <f>IFERROR(__xludf.DUMMYFUNCTION("""COMPUTED_VALUE"""),41852.0)</f>
        <v>41852</v>
      </c>
      <c r="B144" s="1" t="str">
        <f>IFERROR(__xludf.DUMMYFUNCTION("""COMPUTED_VALUE"""),"2.396 €/m2")</f>
        <v>2.396 €/m2</v>
      </c>
      <c r="C144" s="1" t="str">
        <f>IFERROR(__xludf.DUMMYFUNCTION("""COMPUTED_VALUE"""),"- 1,0 %")</f>
        <v>- 1,0 %</v>
      </c>
      <c r="D144" s="1" t="str">
        <f>IFERROR(__xludf.DUMMYFUNCTION("""COMPUTED_VALUE"""),"- 3,3 %")</f>
        <v>- 3,3 %</v>
      </c>
      <c r="E144" s="1" t="str">
        <f>IFERROR(__xludf.DUMMYFUNCTION("""COMPUTED_VALUE"""),"- 4,0 %")</f>
        <v>- 4,0 %</v>
      </c>
    </row>
    <row r="145">
      <c r="A145" s="2">
        <f>IFERROR(__xludf.DUMMYFUNCTION("""COMPUTED_VALUE"""),41821.0)</f>
        <v>41821</v>
      </c>
      <c r="B145" s="1" t="str">
        <f>IFERROR(__xludf.DUMMYFUNCTION("""COMPUTED_VALUE"""),"2.421 €/m2")</f>
        <v>2.421 €/m2</v>
      </c>
      <c r="C145" s="1" t="str">
        <f>IFERROR(__xludf.DUMMYFUNCTION("""COMPUTED_VALUE"""),"- 3,2 %")</f>
        <v>- 3,2 %</v>
      </c>
      <c r="D145" s="1" t="str">
        <f>IFERROR(__xludf.DUMMYFUNCTION("""COMPUTED_VALUE"""),"- 2,0 %")</f>
        <v>- 2,0 %</v>
      </c>
      <c r="E145" s="1" t="str">
        <f>IFERROR(__xludf.DUMMYFUNCTION("""COMPUTED_VALUE"""),"- 3,8 %")</f>
        <v>- 3,8 %</v>
      </c>
    </row>
    <row r="146">
      <c r="A146" s="2">
        <f>IFERROR(__xludf.DUMMYFUNCTION("""COMPUTED_VALUE"""),41791.0)</f>
        <v>41791</v>
      </c>
      <c r="B146" s="1" t="str">
        <f>IFERROR(__xludf.DUMMYFUNCTION("""COMPUTED_VALUE"""),"2.502 €/m2")</f>
        <v>2.502 €/m2</v>
      </c>
      <c r="C146" s="1" t="str">
        <f>IFERROR(__xludf.DUMMYFUNCTION("""COMPUTED_VALUE"""),"+ 0,9 %")</f>
        <v>+ 0,9 %</v>
      </c>
      <c r="D146" s="1" t="str">
        <f>IFERROR(__xludf.DUMMYFUNCTION("""COMPUTED_VALUE"""),"+ 1,2 %")</f>
        <v>+ 1,2 %</v>
      </c>
      <c r="E146" s="1" t="str">
        <f>IFERROR(__xludf.DUMMYFUNCTION("""COMPUTED_VALUE"""),"- 0,8 %")</f>
        <v>- 0,8 %</v>
      </c>
    </row>
    <row r="147">
      <c r="A147" s="2">
        <f>IFERROR(__xludf.DUMMYFUNCTION("""COMPUTED_VALUE"""),41760.0)</f>
        <v>41760</v>
      </c>
      <c r="B147" s="1" t="str">
        <f>IFERROR(__xludf.DUMMYFUNCTION("""COMPUTED_VALUE"""),"2.479 €/m2")</f>
        <v>2.479 €/m2</v>
      </c>
      <c r="C147" s="1" t="str">
        <f>IFERROR(__xludf.DUMMYFUNCTION("""COMPUTED_VALUE"""),"+ 0,3 %")</f>
        <v>+ 0,3 %</v>
      </c>
      <c r="D147" s="1" t="str">
        <f>IFERROR(__xludf.DUMMYFUNCTION("""COMPUTED_VALUE"""),"- 0,4 %")</f>
        <v>- 0,4 %</v>
      </c>
      <c r="E147" s="1" t="str">
        <f>IFERROR(__xludf.DUMMYFUNCTION("""COMPUTED_VALUE"""),"- 2,7 %")</f>
        <v>- 2,7 %</v>
      </c>
    </row>
    <row r="148">
      <c r="A148" s="2">
        <f>IFERROR(__xludf.DUMMYFUNCTION("""COMPUTED_VALUE"""),41730.0)</f>
        <v>41730</v>
      </c>
      <c r="B148" s="1" t="str">
        <f>IFERROR(__xludf.DUMMYFUNCTION("""COMPUTED_VALUE"""),"2.470 €/m2")</f>
        <v>2.470 €/m2</v>
      </c>
      <c r="C148" s="1" t="str">
        <f>IFERROR(__xludf.DUMMYFUNCTION("""COMPUTED_VALUE"""),"- 0,1 %")</f>
        <v>- 0,1 %</v>
      </c>
      <c r="D148" s="1" t="str">
        <f>IFERROR(__xludf.DUMMYFUNCTION("""COMPUTED_VALUE"""),"- 1,3 %")</f>
        <v>- 1,3 %</v>
      </c>
      <c r="E148" s="1" t="str">
        <f>IFERROR(__xludf.DUMMYFUNCTION("""COMPUTED_VALUE"""),"- 2,2 %")</f>
        <v>- 2,2 %</v>
      </c>
    </row>
    <row r="149">
      <c r="A149" s="2">
        <f>IFERROR(__xludf.DUMMYFUNCTION("""COMPUTED_VALUE"""),41699.0)</f>
        <v>41699</v>
      </c>
      <c r="B149" s="1" t="str">
        <f>IFERROR(__xludf.DUMMYFUNCTION("""COMPUTED_VALUE"""),"2.473 €/m2")</f>
        <v>2.473 €/m2</v>
      </c>
      <c r="C149" s="1" t="str">
        <f>IFERROR(__xludf.DUMMYFUNCTION("""COMPUTED_VALUE"""),"- 0,7 %")</f>
        <v>- 0,7 %</v>
      </c>
      <c r="D149" s="1" t="str">
        <f>IFERROR(__xludf.DUMMYFUNCTION("""COMPUTED_VALUE"""),"- 1,6 %")</f>
        <v>- 1,6 %</v>
      </c>
      <c r="E149" s="1" t="str">
        <f>IFERROR(__xludf.DUMMYFUNCTION("""COMPUTED_VALUE"""),"- 3,4 %")</f>
        <v>- 3,4 %</v>
      </c>
    </row>
    <row r="150">
      <c r="A150" s="2">
        <f>IFERROR(__xludf.DUMMYFUNCTION("""COMPUTED_VALUE"""),41671.0)</f>
        <v>41671</v>
      </c>
      <c r="B150" s="1" t="str">
        <f>IFERROR(__xludf.DUMMYFUNCTION("""COMPUTED_VALUE"""),"2.490 €/m2")</f>
        <v>2.490 €/m2</v>
      </c>
      <c r="C150" s="1" t="str">
        <f>IFERROR(__xludf.DUMMYFUNCTION("""COMPUTED_VALUE"""),"- 0,6 %")</f>
        <v>- 0,6 %</v>
      </c>
      <c r="D150" s="1" t="str">
        <f>IFERROR(__xludf.DUMMYFUNCTION("""COMPUTED_VALUE"""),"- 0,9 %")</f>
        <v>- 0,9 %</v>
      </c>
      <c r="E150" s="1" t="str">
        <f>IFERROR(__xludf.DUMMYFUNCTION("""COMPUTED_VALUE"""),"- 2,0 %")</f>
        <v>- 2,0 %</v>
      </c>
    </row>
    <row r="151">
      <c r="A151" s="2">
        <f>IFERROR(__xludf.DUMMYFUNCTION("""COMPUTED_VALUE"""),41640.0)</f>
        <v>41640</v>
      </c>
      <c r="B151" s="1" t="str">
        <f>IFERROR(__xludf.DUMMYFUNCTION("""COMPUTED_VALUE"""),"2.504 €/m2")</f>
        <v>2.504 €/m2</v>
      </c>
      <c r="C151" s="1" t="str">
        <f>IFERROR(__xludf.DUMMYFUNCTION("""COMPUTED_VALUE"""),"- 0,3 %")</f>
        <v>- 0,3 %</v>
      </c>
      <c r="D151" s="1" t="str">
        <f>IFERROR(__xludf.DUMMYFUNCTION("""COMPUTED_VALUE"""),"- 0,3 %")</f>
        <v>- 0,3 %</v>
      </c>
      <c r="E151" s="1" t="str">
        <f>IFERROR(__xludf.DUMMYFUNCTION("""COMPUTED_VALUE"""),"- 3,6 %")</f>
        <v>- 3,6 %</v>
      </c>
    </row>
    <row r="152">
      <c r="A152" s="2">
        <f>IFERROR(__xludf.DUMMYFUNCTION("""COMPUTED_VALUE"""),41609.0)</f>
        <v>41609</v>
      </c>
      <c r="B152" s="1" t="str">
        <f>IFERROR(__xludf.DUMMYFUNCTION("""COMPUTED_VALUE"""),"2.512 €/m2")</f>
        <v>2.512 €/m2</v>
      </c>
      <c r="C152" s="1" t="str">
        <f>IFERROR(__xludf.DUMMYFUNCTION("""COMPUTED_VALUE"""),"0,0 %")</f>
        <v>0,0 %</v>
      </c>
      <c r="D152" s="1" t="str">
        <f>IFERROR(__xludf.DUMMYFUNCTION("""COMPUTED_VALUE"""),"- 0,1 %")</f>
        <v>- 0,1 %</v>
      </c>
      <c r="E152" s="1" t="str">
        <f>IFERROR(__xludf.DUMMYFUNCTION("""COMPUTED_VALUE"""),"- 4,7 %")</f>
        <v>- 4,7 %</v>
      </c>
    </row>
    <row r="153">
      <c r="A153" s="2">
        <f>IFERROR(__xludf.DUMMYFUNCTION("""COMPUTED_VALUE"""),41579.0)</f>
        <v>41579</v>
      </c>
      <c r="B153" s="1" t="str">
        <f>IFERROR(__xludf.DUMMYFUNCTION("""COMPUTED_VALUE"""),"2.512 €/m2")</f>
        <v>2.512 €/m2</v>
      </c>
      <c r="C153" s="1" t="str">
        <f>IFERROR(__xludf.DUMMYFUNCTION("""COMPUTED_VALUE"""),"0,0 %")</f>
        <v>0,0 %</v>
      </c>
      <c r="D153" s="1" t="str">
        <f>IFERROR(__xludf.DUMMYFUNCTION("""COMPUTED_VALUE"""),"+ 0,7 %")</f>
        <v>+ 0,7 %</v>
      </c>
      <c r="E153" s="1" t="str">
        <f>IFERROR(__xludf.DUMMYFUNCTION("""COMPUTED_VALUE"""),"- 6,3 %")</f>
        <v>- 6,3 %</v>
      </c>
    </row>
    <row r="154">
      <c r="A154" s="2">
        <f>IFERROR(__xludf.DUMMYFUNCTION("""COMPUTED_VALUE"""),41548.0)</f>
        <v>41548</v>
      </c>
      <c r="B154" s="1" t="str">
        <f>IFERROR(__xludf.DUMMYFUNCTION("""COMPUTED_VALUE"""),"2.512 €/m2")</f>
        <v>2.512 €/m2</v>
      </c>
      <c r="C154" s="1" t="str">
        <f>IFERROR(__xludf.DUMMYFUNCTION("""COMPUTED_VALUE"""),"- 0,1 %")</f>
        <v>- 0,1 %</v>
      </c>
      <c r="D154" s="1" t="str">
        <f>IFERROR(__xludf.DUMMYFUNCTION("""COMPUTED_VALUE"""),"- 0,1 %")</f>
        <v>- 0,1 %</v>
      </c>
      <c r="E154" s="1" t="str">
        <f>IFERROR(__xludf.DUMMYFUNCTION("""COMPUTED_VALUE"""),"- 8,0 %")</f>
        <v>- 8,0 %</v>
      </c>
    </row>
    <row r="155">
      <c r="A155" s="2">
        <f>IFERROR(__xludf.DUMMYFUNCTION("""COMPUTED_VALUE"""),41518.0)</f>
        <v>41518</v>
      </c>
      <c r="B155" s="1" t="str">
        <f>IFERROR(__xludf.DUMMYFUNCTION("""COMPUTED_VALUE"""),"2.516 €/m2")</f>
        <v>2.516 €/m2</v>
      </c>
      <c r="C155" s="1" t="str">
        <f>IFERROR(__xludf.DUMMYFUNCTION("""COMPUTED_VALUE"""),"+ 0,8 %")</f>
        <v>+ 0,8 %</v>
      </c>
      <c r="D155" s="1" t="str">
        <f>IFERROR(__xludf.DUMMYFUNCTION("""COMPUTED_VALUE"""),"- 0,2 %")</f>
        <v>- 0,2 %</v>
      </c>
      <c r="E155" s="1" t="str">
        <f>IFERROR(__xludf.DUMMYFUNCTION("""COMPUTED_VALUE"""),"- 9,0 %")</f>
        <v>- 9,0 %</v>
      </c>
    </row>
    <row r="156">
      <c r="A156" s="2">
        <f>IFERROR(__xludf.DUMMYFUNCTION("""COMPUTED_VALUE"""),41487.0)</f>
        <v>41487</v>
      </c>
      <c r="B156" s="1" t="str">
        <f>IFERROR(__xludf.DUMMYFUNCTION("""COMPUTED_VALUE"""),"2.495 €/m2")</f>
        <v>2.495 €/m2</v>
      </c>
      <c r="C156" s="1" t="str">
        <f>IFERROR(__xludf.DUMMYFUNCTION("""COMPUTED_VALUE"""),"- 0,8 %")</f>
        <v>- 0,8 %</v>
      </c>
      <c r="D156" s="1" t="str">
        <f>IFERROR(__xludf.DUMMYFUNCTION("""COMPUTED_VALUE"""),"- 2,0 %")</f>
        <v>- 2,0 %</v>
      </c>
      <c r="E156" s="1" t="str">
        <f>IFERROR(__xludf.DUMMYFUNCTION("""COMPUTED_VALUE"""),"- 10,2 %")</f>
        <v>- 10,2 %</v>
      </c>
    </row>
    <row r="157">
      <c r="A157" s="2">
        <f>IFERROR(__xludf.DUMMYFUNCTION("""COMPUTED_VALUE"""),41456.0)</f>
        <v>41456</v>
      </c>
      <c r="B157" s="1" t="str">
        <f>IFERROR(__xludf.DUMMYFUNCTION("""COMPUTED_VALUE"""),"2.515 €/m2")</f>
        <v>2.515 €/m2</v>
      </c>
      <c r="C157" s="1" t="str">
        <f>IFERROR(__xludf.DUMMYFUNCTION("""COMPUTED_VALUE"""),"- 0,2 %")</f>
        <v>- 0,2 %</v>
      </c>
      <c r="D157" s="1" t="str">
        <f>IFERROR(__xludf.DUMMYFUNCTION("""COMPUTED_VALUE"""),"- 0,4 %")</f>
        <v>- 0,4 %</v>
      </c>
      <c r="E157" s="1" t="str">
        <f>IFERROR(__xludf.DUMMYFUNCTION("""COMPUTED_VALUE"""),"- 10,6 %")</f>
        <v>- 10,6 %</v>
      </c>
    </row>
    <row r="158">
      <c r="A158" s="2">
        <f>IFERROR(__xludf.DUMMYFUNCTION("""COMPUTED_VALUE"""),41426.0)</f>
        <v>41426</v>
      </c>
      <c r="B158" s="1" t="str">
        <f>IFERROR(__xludf.DUMMYFUNCTION("""COMPUTED_VALUE"""),"2.521 €/m2")</f>
        <v>2.521 €/m2</v>
      </c>
      <c r="C158" s="1" t="str">
        <f>IFERROR(__xludf.DUMMYFUNCTION("""COMPUTED_VALUE"""),"- 1,0 %")</f>
        <v>- 1,0 %</v>
      </c>
      <c r="D158" s="1" t="str">
        <f>IFERROR(__xludf.DUMMYFUNCTION("""COMPUTED_VALUE"""),"- 1,5 %")</f>
        <v>- 1,5 %</v>
      </c>
      <c r="E158" s="1" t="str">
        <f>IFERROR(__xludf.DUMMYFUNCTION("""COMPUTED_VALUE"""),"- 10,5 %")</f>
        <v>- 10,5 %</v>
      </c>
    </row>
    <row r="159">
      <c r="A159" s="2">
        <f>IFERROR(__xludf.DUMMYFUNCTION("""COMPUTED_VALUE"""),41395.0)</f>
        <v>41395</v>
      </c>
      <c r="B159" s="1" t="str">
        <f>IFERROR(__xludf.DUMMYFUNCTION("""COMPUTED_VALUE"""),"2.547 €/m2")</f>
        <v>2.547 €/m2</v>
      </c>
      <c r="C159" s="1" t="str">
        <f>IFERROR(__xludf.DUMMYFUNCTION("""COMPUTED_VALUE"""),"+ 0,9 %")</f>
        <v>+ 0,9 %</v>
      </c>
      <c r="D159" s="1" t="str">
        <f>IFERROR(__xludf.DUMMYFUNCTION("""COMPUTED_VALUE"""),"+ 0,3 %")</f>
        <v>+ 0,3 %</v>
      </c>
      <c r="E159" s="1" t="str">
        <f>IFERROR(__xludf.DUMMYFUNCTION("""COMPUTED_VALUE"""),"- 11,2 %")</f>
        <v>- 11,2 %</v>
      </c>
    </row>
    <row r="160">
      <c r="A160" s="2">
        <f>IFERROR(__xludf.DUMMYFUNCTION("""COMPUTED_VALUE"""),41365.0)</f>
        <v>41365</v>
      </c>
      <c r="B160" s="1" t="str">
        <f>IFERROR(__xludf.DUMMYFUNCTION("""COMPUTED_VALUE"""),"2.525 €/m2")</f>
        <v>2.525 €/m2</v>
      </c>
      <c r="C160" s="1" t="str">
        <f>IFERROR(__xludf.DUMMYFUNCTION("""COMPUTED_VALUE"""),"- 1,4 %")</f>
        <v>- 1,4 %</v>
      </c>
      <c r="D160" s="1" t="str">
        <f>IFERROR(__xludf.DUMMYFUNCTION("""COMPUTED_VALUE"""),"- 2,8 %")</f>
        <v>- 2,8 %</v>
      </c>
      <c r="E160" s="1" t="str">
        <f>IFERROR(__xludf.DUMMYFUNCTION("""COMPUTED_VALUE"""),"- 11,9 %")</f>
        <v>- 11,9 %</v>
      </c>
    </row>
    <row r="161">
      <c r="A161" s="2">
        <f>IFERROR(__xludf.DUMMYFUNCTION("""COMPUTED_VALUE"""),41334.0)</f>
        <v>41334</v>
      </c>
      <c r="B161" s="1" t="str">
        <f>IFERROR(__xludf.DUMMYFUNCTION("""COMPUTED_VALUE"""),"2.560 €/m2")</f>
        <v>2.560 €/m2</v>
      </c>
      <c r="C161" s="1" t="str">
        <f>IFERROR(__xludf.DUMMYFUNCTION("""COMPUTED_VALUE"""),"+ 0,8 %")</f>
        <v>+ 0,8 %</v>
      </c>
      <c r="D161" s="1" t="str">
        <f>IFERROR(__xludf.DUMMYFUNCTION("""COMPUTED_VALUE"""),"- 2,9 %")</f>
        <v>- 2,9 %</v>
      </c>
      <c r="E161" s="1" t="str">
        <f>IFERROR(__xludf.DUMMYFUNCTION("""COMPUTED_VALUE"""),"- 13,7 %")</f>
        <v>- 13,7 %</v>
      </c>
    </row>
    <row r="162">
      <c r="A162" s="2">
        <f>IFERROR(__xludf.DUMMYFUNCTION("""COMPUTED_VALUE"""),41306.0)</f>
        <v>41306</v>
      </c>
      <c r="B162" s="1" t="str">
        <f>IFERROR(__xludf.DUMMYFUNCTION("""COMPUTED_VALUE"""),"2.539 €/m2")</f>
        <v>2.539 €/m2</v>
      </c>
      <c r="C162" s="1" t="str">
        <f>IFERROR(__xludf.DUMMYFUNCTION("""COMPUTED_VALUE"""),"- 2,3 %")</f>
        <v>- 2,3 %</v>
      </c>
      <c r="D162" s="1" t="str">
        <f>IFERROR(__xludf.DUMMYFUNCTION("""COMPUTED_VALUE"""),"- 5,3 %")</f>
        <v>- 5,3 %</v>
      </c>
      <c r="E162" s="1" t="str">
        <f>IFERROR(__xludf.DUMMYFUNCTION("""COMPUTED_VALUE"""),"- 15,3 %")</f>
        <v>- 15,3 %</v>
      </c>
    </row>
    <row r="163">
      <c r="A163" s="2">
        <f>IFERROR(__xludf.DUMMYFUNCTION("""COMPUTED_VALUE"""),41275.0)</f>
        <v>41275</v>
      </c>
      <c r="B163" s="1" t="str">
        <f>IFERROR(__xludf.DUMMYFUNCTION("""COMPUTED_VALUE"""),"2.598 €/m2")</f>
        <v>2.598 €/m2</v>
      </c>
      <c r="C163" s="1" t="str">
        <f>IFERROR(__xludf.DUMMYFUNCTION("""COMPUTED_VALUE"""),"- 1,5 %")</f>
        <v>- 1,5 %</v>
      </c>
      <c r="D163" s="1" t="str">
        <f>IFERROR(__xludf.DUMMYFUNCTION("""COMPUTED_VALUE"""),"- 4,9 %")</f>
        <v>- 4,9 %</v>
      </c>
      <c r="E163" s="1" t="str">
        <f>IFERROR(__xludf.DUMMYFUNCTION("""COMPUTED_VALUE"""),"- 14,8 %")</f>
        <v>- 14,8 %</v>
      </c>
    </row>
    <row r="164">
      <c r="A164" s="2">
        <f>IFERROR(__xludf.DUMMYFUNCTION("""COMPUTED_VALUE"""),41244.0)</f>
        <v>41244</v>
      </c>
      <c r="B164" s="1" t="str">
        <f>IFERROR(__xludf.DUMMYFUNCTION("""COMPUTED_VALUE"""),"2.637 €/m2")</f>
        <v>2.637 €/m2</v>
      </c>
      <c r="C164" s="1" t="str">
        <f>IFERROR(__xludf.DUMMYFUNCTION("""COMPUTED_VALUE"""),"- 1,7 %")</f>
        <v>- 1,7 %</v>
      </c>
      <c r="D164" s="1" t="str">
        <f>IFERROR(__xludf.DUMMYFUNCTION("""COMPUTED_VALUE"""),"- 4,6 %")</f>
        <v>- 4,6 %</v>
      </c>
      <c r="E164" s="1" t="str">
        <f>IFERROR(__xludf.DUMMYFUNCTION("""COMPUTED_VALUE"""),"- 13,4 %")</f>
        <v>- 13,4 %</v>
      </c>
    </row>
    <row r="165">
      <c r="A165" s="2">
        <f>IFERROR(__xludf.DUMMYFUNCTION("""COMPUTED_VALUE"""),41214.0)</f>
        <v>41214</v>
      </c>
      <c r="B165" s="1" t="str">
        <f>IFERROR(__xludf.DUMMYFUNCTION("""COMPUTED_VALUE"""),"2.682 €/m2")</f>
        <v>2.682 €/m2</v>
      </c>
      <c r="C165" s="1" t="str">
        <f>IFERROR(__xludf.DUMMYFUNCTION("""COMPUTED_VALUE"""),"- 1,8 %")</f>
        <v>- 1,8 %</v>
      </c>
      <c r="D165" s="1" t="str">
        <f>IFERROR(__xludf.DUMMYFUNCTION("""COMPUTED_VALUE"""),"- 3,4 %")</f>
        <v>- 3,4 %</v>
      </c>
      <c r="E165" s="1" t="str">
        <f>IFERROR(__xludf.DUMMYFUNCTION("""COMPUTED_VALUE"""),"- 11,3 %")</f>
        <v>- 11,3 %</v>
      </c>
    </row>
    <row r="166">
      <c r="A166" s="2">
        <f>IFERROR(__xludf.DUMMYFUNCTION("""COMPUTED_VALUE"""),41183.0)</f>
        <v>41183</v>
      </c>
      <c r="B166" s="1" t="str">
        <f>IFERROR(__xludf.DUMMYFUNCTION("""COMPUTED_VALUE"""),"2.732 €/m2")</f>
        <v>2.732 €/m2</v>
      </c>
      <c r="C166" s="1" t="str">
        <f>IFERROR(__xludf.DUMMYFUNCTION("""COMPUTED_VALUE"""),"- 1,2 %")</f>
        <v>- 1,2 %</v>
      </c>
      <c r="D166" s="1" t="str">
        <f>IFERROR(__xludf.DUMMYFUNCTION("""COMPUTED_VALUE"""),"- 2,9 %")</f>
        <v>- 2,9 %</v>
      </c>
      <c r="E166" s="1" t="str">
        <f>IFERROR(__xludf.DUMMYFUNCTION("""COMPUTED_VALUE"""),"- 11,3 %")</f>
        <v>- 11,3 %</v>
      </c>
    </row>
    <row r="167">
      <c r="A167" s="2">
        <f>IFERROR(__xludf.DUMMYFUNCTION("""COMPUTED_VALUE"""),41153.0)</f>
        <v>41153</v>
      </c>
      <c r="B167" s="1" t="str">
        <f>IFERROR(__xludf.DUMMYFUNCTION("""COMPUTED_VALUE"""),"2.764 €/m2")</f>
        <v>2.764 €/m2</v>
      </c>
      <c r="C167" s="1" t="str">
        <f>IFERROR(__xludf.DUMMYFUNCTION("""COMPUTED_VALUE"""),"- 0,5 %")</f>
        <v>- 0,5 %</v>
      </c>
      <c r="D167" s="1" t="str">
        <f>IFERROR(__xludf.DUMMYFUNCTION("""COMPUTED_VALUE"""),"- 1,9 %")</f>
        <v>- 1,9 %</v>
      </c>
      <c r="E167" s="1" t="str">
        <f>IFERROR(__xludf.DUMMYFUNCTION("""COMPUTED_VALUE"""),"- 9,8 %")</f>
        <v>- 9,8 %</v>
      </c>
    </row>
    <row r="168">
      <c r="A168" s="2">
        <f>IFERROR(__xludf.DUMMYFUNCTION("""COMPUTED_VALUE"""),41122.0)</f>
        <v>41122</v>
      </c>
      <c r="B168" s="1" t="str">
        <f>IFERROR(__xludf.DUMMYFUNCTION("""COMPUTED_VALUE"""),"2.777 €/m2")</f>
        <v>2.777 €/m2</v>
      </c>
      <c r="C168" s="1" t="str">
        <f>IFERROR(__xludf.DUMMYFUNCTION("""COMPUTED_VALUE"""),"- 1,2 %")</f>
        <v>- 1,2 %</v>
      </c>
      <c r="D168" s="1" t="str">
        <f>IFERROR(__xludf.DUMMYFUNCTION("""COMPUTED_VALUE"""),"- 3,2 %")</f>
        <v>- 3,2 %</v>
      </c>
      <c r="E168" s="1" t="str">
        <f>IFERROR(__xludf.DUMMYFUNCTION("""COMPUTED_VALUE"""),"- 9,6 %")</f>
        <v>- 9,6 %</v>
      </c>
    </row>
    <row r="169">
      <c r="A169" s="2">
        <f>IFERROR(__xludf.DUMMYFUNCTION("""COMPUTED_VALUE"""),41091.0)</f>
        <v>41091</v>
      </c>
      <c r="B169" s="1" t="str">
        <f>IFERROR(__xludf.DUMMYFUNCTION("""COMPUTED_VALUE"""),"2.812 €/m2")</f>
        <v>2.812 €/m2</v>
      </c>
      <c r="C169" s="1" t="str">
        <f>IFERROR(__xludf.DUMMYFUNCTION("""COMPUTED_VALUE"""),"- 0,2 %")</f>
        <v>- 0,2 %</v>
      </c>
      <c r="D169" s="1" t="str">
        <f>IFERROR(__xludf.DUMMYFUNCTION("""COMPUTED_VALUE"""),"- 1,9 %")</f>
        <v>- 1,9 %</v>
      </c>
      <c r="E169" s="1" t="str">
        <f>IFERROR(__xludf.DUMMYFUNCTION("""COMPUTED_VALUE"""),"- 9,8 %")</f>
        <v>- 9,8 %</v>
      </c>
    </row>
    <row r="170">
      <c r="A170" s="2">
        <f>IFERROR(__xludf.DUMMYFUNCTION("""COMPUTED_VALUE"""),41061.0)</f>
        <v>41061</v>
      </c>
      <c r="B170" s="1" t="str">
        <f>IFERROR(__xludf.DUMMYFUNCTION("""COMPUTED_VALUE"""),"2.818 €/m2")</f>
        <v>2.818 €/m2</v>
      </c>
      <c r="C170" s="1" t="str">
        <f>IFERROR(__xludf.DUMMYFUNCTION("""COMPUTED_VALUE"""),"- 1,7 %")</f>
        <v>- 1,7 %</v>
      </c>
      <c r="D170" s="1" t="str">
        <f>IFERROR(__xludf.DUMMYFUNCTION("""COMPUTED_VALUE"""),"- 5,0 %")</f>
        <v>- 5,0 %</v>
      </c>
      <c r="E170" s="1" t="str">
        <f>IFERROR(__xludf.DUMMYFUNCTION("""COMPUTED_VALUE"""),"- 10,9 %")</f>
        <v>- 10,9 %</v>
      </c>
    </row>
    <row r="171">
      <c r="A171" s="2">
        <f>IFERROR(__xludf.DUMMYFUNCTION("""COMPUTED_VALUE"""),41030.0)</f>
        <v>41030</v>
      </c>
      <c r="B171" s="1" t="str">
        <f>IFERROR(__xludf.DUMMYFUNCTION("""COMPUTED_VALUE"""),"2.868 €/m2")</f>
        <v>2.868 €/m2</v>
      </c>
      <c r="C171" s="1" t="str">
        <f>IFERROR(__xludf.DUMMYFUNCTION("""COMPUTED_VALUE"""),"0,0 %")</f>
        <v>0,0 %</v>
      </c>
      <c r="D171" s="1" t="str">
        <f>IFERROR(__xludf.DUMMYFUNCTION("""COMPUTED_VALUE"""),"- 4,3 %")</f>
        <v>- 4,3 %</v>
      </c>
      <c r="E171" s="1" t="str">
        <f>IFERROR(__xludf.DUMMYFUNCTION("""COMPUTED_VALUE"""),"- 9,6 %")</f>
        <v>- 9,6 %</v>
      </c>
    </row>
    <row r="172">
      <c r="A172" s="2">
        <f>IFERROR(__xludf.DUMMYFUNCTION("""COMPUTED_VALUE"""),41000.0)</f>
        <v>41000</v>
      </c>
      <c r="B172" s="1" t="str">
        <f>IFERROR(__xludf.DUMMYFUNCTION("""COMPUTED_VALUE"""),"2.866 €/m2")</f>
        <v>2.866 €/m2</v>
      </c>
      <c r="C172" s="1" t="str">
        <f>IFERROR(__xludf.DUMMYFUNCTION("""COMPUTED_VALUE"""),"- 3,4 %")</f>
        <v>- 3,4 %</v>
      </c>
      <c r="D172" s="1" t="str">
        <f>IFERROR(__xludf.DUMMYFUNCTION("""COMPUTED_VALUE"""),"- 6,0 %")</f>
        <v>- 6,0 %</v>
      </c>
      <c r="E172" s="1" t="str">
        <f>IFERROR(__xludf.DUMMYFUNCTION("""COMPUTED_VALUE"""),"- 9,8 %")</f>
        <v>- 9,8 %</v>
      </c>
    </row>
    <row r="173">
      <c r="A173" s="2">
        <f>IFERROR(__xludf.DUMMYFUNCTION("""COMPUTED_VALUE"""),40969.0)</f>
        <v>40969</v>
      </c>
      <c r="B173" s="1" t="str">
        <f>IFERROR(__xludf.DUMMYFUNCTION("""COMPUTED_VALUE"""),"2.966 €/m2")</f>
        <v>2.966 €/m2</v>
      </c>
      <c r="C173" s="1" t="str">
        <f>IFERROR(__xludf.DUMMYFUNCTION("""COMPUTED_VALUE"""),"- 1,0 %")</f>
        <v>- 1,0 %</v>
      </c>
      <c r="D173" s="1" t="str">
        <f>IFERROR(__xludf.DUMMYFUNCTION("""COMPUTED_VALUE"""),"- 2,6 %")</f>
        <v>- 2,6 %</v>
      </c>
      <c r="E173" s="1" t="str">
        <f>IFERROR(__xludf.DUMMYFUNCTION("""COMPUTED_VALUE"""),"- 7,3 %")</f>
        <v>- 7,3 %</v>
      </c>
    </row>
    <row r="174">
      <c r="A174" s="2">
        <f>IFERROR(__xludf.DUMMYFUNCTION("""COMPUTED_VALUE"""),40940.0)</f>
        <v>40940</v>
      </c>
      <c r="B174" s="1" t="str">
        <f>IFERROR(__xludf.DUMMYFUNCTION("""COMPUTED_VALUE"""),"2.997 €/m2")</f>
        <v>2.997 €/m2</v>
      </c>
      <c r="C174" s="1" t="str">
        <f>IFERROR(__xludf.DUMMYFUNCTION("""COMPUTED_VALUE"""),"- 1,7 %")</f>
        <v>- 1,7 %</v>
      </c>
      <c r="D174" s="1" t="str">
        <f>IFERROR(__xludf.DUMMYFUNCTION("""COMPUTED_VALUE"""),"- 0,9 %")</f>
        <v>- 0,9 %</v>
      </c>
      <c r="E174" s="1" t="str">
        <f>IFERROR(__xludf.DUMMYFUNCTION("""COMPUTED_VALUE"""),"- 5,3 %")</f>
        <v>- 5,3 %</v>
      </c>
    </row>
    <row r="175">
      <c r="A175" s="2">
        <f>IFERROR(__xludf.DUMMYFUNCTION("""COMPUTED_VALUE"""),40909.0)</f>
        <v>40909</v>
      </c>
      <c r="B175" s="1" t="str">
        <f>IFERROR(__xludf.DUMMYFUNCTION("""COMPUTED_VALUE"""),"3.048 €/m2")</f>
        <v>3.048 €/m2</v>
      </c>
      <c r="C175" s="1" t="str">
        <f>IFERROR(__xludf.DUMMYFUNCTION("""COMPUTED_VALUE"""),"+ 0,1 %")</f>
        <v>+ 0,1 %</v>
      </c>
      <c r="D175" s="1" t="str">
        <f>IFERROR(__xludf.DUMMYFUNCTION("""COMPUTED_VALUE"""),"- 1,1 %")</f>
        <v>- 1,1 %</v>
      </c>
      <c r="E175" s="1" t="str">
        <f>IFERROR(__xludf.DUMMYFUNCTION("""COMPUTED_VALUE"""),"- 5,1 %")</f>
        <v>- 5,1 %</v>
      </c>
    </row>
    <row r="176">
      <c r="A176" s="2">
        <f>IFERROR(__xludf.DUMMYFUNCTION("""COMPUTED_VALUE"""),40878.0)</f>
        <v>40878</v>
      </c>
      <c r="B176" s="1" t="str">
        <f>IFERROR(__xludf.DUMMYFUNCTION("""COMPUTED_VALUE"""),"3.046 €/m2")</f>
        <v>3.046 €/m2</v>
      </c>
      <c r="C176" s="1" t="str">
        <f>IFERROR(__xludf.DUMMYFUNCTION("""COMPUTED_VALUE"""),"+ 0,8 %")</f>
        <v>+ 0,8 %</v>
      </c>
      <c r="D176" s="1" t="str">
        <f>IFERROR(__xludf.DUMMYFUNCTION("""COMPUTED_VALUE"""),"- 0,6 %")</f>
        <v>- 0,6 %</v>
      </c>
      <c r="E176" s="1" t="str">
        <f>IFERROR(__xludf.DUMMYFUNCTION("""COMPUTED_VALUE"""),"- 5,2 %")</f>
        <v>- 5,2 %</v>
      </c>
    </row>
    <row r="177">
      <c r="A177" s="2">
        <f>IFERROR(__xludf.DUMMYFUNCTION("""COMPUTED_VALUE"""),40848.0)</f>
        <v>40848</v>
      </c>
      <c r="B177" s="1" t="str">
        <f>IFERROR(__xludf.DUMMYFUNCTION("""COMPUTED_VALUE"""),"3.023 €/m2")</f>
        <v>3.023 €/m2</v>
      </c>
      <c r="C177" s="1" t="str">
        <f>IFERROR(__xludf.DUMMYFUNCTION("""COMPUTED_VALUE"""),"- 1,9 %")</f>
        <v>- 1,9 %</v>
      </c>
      <c r="D177" s="1" t="str">
        <f>IFERROR(__xludf.DUMMYFUNCTION("""COMPUTED_VALUE"""),"- 1,6 %")</f>
        <v>- 1,6 %</v>
      </c>
      <c r="E177" s="1" t="str">
        <f>IFERROR(__xludf.DUMMYFUNCTION("""COMPUTED_VALUE"""),"- 7,2 %")</f>
        <v>- 7,2 %</v>
      </c>
    </row>
    <row r="178">
      <c r="A178" s="2">
        <f>IFERROR(__xludf.DUMMYFUNCTION("""COMPUTED_VALUE"""),40817.0)</f>
        <v>40817</v>
      </c>
      <c r="B178" s="1" t="str">
        <f>IFERROR(__xludf.DUMMYFUNCTION("""COMPUTED_VALUE"""),"3.081 €/m2")</f>
        <v>3.081 €/m2</v>
      </c>
      <c r="C178" s="1" t="str">
        <f>IFERROR(__xludf.DUMMYFUNCTION("""COMPUTED_VALUE"""),"+ 0,6 %")</f>
        <v>+ 0,6 %</v>
      </c>
      <c r="D178" s="1" t="str">
        <f>IFERROR(__xludf.DUMMYFUNCTION("""COMPUTED_VALUE"""),"- 1,2 %")</f>
        <v>- 1,2 %</v>
      </c>
      <c r="E178" s="1" t="str">
        <f>IFERROR(__xludf.DUMMYFUNCTION("""COMPUTED_VALUE"""),"- 3,3 %")</f>
        <v>- 3,3 %</v>
      </c>
    </row>
    <row r="179">
      <c r="A179" s="2">
        <f>IFERROR(__xludf.DUMMYFUNCTION("""COMPUTED_VALUE"""),40787.0)</f>
        <v>40787</v>
      </c>
      <c r="B179" s="1" t="str">
        <f>IFERROR(__xludf.DUMMYFUNCTION("""COMPUTED_VALUE"""),"3.064 €/m2")</f>
        <v>3.064 €/m2</v>
      </c>
      <c r="C179" s="1" t="str">
        <f>IFERROR(__xludf.DUMMYFUNCTION("""COMPUTED_VALUE"""),"- 0,2 %")</f>
        <v>- 0,2 %</v>
      </c>
      <c r="D179" s="1" t="str">
        <f>IFERROR(__xludf.DUMMYFUNCTION("""COMPUTED_VALUE"""),"- 3,1 %")</f>
        <v>- 3,1 %</v>
      </c>
      <c r="E179" s="1" t="str">
        <f>IFERROR(__xludf.DUMMYFUNCTION("""COMPUTED_VALUE"""),"- 3,2 %")</f>
        <v>- 3,2 %</v>
      </c>
    </row>
    <row r="180">
      <c r="A180" s="2">
        <f>IFERROR(__xludf.DUMMYFUNCTION("""COMPUTED_VALUE"""),40756.0)</f>
        <v>40756</v>
      </c>
      <c r="B180" s="1" t="str">
        <f>IFERROR(__xludf.DUMMYFUNCTION("""COMPUTED_VALUE"""),"3.071 €/m2")</f>
        <v>3.071 €/m2</v>
      </c>
      <c r="C180" s="1" t="str">
        <f>IFERROR(__xludf.DUMMYFUNCTION("""COMPUTED_VALUE"""),"- 1,5 %")</f>
        <v>- 1,5 %</v>
      </c>
      <c r="D180" s="1" t="str">
        <f>IFERROR(__xludf.DUMMYFUNCTION("""COMPUTED_VALUE"""),"- 3,2 %")</f>
        <v>- 3,2 %</v>
      </c>
      <c r="E180" s="1" t="str">
        <f>IFERROR(__xludf.DUMMYFUNCTION("""COMPUTED_VALUE"""),"- 2,4 %")</f>
        <v>- 2,4 %</v>
      </c>
    </row>
    <row r="181">
      <c r="A181" s="2">
        <f>IFERROR(__xludf.DUMMYFUNCTION("""COMPUTED_VALUE"""),40725.0)</f>
        <v>40725</v>
      </c>
      <c r="B181" s="1" t="str">
        <f>IFERROR(__xludf.DUMMYFUNCTION("""COMPUTED_VALUE"""),"3.119 €/m2")</f>
        <v>3.119 €/m2</v>
      </c>
      <c r="C181" s="1" t="str">
        <f>IFERROR(__xludf.DUMMYFUNCTION("""COMPUTED_VALUE"""),"- 1,3 %")</f>
        <v>- 1,3 %</v>
      </c>
      <c r="D181" s="1" t="str">
        <f>IFERROR(__xludf.DUMMYFUNCTION("""COMPUTED_VALUE"""),"- 1,8 %")</f>
        <v>- 1,8 %</v>
      </c>
      <c r="E181" s="1" t="str">
        <f>IFERROR(__xludf.DUMMYFUNCTION("""COMPUTED_VALUE"""),"- 0,9 %")</f>
        <v>- 0,9 %</v>
      </c>
    </row>
    <row r="182">
      <c r="A182" s="2">
        <f>IFERROR(__xludf.DUMMYFUNCTION("""COMPUTED_VALUE"""),40695.0)</f>
        <v>40695</v>
      </c>
      <c r="B182" s="1" t="str">
        <f>IFERROR(__xludf.DUMMYFUNCTION("""COMPUTED_VALUE"""),"3.161 €/m2")</f>
        <v>3.161 €/m2</v>
      </c>
      <c r="C182" s="1" t="str">
        <f>IFERROR(__xludf.DUMMYFUNCTION("""COMPUTED_VALUE"""),"- 0,3 %")</f>
        <v>- 0,3 %</v>
      </c>
      <c r="D182" s="1" t="str">
        <f>IFERROR(__xludf.DUMMYFUNCTION("""COMPUTED_VALUE"""),"- 1,2 %")</f>
        <v>- 1,2 %</v>
      </c>
      <c r="E182" s="1" t="str">
        <f>IFERROR(__xludf.DUMMYFUNCTION("""COMPUTED_VALUE"""),"- 0,2 %")</f>
        <v>- 0,2 %</v>
      </c>
    </row>
    <row r="183">
      <c r="A183" s="2">
        <f>IFERROR(__xludf.DUMMYFUNCTION("""COMPUTED_VALUE"""),40664.0)</f>
        <v>40664</v>
      </c>
      <c r="B183" s="1" t="str">
        <f>IFERROR(__xludf.DUMMYFUNCTION("""COMPUTED_VALUE"""),"3.172 €/m2")</f>
        <v>3.172 €/m2</v>
      </c>
      <c r="C183" s="1" t="str">
        <f>IFERROR(__xludf.DUMMYFUNCTION("""COMPUTED_VALUE"""),"- 0,2 %")</f>
        <v>- 0,2 %</v>
      </c>
      <c r="D183" s="1" t="str">
        <f>IFERROR(__xludf.DUMMYFUNCTION("""COMPUTED_VALUE"""),"+ 0,2 %")</f>
        <v>+ 0,2 %</v>
      </c>
      <c r="E183" s="1" t="str">
        <f>IFERROR(__xludf.DUMMYFUNCTION("""COMPUTED_VALUE"""),"- 0,4 %")</f>
        <v>- 0,4 %</v>
      </c>
    </row>
    <row r="184">
      <c r="A184" s="2">
        <f>IFERROR(__xludf.DUMMYFUNCTION("""COMPUTED_VALUE"""),40634.0)</f>
        <v>40634</v>
      </c>
      <c r="B184" s="1" t="str">
        <f>IFERROR(__xludf.DUMMYFUNCTION("""COMPUTED_VALUE"""),"3.177 €/m2")</f>
        <v>3.177 €/m2</v>
      </c>
      <c r="C184" s="1" t="str">
        <f>IFERROR(__xludf.DUMMYFUNCTION("""COMPUTED_VALUE"""),"- 0,7 %")</f>
        <v>- 0,7 %</v>
      </c>
      <c r="D184" s="1" t="str">
        <f>IFERROR(__xludf.DUMMYFUNCTION("""COMPUTED_VALUE"""),"- 1,1 %")</f>
        <v>- 1,1 %</v>
      </c>
      <c r="E184" s="1" t="str">
        <f>IFERROR(__xludf.DUMMYFUNCTION("""COMPUTED_VALUE"""),"- 0,9 %")</f>
        <v>- 0,9 %</v>
      </c>
    </row>
    <row r="185">
      <c r="A185" s="2">
        <f>IFERROR(__xludf.DUMMYFUNCTION("""COMPUTED_VALUE"""),40603.0)</f>
        <v>40603</v>
      </c>
      <c r="B185" s="1" t="str">
        <f>IFERROR(__xludf.DUMMYFUNCTION("""COMPUTED_VALUE"""),"3.201 €/m2")</f>
        <v>3.201 €/m2</v>
      </c>
      <c r="C185" s="1" t="str">
        <f>IFERROR(__xludf.DUMMYFUNCTION("""COMPUTED_VALUE"""),"+ 1,1 %")</f>
        <v>+ 1,1 %</v>
      </c>
      <c r="D185" s="1" t="str">
        <f>IFERROR(__xludf.DUMMYFUNCTION("""COMPUTED_VALUE"""),"- 0,4 %")</f>
        <v>- 0,4 %</v>
      </c>
      <c r="E185" s="1" t="str">
        <f>IFERROR(__xludf.DUMMYFUNCTION("""COMPUTED_VALUE"""),"+ 0,2 %")</f>
        <v>+ 0,2 %</v>
      </c>
    </row>
    <row r="186">
      <c r="A186" s="2">
        <f>IFERROR(__xludf.DUMMYFUNCTION("""COMPUTED_VALUE"""),40575.0)</f>
        <v>40575</v>
      </c>
      <c r="B186" s="1" t="str">
        <f>IFERROR(__xludf.DUMMYFUNCTION("""COMPUTED_VALUE"""),"3.164 €/m2")</f>
        <v>3.164 €/m2</v>
      </c>
      <c r="C186" s="1" t="str">
        <f>IFERROR(__xludf.DUMMYFUNCTION("""COMPUTED_VALUE"""),"- 1,5 %")</f>
        <v>- 1,5 %</v>
      </c>
      <c r="D186" s="1" t="str">
        <f>IFERROR(__xludf.DUMMYFUNCTION("""COMPUTED_VALUE"""),"- 2,8 %")</f>
        <v>- 2,8 %</v>
      </c>
      <c r="E186" s="1" t="str">
        <f>IFERROR(__xludf.DUMMYFUNCTION("""COMPUTED_VALUE"""),"- 1,0 %")</f>
        <v>- 1,0 %</v>
      </c>
    </row>
    <row r="187">
      <c r="A187" s="2">
        <f>IFERROR(__xludf.DUMMYFUNCTION("""COMPUTED_VALUE"""),40544.0)</f>
        <v>40544</v>
      </c>
      <c r="B187" s="1" t="str">
        <f>IFERROR(__xludf.DUMMYFUNCTION("""COMPUTED_VALUE"""),"3.211 €/m2")</f>
        <v>3.211 €/m2</v>
      </c>
      <c r="C187" s="1" t="str">
        <f>IFERROR(__xludf.DUMMYFUNCTION("""COMPUTED_VALUE"""),"- 0,1 %")</f>
        <v>- 0,1 %</v>
      </c>
      <c r="D187" s="1" t="str">
        <f>IFERROR(__xludf.DUMMYFUNCTION("""COMPUTED_VALUE"""),"+ 0,8 %")</f>
        <v>+ 0,8 %</v>
      </c>
      <c r="E187" s="1" t="str">
        <f>IFERROR(__xludf.DUMMYFUNCTION("""COMPUTED_VALUE"""),"+ 0,8 %")</f>
        <v>+ 0,8 %</v>
      </c>
    </row>
    <row r="188">
      <c r="A188" s="2">
        <f>IFERROR(__xludf.DUMMYFUNCTION("""COMPUTED_VALUE"""),40513.0)</f>
        <v>40513</v>
      </c>
      <c r="B188" s="1" t="str">
        <f>IFERROR(__xludf.DUMMYFUNCTION("""COMPUTED_VALUE"""),"3.214 €/m2")</f>
        <v>3.214 €/m2</v>
      </c>
      <c r="C188" s="1" t="str">
        <f>IFERROR(__xludf.DUMMYFUNCTION("""COMPUTED_VALUE"""),"- 1,3 %")</f>
        <v>- 1,3 %</v>
      </c>
      <c r="D188" s="1" t="str">
        <f>IFERROR(__xludf.DUMMYFUNCTION("""COMPUTED_VALUE"""),"+ 1,6 %")</f>
        <v>+ 1,6 %</v>
      </c>
      <c r="E188" s="1" t="str">
        <f>IFERROR(__xludf.DUMMYFUNCTION("""COMPUTED_VALUE"""),"+ 0,9 %")</f>
        <v>+ 0,9 %</v>
      </c>
    </row>
    <row r="189">
      <c r="A189" s="2">
        <f>IFERROR(__xludf.DUMMYFUNCTION("""COMPUTED_VALUE"""),40483.0)</f>
        <v>40483</v>
      </c>
      <c r="B189" s="1" t="str">
        <f>IFERROR(__xludf.DUMMYFUNCTION("""COMPUTED_VALUE"""),"3.256 €/m2")</f>
        <v>3.256 €/m2</v>
      </c>
      <c r="C189" s="1" t="str">
        <f>IFERROR(__xludf.DUMMYFUNCTION("""COMPUTED_VALUE"""),"+ 2,2 %")</f>
        <v>+ 2,2 %</v>
      </c>
      <c r="D189" s="1" t="str">
        <f>IFERROR(__xludf.DUMMYFUNCTION("""COMPUTED_VALUE"""),"+ 3,5 %")</f>
        <v>+ 3,5 %</v>
      </c>
      <c r="E189" s="1" t="str">
        <f>IFERROR(__xludf.DUMMYFUNCTION("""COMPUTED_VALUE"""),"+ 1,9 %")</f>
        <v>+ 1,9 %</v>
      </c>
    </row>
    <row r="190">
      <c r="A190" s="2">
        <f>IFERROR(__xludf.DUMMYFUNCTION("""COMPUTED_VALUE"""),40452.0)</f>
        <v>40452</v>
      </c>
      <c r="B190" s="1" t="str">
        <f>IFERROR(__xludf.DUMMYFUNCTION("""COMPUTED_VALUE"""),"3.187 €/m2")</f>
        <v>3.187 €/m2</v>
      </c>
      <c r="C190" s="1" t="str">
        <f>IFERROR(__xludf.DUMMYFUNCTION("""COMPUTED_VALUE"""),"+ 0,7 %")</f>
        <v>+ 0,7 %</v>
      </c>
      <c r="D190" s="1" t="str">
        <f>IFERROR(__xludf.DUMMYFUNCTION("""COMPUTED_VALUE"""),"+ 1,2 %")</f>
        <v>+ 1,2 %</v>
      </c>
      <c r="E190" s="1" t="str">
        <f>IFERROR(__xludf.DUMMYFUNCTION("""COMPUTED_VALUE"""),"+ 0,5 %")</f>
        <v>+ 0,5 %</v>
      </c>
    </row>
    <row r="191">
      <c r="A191" s="2">
        <f>IFERROR(__xludf.DUMMYFUNCTION("""COMPUTED_VALUE"""),40422.0)</f>
        <v>40422</v>
      </c>
      <c r="B191" s="1" t="str">
        <f>IFERROR(__xludf.DUMMYFUNCTION("""COMPUTED_VALUE"""),"3.164 €/m2")</f>
        <v>3.164 €/m2</v>
      </c>
      <c r="C191" s="1" t="str">
        <f>IFERROR(__xludf.DUMMYFUNCTION("""COMPUTED_VALUE"""),"+ 0,6 %")</f>
        <v>+ 0,6 %</v>
      </c>
      <c r="D191" s="1" t="str">
        <f>IFERROR(__xludf.DUMMYFUNCTION("""COMPUTED_VALUE"""),"- 0,1 %")</f>
        <v>- 0,1 %</v>
      </c>
      <c r="E191" s="1" t="str">
        <f>IFERROR(__xludf.DUMMYFUNCTION("""COMPUTED_VALUE"""),"+ 0,3 %")</f>
        <v>+ 0,3 %</v>
      </c>
    </row>
    <row r="192">
      <c r="A192" s="2">
        <f>IFERROR(__xludf.DUMMYFUNCTION("""COMPUTED_VALUE"""),40391.0)</f>
        <v>40391</v>
      </c>
      <c r="B192" s="1" t="str">
        <f>IFERROR(__xludf.DUMMYFUNCTION("""COMPUTED_VALUE"""),"3.145 €/m2")</f>
        <v>3.145 €/m2</v>
      </c>
      <c r="C192" s="1" t="str">
        <f>IFERROR(__xludf.DUMMYFUNCTION("""COMPUTED_VALUE"""),"- 0,1 %")</f>
        <v>- 0,1 %</v>
      </c>
      <c r="D192" s="1" t="str">
        <f>IFERROR(__xludf.DUMMYFUNCTION("""COMPUTED_VALUE"""),"- 1,2 %")</f>
        <v>- 1,2 %</v>
      </c>
      <c r="E192" s="1" t="str">
        <f>IFERROR(__xludf.DUMMYFUNCTION("""COMPUTED_VALUE"""),"+ 0,9 %")</f>
        <v>+ 0,9 %</v>
      </c>
    </row>
    <row r="193">
      <c r="A193" s="2">
        <f>IFERROR(__xludf.DUMMYFUNCTION("""COMPUTED_VALUE"""),40360.0)</f>
        <v>40360</v>
      </c>
      <c r="B193" s="1" t="str">
        <f>IFERROR(__xludf.DUMMYFUNCTION("""COMPUTED_VALUE"""),"3.148 €/m2")</f>
        <v>3.148 €/m2</v>
      </c>
      <c r="C193" s="1" t="str">
        <f>IFERROR(__xludf.DUMMYFUNCTION("""COMPUTED_VALUE"""),"- 0,6 %")</f>
        <v>- 0,6 %</v>
      </c>
      <c r="D193" s="1" t="str">
        <f>IFERROR(__xludf.DUMMYFUNCTION("""COMPUTED_VALUE"""),"- 1,8 %")</f>
        <v>- 1,8 %</v>
      </c>
      <c r="E193" s="1" t="str">
        <f>IFERROR(__xludf.DUMMYFUNCTION("""COMPUTED_VALUE"""),"- 1,7 %")</f>
        <v>- 1,7 %</v>
      </c>
    </row>
    <row r="194">
      <c r="A194" s="2">
        <f>IFERROR(__xludf.DUMMYFUNCTION("""COMPUTED_VALUE"""),40330.0)</f>
        <v>40330</v>
      </c>
      <c r="B194" s="1" t="str">
        <f>IFERROR(__xludf.DUMMYFUNCTION("""COMPUTED_VALUE"""),"3.167 €/m2")</f>
        <v>3.167 €/m2</v>
      </c>
      <c r="C194" s="1" t="str">
        <f>IFERROR(__xludf.DUMMYFUNCTION("""COMPUTED_VALUE"""),"- 0,6 %")</f>
        <v>- 0,6 %</v>
      </c>
      <c r="D194" s="1" t="str">
        <f>IFERROR(__xludf.DUMMYFUNCTION("""COMPUTED_VALUE"""),"- 0,9 %")</f>
        <v>- 0,9 %</v>
      </c>
      <c r="E194" s="1" t="str">
        <f>IFERROR(__xludf.DUMMYFUNCTION("""COMPUTED_VALUE"""),"- 2,5 %")</f>
        <v>- 2,5 %</v>
      </c>
    </row>
    <row r="195">
      <c r="A195" s="2">
        <f>IFERROR(__xludf.DUMMYFUNCTION("""COMPUTED_VALUE"""),40299.0)</f>
        <v>40299</v>
      </c>
      <c r="B195" s="1" t="str">
        <f>IFERROR(__xludf.DUMMYFUNCTION("""COMPUTED_VALUE"""),"3.184 €/m2")</f>
        <v>3.184 €/m2</v>
      </c>
      <c r="C195" s="1" t="str">
        <f>IFERROR(__xludf.DUMMYFUNCTION("""COMPUTED_VALUE"""),"- 0,7 %")</f>
        <v>- 0,7 %</v>
      </c>
      <c r="D195" s="1" t="str">
        <f>IFERROR(__xludf.DUMMYFUNCTION("""COMPUTED_VALUE"""),"- 0,4 %")</f>
        <v>- 0,4 %</v>
      </c>
      <c r="E195" s="1" t="str">
        <f>IFERROR(__xludf.DUMMYFUNCTION("""COMPUTED_VALUE"""),"- 1,4 %")</f>
        <v>- 1,4 %</v>
      </c>
    </row>
    <row r="196">
      <c r="A196" s="2">
        <f>IFERROR(__xludf.DUMMYFUNCTION("""COMPUTED_VALUE"""),40269.0)</f>
        <v>40269</v>
      </c>
      <c r="B196" s="1" t="str">
        <f>IFERROR(__xludf.DUMMYFUNCTION("""COMPUTED_VALUE"""),"3.207 €/m2")</f>
        <v>3.207 €/m2</v>
      </c>
      <c r="C196" s="1" t="str">
        <f>IFERROR(__xludf.DUMMYFUNCTION("""COMPUTED_VALUE"""),"+ 0,4 %")</f>
        <v>+ 0,4 %</v>
      </c>
      <c r="D196" s="1" t="str">
        <f>IFERROR(__xludf.DUMMYFUNCTION("""COMPUTED_VALUE"""),"+ 0,6 %")</f>
        <v>+ 0,6 %</v>
      </c>
      <c r="E196" s="1" t="str">
        <f>IFERROR(__xludf.DUMMYFUNCTION("""COMPUTED_VALUE"""),"- 3,0 %")</f>
        <v>- 3,0 %</v>
      </c>
    </row>
    <row r="197">
      <c r="A197" s="2">
        <f>IFERROR(__xludf.DUMMYFUNCTION("""COMPUTED_VALUE"""),40238.0)</f>
        <v>40238</v>
      </c>
      <c r="B197" s="1" t="str">
        <f>IFERROR(__xludf.DUMMYFUNCTION("""COMPUTED_VALUE"""),"3.195 €/m2")</f>
        <v>3.195 €/m2</v>
      </c>
      <c r="C197" s="1" t="str">
        <f>IFERROR(__xludf.DUMMYFUNCTION("""COMPUTED_VALUE"""),"0,0 %")</f>
        <v>0,0 %</v>
      </c>
      <c r="D197" s="1" t="str">
        <f>IFERROR(__xludf.DUMMYFUNCTION("""COMPUTED_VALUE"""),"+ 0,2 %")</f>
        <v>+ 0,2 %</v>
      </c>
      <c r="E197" s="1" t="str">
        <f>IFERROR(__xludf.DUMMYFUNCTION("""COMPUTED_VALUE"""),"- 2,1 %")</f>
        <v>- 2,1 %</v>
      </c>
    </row>
    <row r="198">
      <c r="A198" s="2">
        <f>IFERROR(__xludf.DUMMYFUNCTION("""COMPUTED_VALUE"""),40210.0)</f>
        <v>40210</v>
      </c>
      <c r="B198" s="1" t="str">
        <f>IFERROR(__xludf.DUMMYFUNCTION("""COMPUTED_VALUE"""),"3.196 €/m2")</f>
        <v>3.196 €/m2</v>
      </c>
      <c r="C198" s="1" t="str">
        <f>IFERROR(__xludf.DUMMYFUNCTION("""COMPUTED_VALUE"""),"+ 0,3 %")</f>
        <v>+ 0,3 %</v>
      </c>
      <c r="D198" s="1" t="str">
        <f>IFERROR(__xludf.DUMMYFUNCTION("""COMPUTED_VALUE"""),"0,0 %")</f>
        <v>0,0 %</v>
      </c>
      <c r="E198" s="1" t="str">
        <f>IFERROR(__xludf.DUMMYFUNCTION("""COMPUTED_VALUE"""),"- 1,0 %")</f>
        <v>- 1,0 %</v>
      </c>
    </row>
    <row r="199">
      <c r="A199" s="2">
        <f>IFERROR(__xludf.DUMMYFUNCTION("""COMPUTED_VALUE"""),40179.0)</f>
        <v>40179</v>
      </c>
      <c r="B199" s="1" t="str">
        <f>IFERROR(__xludf.DUMMYFUNCTION("""COMPUTED_VALUE"""),"3.187 €/m2")</f>
        <v>3.187 €/m2</v>
      </c>
      <c r="C199" s="1" t="str">
        <f>IFERROR(__xludf.DUMMYFUNCTION("""COMPUTED_VALUE"""),"0,0 %")</f>
        <v>0,0 %</v>
      </c>
      <c r="D199" s="1" t="str">
        <f>IFERROR(__xludf.DUMMYFUNCTION("""COMPUTED_VALUE"""),"+ 0,5 %")</f>
        <v>+ 0,5 %</v>
      </c>
      <c r="E199" s="1" t="str">
        <f>IFERROR(__xludf.DUMMYFUNCTION("""COMPUTED_VALUE"""),"- 0,7 %")</f>
        <v>- 0,7 %</v>
      </c>
    </row>
    <row r="200">
      <c r="A200" s="2">
        <f>IFERROR(__xludf.DUMMYFUNCTION("""COMPUTED_VALUE"""),40148.0)</f>
        <v>40148</v>
      </c>
      <c r="B200" s="1" t="str">
        <f>IFERROR(__xludf.DUMMYFUNCTION("""COMPUTED_VALUE"""),"3.187 €/m2")</f>
        <v>3.187 €/m2</v>
      </c>
      <c r="C200" s="1" t="str">
        <f>IFERROR(__xludf.DUMMYFUNCTION("""COMPUTED_VALUE"""),"- 0,3 %")</f>
        <v>- 0,3 %</v>
      </c>
      <c r="D200" s="1" t="str">
        <f>IFERROR(__xludf.DUMMYFUNCTION("""COMPUTED_VALUE"""),"+ 1,0 %")</f>
        <v>+ 1,0 %</v>
      </c>
      <c r="E200" s="1" t="str">
        <f>IFERROR(__xludf.DUMMYFUNCTION("""COMPUTED_VALUE"""),"- 3,8 %")</f>
        <v>- 3,8 %</v>
      </c>
    </row>
    <row r="201">
      <c r="A201" s="2">
        <f>IFERROR(__xludf.DUMMYFUNCTION("""COMPUTED_VALUE"""),40118.0)</f>
        <v>40118</v>
      </c>
      <c r="B201" s="1" t="str">
        <f>IFERROR(__xludf.DUMMYFUNCTION("""COMPUTED_VALUE"""),"3.196 €/m2")</f>
        <v>3.196 €/m2</v>
      </c>
      <c r="C201" s="1" t="str">
        <f>IFERROR(__xludf.DUMMYFUNCTION("""COMPUTED_VALUE"""),"+ 0,8 %")</f>
        <v>+ 0,8 %</v>
      </c>
      <c r="D201" s="1" t="str">
        <f>IFERROR(__xludf.DUMMYFUNCTION("""COMPUTED_VALUE"""),"+ 2,5 %")</f>
        <v>+ 2,5 %</v>
      </c>
      <c r="E201" s="1" t="str">
        <f>IFERROR(__xludf.DUMMYFUNCTION("""COMPUTED_VALUE"""),"- 6,8 %")</f>
        <v>- 6,8 %</v>
      </c>
    </row>
    <row r="202">
      <c r="A202" s="2">
        <f>IFERROR(__xludf.DUMMYFUNCTION("""COMPUTED_VALUE"""),40087.0)</f>
        <v>40087</v>
      </c>
      <c r="B202" s="1" t="str">
        <f>IFERROR(__xludf.DUMMYFUNCTION("""COMPUTED_VALUE"""),"3.170 €/m2")</f>
        <v>3.170 €/m2</v>
      </c>
      <c r="C202" s="1" t="str">
        <f>IFERROR(__xludf.DUMMYFUNCTION("""COMPUTED_VALUE"""),"+ 0,5 %")</f>
        <v>+ 0,5 %</v>
      </c>
      <c r="D202" s="1" t="str">
        <f>IFERROR(__xludf.DUMMYFUNCTION("""COMPUTED_VALUE"""),"- 1,0 %")</f>
        <v>- 1,0 %</v>
      </c>
      <c r="E202" s="1" t="str">
        <f>IFERROR(__xludf.DUMMYFUNCTION("""COMPUTED_VALUE"""),"- 7,1 %")</f>
        <v>- 7,1 %</v>
      </c>
    </row>
    <row r="203">
      <c r="A203" s="2">
        <f>IFERROR(__xludf.DUMMYFUNCTION("""COMPUTED_VALUE"""),40057.0)</f>
        <v>40057</v>
      </c>
      <c r="B203" s="1" t="str">
        <f>IFERROR(__xludf.DUMMYFUNCTION("""COMPUTED_VALUE"""),"3.155 €/m2")</f>
        <v>3.155 €/m2</v>
      </c>
      <c r="C203" s="1" t="str">
        <f>IFERROR(__xludf.DUMMYFUNCTION("""COMPUTED_VALUE"""),"+ 1,2 %")</f>
        <v>+ 1,2 %</v>
      </c>
      <c r="D203" s="1" t="str">
        <f>IFERROR(__xludf.DUMMYFUNCTION("""COMPUTED_VALUE"""),"- 2,9 %")</f>
        <v>- 2,9 %</v>
      </c>
      <c r="E203" s="1" t="str">
        <f>IFERROR(__xludf.DUMMYFUNCTION("""COMPUTED_VALUE"""),"- 5,5 %")</f>
        <v>- 5,5 %</v>
      </c>
    </row>
    <row r="204">
      <c r="A204" s="2">
        <f>IFERROR(__xludf.DUMMYFUNCTION("""COMPUTED_VALUE"""),40026.0)</f>
        <v>40026</v>
      </c>
      <c r="B204" s="1" t="str">
        <f>IFERROR(__xludf.DUMMYFUNCTION("""COMPUTED_VALUE"""),"3.118 €/m2")</f>
        <v>3.118 €/m2</v>
      </c>
      <c r="C204" s="1" t="str">
        <f>IFERROR(__xludf.DUMMYFUNCTION("""COMPUTED_VALUE"""),"- 2,6 %")</f>
        <v>- 2,6 %</v>
      </c>
      <c r="D204" s="1" t="str">
        <f>IFERROR(__xludf.DUMMYFUNCTION("""COMPUTED_VALUE"""),"- 3,4 %")</f>
        <v>- 3,4 %</v>
      </c>
      <c r="E204" s="1" t="str">
        <f>IFERROR(__xludf.DUMMYFUNCTION("""COMPUTED_VALUE"""),"- 6,7 %")</f>
        <v>- 6,7 %</v>
      </c>
    </row>
    <row r="205">
      <c r="A205" s="2">
        <f>IFERROR(__xludf.DUMMYFUNCTION("""COMPUTED_VALUE"""),39995.0)</f>
        <v>39995</v>
      </c>
      <c r="B205" s="1" t="str">
        <f>IFERROR(__xludf.DUMMYFUNCTION("""COMPUTED_VALUE"""),"3.201 €/m2")</f>
        <v>3.201 €/m2</v>
      </c>
      <c r="C205" s="1" t="str">
        <f>IFERROR(__xludf.DUMMYFUNCTION("""COMPUTED_VALUE"""),"- 1,4 %")</f>
        <v>- 1,4 %</v>
      </c>
      <c r="D205" s="1" t="str">
        <f>IFERROR(__xludf.DUMMYFUNCTION("""COMPUTED_VALUE"""),"- 3,2 %")</f>
        <v>- 3,2 %</v>
      </c>
      <c r="E205" s="1" t="str">
        <f>IFERROR(__xludf.DUMMYFUNCTION("""COMPUTED_VALUE"""),"- 3,3 %")</f>
        <v>- 3,3 %</v>
      </c>
    </row>
    <row r="206">
      <c r="A206" s="2">
        <f>IFERROR(__xludf.DUMMYFUNCTION("""COMPUTED_VALUE"""),39965.0)</f>
        <v>39965</v>
      </c>
      <c r="B206" s="1" t="str">
        <f>IFERROR(__xludf.DUMMYFUNCTION("""COMPUTED_VALUE"""),"3.248 €/m2")</f>
        <v>3.248 €/m2</v>
      </c>
      <c r="C206" s="1" t="str">
        <f>IFERROR(__xludf.DUMMYFUNCTION("""COMPUTED_VALUE"""),"+ 0,6 %")</f>
        <v>+ 0,6 %</v>
      </c>
      <c r="D206" s="1" t="str">
        <f>IFERROR(__xludf.DUMMYFUNCTION("""COMPUTED_VALUE"""),"- 0,5 %")</f>
        <v>- 0,5 %</v>
      </c>
      <c r="E206" s="1" t="str">
        <f>IFERROR(__xludf.DUMMYFUNCTION("""COMPUTED_VALUE"""),"- 3,7 %")</f>
        <v>- 3,7 %</v>
      </c>
    </row>
    <row r="207">
      <c r="A207" s="2">
        <f>IFERROR(__xludf.DUMMYFUNCTION("""COMPUTED_VALUE"""),39934.0)</f>
        <v>39934</v>
      </c>
      <c r="B207" s="1" t="str">
        <f>IFERROR(__xludf.DUMMYFUNCTION("""COMPUTED_VALUE"""),"3.229 €/m2")</f>
        <v>3.229 €/m2</v>
      </c>
      <c r="C207" s="1" t="str">
        <f>IFERROR(__xludf.DUMMYFUNCTION("""COMPUTED_VALUE"""),"- 2,3 %")</f>
        <v>- 2,3 %</v>
      </c>
      <c r="D207" s="1" t="str">
        <f>IFERROR(__xludf.DUMMYFUNCTION("""COMPUTED_VALUE"""),"0,0 %")</f>
        <v>0,0 %</v>
      </c>
      <c r="E207" s="1" t="str">
        <f>IFERROR(__xludf.DUMMYFUNCTION("""COMPUTED_VALUE"""),"- 8,0 %")</f>
        <v>- 8,0 %</v>
      </c>
    </row>
    <row r="208">
      <c r="A208" s="2">
        <f>IFERROR(__xludf.DUMMYFUNCTION("""COMPUTED_VALUE"""),39904.0)</f>
        <v>39904</v>
      </c>
      <c r="B208" s="1" t="str">
        <f>IFERROR(__xludf.DUMMYFUNCTION("""COMPUTED_VALUE"""),"3.306 €/m2")</f>
        <v>3.306 €/m2</v>
      </c>
      <c r="C208" s="1" t="str">
        <f>IFERROR(__xludf.DUMMYFUNCTION("""COMPUTED_VALUE"""),"+ 1,3 %")</f>
        <v>+ 1,3 %</v>
      </c>
      <c r="D208" s="1" t="str">
        <f>IFERROR(__xludf.DUMMYFUNCTION("""COMPUTED_VALUE"""),"+ 3,0 %")</f>
        <v>+ 3,0 %</v>
      </c>
      <c r="E208" s="1" t="str">
        <f>IFERROR(__xludf.DUMMYFUNCTION("""COMPUTED_VALUE"""),"- 6,4 %")</f>
        <v>- 6,4 %</v>
      </c>
    </row>
    <row r="209">
      <c r="A209" s="2">
        <f>IFERROR(__xludf.DUMMYFUNCTION("""COMPUTED_VALUE"""),39873.0)</f>
        <v>39873</v>
      </c>
      <c r="B209" s="1" t="str">
        <f>IFERROR(__xludf.DUMMYFUNCTION("""COMPUTED_VALUE"""),"3.265 €/m2")</f>
        <v>3.265 €/m2</v>
      </c>
      <c r="C209" s="1" t="str">
        <f>IFERROR(__xludf.DUMMYFUNCTION("""COMPUTED_VALUE"""),"+ 1,1 %")</f>
        <v>+ 1,1 %</v>
      </c>
      <c r="D209" s="1" t="str">
        <f>IFERROR(__xludf.DUMMYFUNCTION("""COMPUTED_VALUE"""),"- 1,5 %")</f>
        <v>- 1,5 %</v>
      </c>
      <c r="E209" s="1" t="str">
        <f>IFERROR(__xludf.DUMMYFUNCTION("""COMPUTED_VALUE"""),"- 8,3 %")</f>
        <v>- 8,3 %</v>
      </c>
    </row>
    <row r="210">
      <c r="A210" s="2">
        <f>IFERROR(__xludf.DUMMYFUNCTION("""COMPUTED_VALUE"""),39845.0)</f>
        <v>39845</v>
      </c>
      <c r="B210" s="1" t="str">
        <f>IFERROR(__xludf.DUMMYFUNCTION("""COMPUTED_VALUE"""),"3.228 €/m2")</f>
        <v>3.228 €/m2</v>
      </c>
      <c r="C210" s="1" t="str">
        <f>IFERROR(__xludf.DUMMYFUNCTION("""COMPUTED_VALUE"""),"+ 0,6 %")</f>
        <v>+ 0,6 %</v>
      </c>
      <c r="D210" s="1" t="str">
        <f>IFERROR(__xludf.DUMMYFUNCTION("""COMPUTED_VALUE"""),"- 5,9 %")</f>
        <v>- 5,9 %</v>
      </c>
      <c r="E210" s="1" t="str">
        <f>IFERROR(__xludf.DUMMYFUNCTION("""COMPUTED_VALUE"""),"- 8,2 %")</f>
        <v>- 8,2 %</v>
      </c>
    </row>
    <row r="211">
      <c r="A211" s="2">
        <f>IFERROR(__xludf.DUMMYFUNCTION("""COMPUTED_VALUE"""),39814.0)</f>
        <v>39814</v>
      </c>
      <c r="B211" s="1" t="str">
        <f>IFERROR(__xludf.DUMMYFUNCTION("""COMPUTED_VALUE"""),"3.209 €/m2")</f>
        <v>3.209 €/m2</v>
      </c>
      <c r="C211" s="1" t="str">
        <f>IFERROR(__xludf.DUMMYFUNCTION("""COMPUTED_VALUE"""),"- 3,2 %")</f>
        <v>- 3,2 %</v>
      </c>
      <c r="D211" s="1" t="str">
        <f>IFERROR(__xludf.DUMMYFUNCTION("""COMPUTED_VALUE"""),"- 6,0 %")</f>
        <v>- 6,0 %</v>
      </c>
      <c r="E211" s="1" t="str">
        <f>IFERROR(__xludf.DUMMYFUNCTION("""COMPUTED_VALUE"""),"- 5,9 %")</f>
        <v>- 5,9 %</v>
      </c>
    </row>
    <row r="212">
      <c r="A212" s="2">
        <f>IFERROR(__xludf.DUMMYFUNCTION("""COMPUTED_VALUE"""),39783.0)</f>
        <v>39783</v>
      </c>
      <c r="B212" s="1" t="str">
        <f>IFERROR(__xludf.DUMMYFUNCTION("""COMPUTED_VALUE"""),"3.314 €/m2")</f>
        <v>3.314 €/m2</v>
      </c>
      <c r="C212" s="1" t="str">
        <f>IFERROR(__xludf.DUMMYFUNCTION("""COMPUTED_VALUE"""),"- 3,4 %")</f>
        <v>- 3,4 %</v>
      </c>
      <c r="D212" s="1" t="str">
        <f>IFERROR(__xludf.DUMMYFUNCTION("""COMPUTED_VALUE"""),"- 0,7 %")</f>
        <v>- 0,7 %</v>
      </c>
      <c r="E212" s="1" t="str">
        <f>IFERROR(__xludf.DUMMYFUNCTION("""COMPUTED_VALUE"""),"- 4,1 %")</f>
        <v>- 4,1 %</v>
      </c>
    </row>
    <row r="213">
      <c r="A213" s="2">
        <f>IFERROR(__xludf.DUMMYFUNCTION("""COMPUTED_VALUE"""),39753.0)</f>
        <v>39753</v>
      </c>
      <c r="B213" s="1" t="str">
        <f>IFERROR(__xludf.DUMMYFUNCTION("""COMPUTED_VALUE"""),"3.429 €/m2")</f>
        <v>3.429 €/m2</v>
      </c>
      <c r="C213" s="1" t="str">
        <f>IFERROR(__xludf.DUMMYFUNCTION("""COMPUTED_VALUE"""),"+ 0,5 %")</f>
        <v>+ 0,5 %</v>
      </c>
      <c r="D213" s="1" t="str">
        <f>IFERROR(__xludf.DUMMYFUNCTION("""COMPUTED_VALUE"""),"+ 2,6 %")</f>
        <v>+ 2,6 %</v>
      </c>
      <c r="E213" s="1" t="str">
        <f>IFERROR(__xludf.DUMMYFUNCTION("""COMPUTED_VALUE"""),"- 3,7 %")</f>
        <v>- 3,7 %</v>
      </c>
    </row>
    <row r="214">
      <c r="A214" s="2">
        <f>IFERROR(__xludf.DUMMYFUNCTION("""COMPUTED_VALUE"""),39722.0)</f>
        <v>39722</v>
      </c>
      <c r="B214" s="1" t="str">
        <f>IFERROR(__xludf.DUMMYFUNCTION("""COMPUTED_VALUE"""),"3.414 €/m2")</f>
        <v>3.414 €/m2</v>
      </c>
      <c r="C214" s="1" t="str">
        <f>IFERROR(__xludf.DUMMYFUNCTION("""COMPUTED_VALUE"""),"+ 2,3 %")</f>
        <v>+ 2,3 %</v>
      </c>
      <c r="D214" s="1" t="str">
        <f>IFERROR(__xludf.DUMMYFUNCTION("""COMPUTED_VALUE"""),"+ 3,2 %")</f>
        <v>+ 3,2 %</v>
      </c>
      <c r="E214" s="1" t="str">
        <f>IFERROR(__xludf.DUMMYFUNCTION("""COMPUTED_VALUE"""),"- 5,2 %")</f>
        <v>- 5,2 %</v>
      </c>
    </row>
    <row r="215">
      <c r="A215" s="2">
        <f>IFERROR(__xludf.DUMMYFUNCTION("""COMPUTED_VALUE"""),39692.0)</f>
        <v>39692</v>
      </c>
      <c r="B215" s="1" t="str">
        <f>IFERROR(__xludf.DUMMYFUNCTION("""COMPUTED_VALUE"""),"3.337 €/m2")</f>
        <v>3.337 €/m2</v>
      </c>
      <c r="C215" s="1" t="str">
        <f>IFERROR(__xludf.DUMMYFUNCTION("""COMPUTED_VALUE"""),"- 0,2 %")</f>
        <v>- 0,2 %</v>
      </c>
      <c r="D215" s="1" t="str">
        <f>IFERROR(__xludf.DUMMYFUNCTION("""COMPUTED_VALUE"""),"- 1,1 %")</f>
        <v>- 1,1 %</v>
      </c>
      <c r="E215" s="1" t="str">
        <f>IFERROR(__xludf.DUMMYFUNCTION("""COMPUTED_VALUE"""),"- 5,1 %")</f>
        <v>- 5,1 %</v>
      </c>
    </row>
    <row r="216">
      <c r="A216" s="2">
        <f>IFERROR(__xludf.DUMMYFUNCTION("""COMPUTED_VALUE"""),39661.0)</f>
        <v>39661</v>
      </c>
      <c r="B216" s="1" t="str">
        <f>IFERROR(__xludf.DUMMYFUNCTION("""COMPUTED_VALUE"""),"3.343 €/m2")</f>
        <v>3.343 €/m2</v>
      </c>
      <c r="C216" s="1" t="str">
        <f>IFERROR(__xludf.DUMMYFUNCTION("""COMPUTED_VALUE"""),"+ 1,0 %")</f>
        <v>+ 1,0 %</v>
      </c>
      <c r="D216" s="1" t="str">
        <f>IFERROR(__xludf.DUMMYFUNCTION("""COMPUTED_VALUE"""),"- 4,8 %")</f>
        <v>- 4,8 %</v>
      </c>
      <c r="E216" s="1" t="str">
        <f>IFERROR(__xludf.DUMMYFUNCTION("""COMPUTED_VALUE"""),"- 5,0 %")</f>
        <v>- 5,0 %</v>
      </c>
    </row>
    <row r="217">
      <c r="A217" s="2">
        <f>IFERROR(__xludf.DUMMYFUNCTION("""COMPUTED_VALUE"""),39630.0)</f>
        <v>39630</v>
      </c>
      <c r="B217" s="1" t="str">
        <f>IFERROR(__xludf.DUMMYFUNCTION("""COMPUTED_VALUE"""),"3.309 €/m2")</f>
        <v>3.309 €/m2</v>
      </c>
      <c r="C217" s="1" t="str">
        <f>IFERROR(__xludf.DUMMYFUNCTION("""COMPUTED_VALUE"""),"- 1,9 %")</f>
        <v>- 1,9 %</v>
      </c>
      <c r="D217" s="1" t="str">
        <f>IFERROR(__xludf.DUMMYFUNCTION("""COMPUTED_VALUE"""),"- 6,3 %")</f>
        <v>- 6,3 %</v>
      </c>
      <c r="E217" s="1" t="str">
        <f>IFERROR(__xludf.DUMMYFUNCTION("""COMPUTED_VALUE"""),"- 3,3 %")</f>
        <v>- 3,3 %</v>
      </c>
    </row>
    <row r="218">
      <c r="A218" s="2">
        <f>IFERROR(__xludf.DUMMYFUNCTION("""COMPUTED_VALUE"""),39600.0)</f>
        <v>39600</v>
      </c>
      <c r="B218" s="1" t="str">
        <f>IFERROR(__xludf.DUMMYFUNCTION("""COMPUTED_VALUE"""),"3.373 €/m2")</f>
        <v>3.373 €/m2</v>
      </c>
      <c r="C218" s="1" t="str">
        <f>IFERROR(__xludf.DUMMYFUNCTION("""COMPUTED_VALUE"""),"- 3,9 %")</f>
        <v>- 3,9 %</v>
      </c>
      <c r="D218" s="1" t="str">
        <f>IFERROR(__xludf.DUMMYFUNCTION("""COMPUTED_VALUE"""),"- 5,3 %")</f>
        <v>- 5,3 %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IFERROR(__xludf.DUMMYFUNCTION("""COMPUTED_VALUE"""),"3.511 €/m2")</f>
        <v>3.511 €/m2</v>
      </c>
      <c r="C219" s="1" t="str">
        <f>IFERROR(__xludf.DUMMYFUNCTION("""COMPUTED_VALUE"""),"- 0,6 %")</f>
        <v>- 0,6 %</v>
      </c>
      <c r="D219" s="1" t="str">
        <f>IFERROR(__xludf.DUMMYFUNCTION("""COMPUTED_VALUE"""),"- 0,1 %")</f>
        <v>- 0,1 %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IFERROR(__xludf.DUMMYFUNCTION("""COMPUTED_VALUE"""),"3.531 €/m2")</f>
        <v>3.531 €/m2</v>
      </c>
      <c r="C220" s="1" t="str">
        <f>IFERROR(__xludf.DUMMYFUNCTION("""COMPUTED_VALUE"""),"- 0,8 %")</f>
        <v>- 0,8 %</v>
      </c>
      <c r="D220" s="1" t="str">
        <f>IFERROR(__xludf.DUMMYFUNCTION("""COMPUTED_VALUE"""),"+ 3,6 %")</f>
        <v>+ 3,6 %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IFERROR(__xludf.DUMMYFUNCTION("""COMPUTED_VALUE"""),"3.561 €/m2")</f>
        <v>3.561 €/m2</v>
      </c>
      <c r="C221" s="1" t="str">
        <f>IFERROR(__xludf.DUMMYFUNCTION("""COMPUTED_VALUE"""),"+ 1,3 %")</f>
        <v>+ 1,3 %</v>
      </c>
      <c r="D221" s="1" t="str">
        <f>IFERROR(__xludf.DUMMYFUNCTION("""COMPUTED_VALUE"""),"+ 3,0 %")</f>
        <v>+ 3,0 %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IFERROR(__xludf.DUMMYFUNCTION("""COMPUTED_VALUE"""),"3.515 €/m2")</f>
        <v>3.515 €/m2</v>
      </c>
      <c r="C222" s="1" t="str">
        <f>IFERROR(__xludf.DUMMYFUNCTION("""COMPUTED_VALUE"""),"+ 3,1 %")</f>
        <v>+ 3,1 %</v>
      </c>
      <c r="D222" s="1" t="str">
        <f>IFERROR(__xludf.DUMMYFUNCTION("""COMPUTED_VALUE"""),"- 1,2 %")</f>
        <v>- 1,2 %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IFERROR(__xludf.DUMMYFUNCTION("""COMPUTED_VALUE"""),"3.408 €/m2")</f>
        <v>3.408 €/m2</v>
      </c>
      <c r="C223" s="1" t="str">
        <f>IFERROR(__xludf.DUMMYFUNCTION("""COMPUTED_VALUE"""),"- 1,4 %")</f>
        <v>- 1,4 %</v>
      </c>
      <c r="D223" s="1" t="str">
        <f>IFERROR(__xludf.DUMMYFUNCTION("""COMPUTED_VALUE"""),"- 5,3 %")</f>
        <v>- 5,3 %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IFERROR(__xludf.DUMMYFUNCTION("""COMPUTED_VALUE"""),"3.457 €/m2")</f>
        <v>3.457 €/m2</v>
      </c>
      <c r="C224" s="1" t="str">
        <f>IFERROR(__xludf.DUMMYFUNCTION("""COMPUTED_VALUE"""),"- 2,9 %")</f>
        <v>- 2,9 %</v>
      </c>
      <c r="D224" s="1" t="str">
        <f>IFERROR(__xludf.DUMMYFUNCTION("""COMPUTED_VALUE"""),"- 1,7 %")</f>
        <v>- 1,7 %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IFERROR(__xludf.DUMMYFUNCTION("""COMPUTED_VALUE"""),"3.560 €/m2")</f>
        <v>3.560 €/m2</v>
      </c>
      <c r="C225" s="1" t="str">
        <f>IFERROR(__xludf.DUMMYFUNCTION("""COMPUTED_VALUE"""),"- 1,1 %")</f>
        <v>- 1,1 %</v>
      </c>
      <c r="D225" s="1" t="str">
        <f>IFERROR(__xludf.DUMMYFUNCTION("""COMPUTED_VALUE"""),"+ 1,1 %")</f>
        <v>+ 1,1 %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IFERROR(__xludf.DUMMYFUNCTION("""COMPUTED_VALUE"""),"3.601 €/m2")</f>
        <v>3.601 €/m2</v>
      </c>
      <c r="C226" s="1" t="str">
        <f>IFERROR(__xludf.DUMMYFUNCTION("""COMPUTED_VALUE"""),"+ 2,3 %")</f>
        <v>+ 2,3 %</v>
      </c>
      <c r="D226" s="1" t="str">
        <f>IFERROR(__xludf.DUMMYFUNCTION("""COMPUTED_VALUE"""),"+ 5,2 %")</f>
        <v>+ 5,2 %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IFERROR(__xludf.DUMMYFUNCTION("""COMPUTED_VALUE"""),"3.519 €/m2")</f>
        <v>3.519 €/m2</v>
      </c>
      <c r="C227" s="1" t="str">
        <f>IFERROR(__xludf.DUMMYFUNCTION("""COMPUTED_VALUE"""),"0,0 %")</f>
        <v>0,0 %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IFERROR(__xludf.DUMMYFUNCTION("""COMPUTED_VALUE"""),"3.519 €/m2")</f>
        <v>3.519 €/m2</v>
      </c>
      <c r="C228" s="1" t="str">
        <f>IFERROR(__xludf.DUMMYFUNCTION("""COMPUTED_VALUE"""),"+ 2,9 %")</f>
        <v>+ 2,9 %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IFERROR(__xludf.DUMMYFUNCTION("""COMPUTED_VALUE"""),"3.421 €/m2")</f>
        <v>3.421 €/m2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IFERROR(__xludf.DUMMYFUNCTION("IMPORTHTML(""https://www.idealista.com/sala-de-prensa/informes-precio-vivienda/venta/madrid-comunidad/madrid-provincia/madrid/fuencarral/historico/"",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IFERROR(__xludf.DUMMYFUNCTION("""COMPUTED_VALUE"""),"5.485 €/m2")</f>
        <v>5.485 €/m2</v>
      </c>
      <c r="C2" s="1" t="str">
        <f>IFERROR(__xludf.DUMMYFUNCTION("""COMPUTED_VALUE"""),"+ 0,5 %")</f>
        <v>+ 0,5 %</v>
      </c>
      <c r="D2" s="1" t="str">
        <f>IFERROR(__xludf.DUMMYFUNCTION("""COMPUTED_VALUE"""),"+ 2,2 %")</f>
        <v>+ 2,2 %</v>
      </c>
      <c r="E2" s="1" t="str">
        <f>IFERROR(__xludf.DUMMYFUNCTION("""COMPUTED_VALUE"""),"+ 12,0 %")</f>
        <v>+ 12,0 %</v>
      </c>
    </row>
    <row r="3">
      <c r="A3" s="2">
        <f>IFERROR(__xludf.DUMMYFUNCTION("""COMPUTED_VALUE"""),46143.0)</f>
        <v>46143</v>
      </c>
      <c r="B3" s="1" t="str">
        <f>IFERROR(__xludf.DUMMYFUNCTION("""COMPUTED_VALUE"""),"5.459 €/m2")</f>
        <v>5.459 €/m2</v>
      </c>
      <c r="C3" s="1" t="str">
        <f>IFERROR(__xludf.DUMMYFUNCTION("""COMPUTED_VALUE"""),"+ 0,7 %")</f>
        <v>+ 0,7 %</v>
      </c>
      <c r="D3" s="1" t="str">
        <f>IFERROR(__xludf.DUMMYFUNCTION("""COMPUTED_VALUE"""),"+ 2,3 %")</f>
        <v>+ 2,3 %</v>
      </c>
      <c r="E3" s="1" t="str">
        <f>IFERROR(__xludf.DUMMYFUNCTION("""COMPUTED_VALUE"""),"+ 13,0 %")</f>
        <v>+ 13,0 %</v>
      </c>
    </row>
    <row r="4">
      <c r="A4" s="2">
        <f>IFERROR(__xludf.DUMMYFUNCTION("""COMPUTED_VALUE"""),46113.0)</f>
        <v>46113</v>
      </c>
      <c r="B4" s="1" t="str">
        <f>IFERROR(__xludf.DUMMYFUNCTION("""COMPUTED_VALUE"""),"5.423 €/m2")</f>
        <v>5.423 €/m2</v>
      </c>
      <c r="C4" s="1" t="str">
        <f>IFERROR(__xludf.DUMMYFUNCTION("""COMPUTED_VALUE"""),"+ 1,0 %")</f>
        <v>+ 1,0 %</v>
      </c>
      <c r="D4" s="1" t="str">
        <f>IFERROR(__xludf.DUMMYFUNCTION("""COMPUTED_VALUE"""),"+ 2,5 %")</f>
        <v>+ 2,5 %</v>
      </c>
      <c r="E4" s="1" t="str">
        <f>IFERROR(__xludf.DUMMYFUNCTION("""COMPUTED_VALUE"""),"+ 14,1 %")</f>
        <v>+ 14,1 %</v>
      </c>
    </row>
    <row r="5">
      <c r="A5" s="2">
        <f>IFERROR(__xludf.DUMMYFUNCTION("""COMPUTED_VALUE"""),46082.0)</f>
        <v>46082</v>
      </c>
      <c r="B5" s="1" t="str">
        <f>IFERROR(__xludf.DUMMYFUNCTION("""COMPUTED_VALUE"""),"5.369 €/m2")</f>
        <v>5.369 €/m2</v>
      </c>
      <c r="C5" s="1" t="str">
        <f>IFERROR(__xludf.DUMMYFUNCTION("""COMPUTED_VALUE"""),"+ 0,6 %")</f>
        <v>+ 0,6 %</v>
      </c>
      <c r="D5" s="1" t="str">
        <f>IFERROR(__xludf.DUMMYFUNCTION("""COMPUTED_VALUE"""),"+ 1,3 %")</f>
        <v>+ 1,3 %</v>
      </c>
      <c r="E5" s="1" t="str">
        <f>IFERROR(__xludf.DUMMYFUNCTION("""COMPUTED_VALUE"""),"+ 17,4 %")</f>
        <v>+ 17,4 %</v>
      </c>
    </row>
    <row r="6">
      <c r="A6" s="2">
        <f>IFERROR(__xludf.DUMMYFUNCTION("""COMPUTED_VALUE"""),46054.0)</f>
        <v>46054</v>
      </c>
      <c r="B6" s="1" t="str">
        <f>IFERROR(__xludf.DUMMYFUNCTION("""COMPUTED_VALUE"""),"5.335 €/m2")</f>
        <v>5.335 €/m2</v>
      </c>
      <c r="C6" s="1" t="str">
        <f>IFERROR(__xludf.DUMMYFUNCTION("""COMPUTED_VALUE"""),"+ 0,8 %")</f>
        <v>+ 0,8 %</v>
      </c>
      <c r="D6" s="1" t="str">
        <f>IFERROR(__xludf.DUMMYFUNCTION("""COMPUTED_VALUE"""),"+ 1,5 %")</f>
        <v>+ 1,5 %</v>
      </c>
      <c r="E6" s="1" t="str">
        <f>IFERROR(__xludf.DUMMYFUNCTION("""COMPUTED_VALUE"""),"+ 18,4 %")</f>
        <v>+ 18,4 %</v>
      </c>
    </row>
    <row r="7">
      <c r="A7" s="2">
        <f>IFERROR(__xludf.DUMMYFUNCTION("""COMPUTED_VALUE"""),46023.0)</f>
        <v>46023</v>
      </c>
      <c r="B7" s="1" t="str">
        <f>IFERROR(__xludf.DUMMYFUNCTION("""COMPUTED_VALUE"""),"5.292 €/m2")</f>
        <v>5.292 €/m2</v>
      </c>
      <c r="C7" s="1" t="str">
        <f>IFERROR(__xludf.DUMMYFUNCTION("""COMPUTED_VALUE"""),"- 0,2 %")</f>
        <v>- 0,2 %</v>
      </c>
      <c r="D7" s="1" t="str">
        <f>IFERROR(__xludf.DUMMYFUNCTION("""COMPUTED_VALUE"""),"+ 3,8 %")</f>
        <v>+ 3,8 %</v>
      </c>
      <c r="E7" s="1" t="str">
        <f>IFERROR(__xludf.DUMMYFUNCTION("""COMPUTED_VALUE"""),"+ 21,6 %")</f>
        <v>+ 21,6 %</v>
      </c>
    </row>
    <row r="8">
      <c r="A8" s="2">
        <f>IFERROR(__xludf.DUMMYFUNCTION("""COMPUTED_VALUE"""),45992.0)</f>
        <v>45992</v>
      </c>
      <c r="B8" s="1" t="str">
        <f>IFERROR(__xludf.DUMMYFUNCTION("""COMPUTED_VALUE"""),"5.301 €/m2")</f>
        <v>5.301 €/m2</v>
      </c>
      <c r="C8" s="1" t="str">
        <f>IFERROR(__xludf.DUMMYFUNCTION("""COMPUTED_VALUE"""),"+ 0,8 %")</f>
        <v>+ 0,8 %</v>
      </c>
      <c r="D8" s="1" t="str">
        <f>IFERROR(__xludf.DUMMYFUNCTION("""COMPUTED_VALUE"""),"+ 5,4 %")</f>
        <v>+ 5,4 %</v>
      </c>
      <c r="E8" s="1" t="str">
        <f>IFERROR(__xludf.DUMMYFUNCTION("""COMPUTED_VALUE"""),"+ 22,4 %")</f>
        <v>+ 22,4 %</v>
      </c>
    </row>
    <row r="9">
      <c r="A9" s="2">
        <f>IFERROR(__xludf.DUMMYFUNCTION("""COMPUTED_VALUE"""),45962.0)</f>
        <v>45962</v>
      </c>
      <c r="B9" s="1" t="str">
        <f>IFERROR(__xludf.DUMMYFUNCTION("""COMPUTED_VALUE"""),"5.257 €/m2")</f>
        <v>5.257 €/m2</v>
      </c>
      <c r="C9" s="1" t="str">
        <f>IFERROR(__xludf.DUMMYFUNCTION("""COMPUTED_VALUE"""),"+ 3,1 %")</f>
        <v>+ 3,1 %</v>
      </c>
      <c r="D9" s="1" t="str">
        <f>IFERROR(__xludf.DUMMYFUNCTION("""COMPUTED_VALUE"""),"+ 5,4 %")</f>
        <v>+ 5,4 %</v>
      </c>
      <c r="E9" s="1" t="str">
        <f>IFERROR(__xludf.DUMMYFUNCTION("""COMPUTED_VALUE"""),"+ 22,1 %")</f>
        <v>+ 22,1 %</v>
      </c>
    </row>
    <row r="10">
      <c r="A10" s="2">
        <f>IFERROR(__xludf.DUMMYFUNCTION("""COMPUTED_VALUE"""),45931.0)</f>
        <v>45931</v>
      </c>
      <c r="B10" s="1" t="str">
        <f>IFERROR(__xludf.DUMMYFUNCTION("""COMPUTED_VALUE"""),"5.098 €/m2")</f>
        <v>5.098 €/m2</v>
      </c>
      <c r="C10" s="1" t="str">
        <f>IFERROR(__xludf.DUMMYFUNCTION("""COMPUTED_VALUE"""),"+ 1,3 %")</f>
        <v>+ 1,3 %</v>
      </c>
      <c r="D10" s="1" t="str">
        <f>IFERROR(__xludf.DUMMYFUNCTION("""COMPUTED_VALUE"""),"+ 2,7 %")</f>
        <v>+ 2,7 %</v>
      </c>
      <c r="E10" s="1" t="str">
        <f>IFERROR(__xludf.DUMMYFUNCTION("""COMPUTED_VALUE"""),"+ 19,8 %")</f>
        <v>+ 19,8 %</v>
      </c>
    </row>
    <row r="11">
      <c r="A11" s="2">
        <f>IFERROR(__xludf.DUMMYFUNCTION("""COMPUTED_VALUE"""),45901.0)</f>
        <v>45901</v>
      </c>
      <c r="B11" s="1" t="str">
        <f>IFERROR(__xludf.DUMMYFUNCTION("""COMPUTED_VALUE"""),"5.030 €/m2")</f>
        <v>5.030 €/m2</v>
      </c>
      <c r="C11" s="1" t="str">
        <f>IFERROR(__xludf.DUMMYFUNCTION("""COMPUTED_VALUE"""),"+ 0,8 %")</f>
        <v>+ 0,8 %</v>
      </c>
      <c r="D11" s="1" t="str">
        <f>IFERROR(__xludf.DUMMYFUNCTION("""COMPUTED_VALUE"""),"+ 2,7 %")</f>
        <v>+ 2,7 %</v>
      </c>
      <c r="E11" s="1" t="str">
        <f>IFERROR(__xludf.DUMMYFUNCTION("""COMPUTED_VALUE"""),"+ 22,4 %")</f>
        <v>+ 22,4 %</v>
      </c>
    </row>
    <row r="12">
      <c r="A12" s="2">
        <f>IFERROR(__xludf.DUMMYFUNCTION("""COMPUTED_VALUE"""),45870.0)</f>
        <v>45870</v>
      </c>
      <c r="B12" s="1" t="str">
        <f>IFERROR(__xludf.DUMMYFUNCTION("""COMPUTED_VALUE"""),"4.990 €/m2")</f>
        <v>4.990 €/m2</v>
      </c>
      <c r="C12" s="1" t="str">
        <f>IFERROR(__xludf.DUMMYFUNCTION("""COMPUTED_VALUE"""),"+ 0,5 %")</f>
        <v>+ 0,5 %</v>
      </c>
      <c r="D12" s="1" t="str">
        <f>IFERROR(__xludf.DUMMYFUNCTION("""COMPUTED_VALUE"""),"+ 3,3 %")</f>
        <v>+ 3,3 %</v>
      </c>
      <c r="E12" s="1" t="str">
        <f>IFERROR(__xludf.DUMMYFUNCTION("""COMPUTED_VALUE"""),"+ 22,1 %")</f>
        <v>+ 22,1 %</v>
      </c>
    </row>
    <row r="13">
      <c r="A13" s="2">
        <f>IFERROR(__xludf.DUMMYFUNCTION("""COMPUTED_VALUE"""),45839.0)</f>
        <v>45839</v>
      </c>
      <c r="B13" s="1" t="str">
        <f>IFERROR(__xludf.DUMMYFUNCTION("""COMPUTED_VALUE"""),"4.963 €/m2")</f>
        <v>4.963 €/m2</v>
      </c>
      <c r="C13" s="1" t="str">
        <f>IFERROR(__xludf.DUMMYFUNCTION("""COMPUTED_VALUE"""),"+ 1,3 %")</f>
        <v>+ 1,3 %</v>
      </c>
      <c r="D13" s="1" t="str">
        <f>IFERROR(__xludf.DUMMYFUNCTION("""COMPUTED_VALUE"""),"+ 4,4 %")</f>
        <v>+ 4,4 %</v>
      </c>
      <c r="E13" s="1" t="str">
        <f>IFERROR(__xludf.DUMMYFUNCTION("""COMPUTED_VALUE"""),"+ 23,0 %")</f>
        <v>+ 23,0 %</v>
      </c>
    </row>
    <row r="14">
      <c r="A14" s="2">
        <f>IFERROR(__xludf.DUMMYFUNCTION("""COMPUTED_VALUE"""),45809.0)</f>
        <v>45809</v>
      </c>
      <c r="B14" s="1" t="str">
        <f>IFERROR(__xludf.DUMMYFUNCTION("""COMPUTED_VALUE"""),"4.898 €/m2")</f>
        <v>4.898 €/m2</v>
      </c>
      <c r="C14" s="1" t="str">
        <f>IFERROR(__xludf.DUMMYFUNCTION("""COMPUTED_VALUE"""),"+ 1,4 %")</f>
        <v>+ 1,4 %</v>
      </c>
      <c r="D14" s="1" t="str">
        <f>IFERROR(__xludf.DUMMYFUNCTION("""COMPUTED_VALUE"""),"+ 7,1 %")</f>
        <v>+ 7,1 %</v>
      </c>
      <c r="E14" s="1" t="str">
        <f>IFERROR(__xludf.DUMMYFUNCTION("""COMPUTED_VALUE"""),"+ 21,3 %")</f>
        <v>+ 21,3 %</v>
      </c>
    </row>
    <row r="15">
      <c r="A15" s="2">
        <f>IFERROR(__xludf.DUMMYFUNCTION("""COMPUTED_VALUE"""),45778.0)</f>
        <v>45778</v>
      </c>
      <c r="B15" s="1" t="str">
        <f>IFERROR(__xludf.DUMMYFUNCTION("""COMPUTED_VALUE"""),"4.829 €/m2")</f>
        <v>4.829 €/m2</v>
      </c>
      <c r="C15" s="1" t="str">
        <f>IFERROR(__xludf.DUMMYFUNCTION("""COMPUTED_VALUE"""),"+ 1,6 %")</f>
        <v>+ 1,6 %</v>
      </c>
      <c r="D15" s="1" t="str">
        <f>IFERROR(__xludf.DUMMYFUNCTION("""COMPUTED_VALUE"""),"+ 7,2 %")</f>
        <v>+ 7,2 %</v>
      </c>
      <c r="E15" s="1" t="str">
        <f>IFERROR(__xludf.DUMMYFUNCTION("""COMPUTED_VALUE"""),"+ 20,6 %")</f>
        <v>+ 20,6 %</v>
      </c>
    </row>
    <row r="16">
      <c r="A16" s="2">
        <f>IFERROR(__xludf.DUMMYFUNCTION("""COMPUTED_VALUE"""),45748.0)</f>
        <v>45748</v>
      </c>
      <c r="B16" s="1" t="str">
        <f>IFERROR(__xludf.DUMMYFUNCTION("""COMPUTED_VALUE"""),"4.752 €/m2")</f>
        <v>4.752 €/m2</v>
      </c>
      <c r="C16" s="1" t="str">
        <f>IFERROR(__xludf.DUMMYFUNCTION("""COMPUTED_VALUE"""),"+ 3,9 %")</f>
        <v>+ 3,9 %</v>
      </c>
      <c r="D16" s="1" t="str">
        <f>IFERROR(__xludf.DUMMYFUNCTION("""COMPUTED_VALUE"""),"+ 9,2 %")</f>
        <v>+ 9,2 %</v>
      </c>
      <c r="E16" s="1" t="str">
        <f>IFERROR(__xludf.DUMMYFUNCTION("""COMPUTED_VALUE"""),"+ 20,7 %")</f>
        <v>+ 20,7 %</v>
      </c>
    </row>
    <row r="17">
      <c r="A17" s="2">
        <f>IFERROR(__xludf.DUMMYFUNCTION("""COMPUTED_VALUE"""),45717.0)</f>
        <v>45717</v>
      </c>
      <c r="B17" s="1" t="str">
        <f>IFERROR(__xludf.DUMMYFUNCTION("""COMPUTED_VALUE"""),"4.572 €/m2")</f>
        <v>4.572 €/m2</v>
      </c>
      <c r="C17" s="1" t="str">
        <f>IFERROR(__xludf.DUMMYFUNCTION("""COMPUTED_VALUE"""),"+ 1,5 %")</f>
        <v>+ 1,5 %</v>
      </c>
      <c r="D17" s="1" t="str">
        <f>IFERROR(__xludf.DUMMYFUNCTION("""COMPUTED_VALUE"""),"+ 5,5 %")</f>
        <v>+ 5,5 %</v>
      </c>
      <c r="E17" s="1" t="str">
        <f>IFERROR(__xludf.DUMMYFUNCTION("""COMPUTED_VALUE"""),"+ 17,0 %")</f>
        <v>+ 17,0 %</v>
      </c>
    </row>
    <row r="18">
      <c r="A18" s="2">
        <f>IFERROR(__xludf.DUMMYFUNCTION("""COMPUTED_VALUE"""),45689.0)</f>
        <v>45689</v>
      </c>
      <c r="B18" s="1" t="str">
        <f>IFERROR(__xludf.DUMMYFUNCTION("""COMPUTED_VALUE"""),"4.505 €/m2")</f>
        <v>4.505 €/m2</v>
      </c>
      <c r="C18" s="1" t="str">
        <f>IFERROR(__xludf.DUMMYFUNCTION("""COMPUTED_VALUE"""),"+ 3,5 %")</f>
        <v>+ 3,5 %</v>
      </c>
      <c r="D18" s="1" t="str">
        <f>IFERROR(__xludf.DUMMYFUNCTION("""COMPUTED_VALUE"""),"+ 4,6 %")</f>
        <v>+ 4,6 %</v>
      </c>
      <c r="E18" s="1" t="str">
        <f>IFERROR(__xludf.DUMMYFUNCTION("""COMPUTED_VALUE"""),"+ 16,1 %")</f>
        <v>+ 16,1 %</v>
      </c>
    </row>
    <row r="19">
      <c r="A19" s="2">
        <f>IFERROR(__xludf.DUMMYFUNCTION("""COMPUTED_VALUE"""),45658.0)</f>
        <v>45658</v>
      </c>
      <c r="B19" s="1" t="str">
        <f>IFERROR(__xludf.DUMMYFUNCTION("""COMPUTED_VALUE"""),"4.351 €/m2")</f>
        <v>4.351 €/m2</v>
      </c>
      <c r="C19" s="1" t="str">
        <f>IFERROR(__xludf.DUMMYFUNCTION("""COMPUTED_VALUE"""),"+ 0,4 %")</f>
        <v>+ 0,4 %</v>
      </c>
      <c r="D19" s="1" t="str">
        <f>IFERROR(__xludf.DUMMYFUNCTION("""COMPUTED_VALUE"""),"+ 2,3 %")</f>
        <v>+ 2,3 %</v>
      </c>
      <c r="E19" s="1" t="str">
        <f>IFERROR(__xludf.DUMMYFUNCTION("""COMPUTED_VALUE"""),"+ 12,5 %")</f>
        <v>+ 12,5 %</v>
      </c>
    </row>
    <row r="20">
      <c r="A20" s="2">
        <f>IFERROR(__xludf.DUMMYFUNCTION("""COMPUTED_VALUE"""),45627.0)</f>
        <v>45627</v>
      </c>
      <c r="B20" s="1" t="str">
        <f>IFERROR(__xludf.DUMMYFUNCTION("""COMPUTED_VALUE"""),"4.333 €/m2")</f>
        <v>4.333 €/m2</v>
      </c>
      <c r="C20" s="1" t="str">
        <f>IFERROR(__xludf.DUMMYFUNCTION("""COMPUTED_VALUE"""),"+ 0,6 %")</f>
        <v>+ 0,6 %</v>
      </c>
      <c r="D20" s="1" t="str">
        <f>IFERROR(__xludf.DUMMYFUNCTION("""COMPUTED_VALUE"""),"+ 5,4 %")</f>
        <v>+ 5,4 %</v>
      </c>
      <c r="E20" s="1" t="str">
        <f>IFERROR(__xludf.DUMMYFUNCTION("""COMPUTED_VALUE"""),"+ 12,7 %")</f>
        <v>+ 12,7 %</v>
      </c>
    </row>
    <row r="21">
      <c r="A21" s="2">
        <f>IFERROR(__xludf.DUMMYFUNCTION("""COMPUTED_VALUE"""),45597.0)</f>
        <v>45597</v>
      </c>
      <c r="B21" s="1" t="str">
        <f>IFERROR(__xludf.DUMMYFUNCTION("""COMPUTED_VALUE"""),"4.305 €/m2")</f>
        <v>4.305 €/m2</v>
      </c>
      <c r="C21" s="1" t="str">
        <f>IFERROR(__xludf.DUMMYFUNCTION("""COMPUTED_VALUE"""),"+ 1,2 %")</f>
        <v>+ 1,2 %</v>
      </c>
      <c r="D21" s="1" t="str">
        <f>IFERROR(__xludf.DUMMYFUNCTION("""COMPUTED_VALUE"""),"+ 5,3 %")</f>
        <v>+ 5,3 %</v>
      </c>
      <c r="E21" s="1" t="str">
        <f>IFERROR(__xludf.DUMMYFUNCTION("""COMPUTED_VALUE"""),"+ 12,7 %")</f>
        <v>+ 12,7 %</v>
      </c>
    </row>
    <row r="22">
      <c r="A22" s="2">
        <f>IFERROR(__xludf.DUMMYFUNCTION("""COMPUTED_VALUE"""),45566.0)</f>
        <v>45566</v>
      </c>
      <c r="B22" s="1" t="str">
        <f>IFERROR(__xludf.DUMMYFUNCTION("""COMPUTED_VALUE"""),"4.255 €/m2")</f>
        <v>4.255 €/m2</v>
      </c>
      <c r="C22" s="1" t="str">
        <f>IFERROR(__xludf.DUMMYFUNCTION("""COMPUTED_VALUE"""),"+ 3,5 %")</f>
        <v>+ 3,5 %</v>
      </c>
      <c r="D22" s="1" t="str">
        <f>IFERROR(__xludf.DUMMYFUNCTION("""COMPUTED_VALUE"""),"+ 5,4 %")</f>
        <v>+ 5,4 %</v>
      </c>
      <c r="E22" s="1" t="str">
        <f>IFERROR(__xludf.DUMMYFUNCTION("""COMPUTED_VALUE"""),"+ 11,6 %")</f>
        <v>+ 11,6 %</v>
      </c>
    </row>
    <row r="23">
      <c r="A23" s="2">
        <f>IFERROR(__xludf.DUMMYFUNCTION("""COMPUTED_VALUE"""),45536.0)</f>
        <v>45536</v>
      </c>
      <c r="B23" s="1" t="str">
        <f>IFERROR(__xludf.DUMMYFUNCTION("""COMPUTED_VALUE"""),"4.109 €/m2")</f>
        <v>4.109 €/m2</v>
      </c>
      <c r="C23" s="1" t="str">
        <f>IFERROR(__xludf.DUMMYFUNCTION("""COMPUTED_VALUE"""),"+ 0,5 %")</f>
        <v>+ 0,5 %</v>
      </c>
      <c r="D23" s="1" t="str">
        <f>IFERROR(__xludf.DUMMYFUNCTION("""COMPUTED_VALUE"""),"+ 1,8 %")</f>
        <v>+ 1,8 %</v>
      </c>
      <c r="E23" s="1" t="str">
        <f>IFERROR(__xludf.DUMMYFUNCTION("""COMPUTED_VALUE"""),"+ 7,1 %")</f>
        <v>+ 7,1 %</v>
      </c>
    </row>
    <row r="24">
      <c r="A24" s="2">
        <f>IFERROR(__xludf.DUMMYFUNCTION("""COMPUTED_VALUE"""),45505.0)</f>
        <v>45505</v>
      </c>
      <c r="B24" s="1" t="str">
        <f>IFERROR(__xludf.DUMMYFUNCTION("""COMPUTED_VALUE"""),"4.088 €/m2")</f>
        <v>4.088 €/m2</v>
      </c>
      <c r="C24" s="1" t="str">
        <f>IFERROR(__xludf.DUMMYFUNCTION("""COMPUTED_VALUE"""),"+ 1,3 %")</f>
        <v>+ 1,3 %</v>
      </c>
      <c r="D24" s="1" t="str">
        <f>IFERROR(__xludf.DUMMYFUNCTION("""COMPUTED_VALUE"""),"+ 2,1 %")</f>
        <v>+ 2,1 %</v>
      </c>
      <c r="E24" s="1" t="str">
        <f>IFERROR(__xludf.DUMMYFUNCTION("""COMPUTED_VALUE"""),"+ 6,9 %")</f>
        <v>+ 6,9 %</v>
      </c>
    </row>
    <row r="25">
      <c r="A25" s="2">
        <f>IFERROR(__xludf.DUMMYFUNCTION("""COMPUTED_VALUE"""),45474.0)</f>
        <v>45474</v>
      </c>
      <c r="B25" s="1" t="str">
        <f>IFERROR(__xludf.DUMMYFUNCTION("""COMPUTED_VALUE"""),"4.036 €/m2")</f>
        <v>4.036 €/m2</v>
      </c>
      <c r="C25" s="1" t="str">
        <f>IFERROR(__xludf.DUMMYFUNCTION("""COMPUTED_VALUE"""),"- 0,1 %")</f>
        <v>- 0,1 %</v>
      </c>
      <c r="D25" s="1" t="str">
        <f>IFERROR(__xludf.DUMMYFUNCTION("""COMPUTED_VALUE"""),"+ 2,5 %")</f>
        <v>+ 2,5 %</v>
      </c>
      <c r="E25" s="1" t="str">
        <f>IFERROR(__xludf.DUMMYFUNCTION("""COMPUTED_VALUE"""),"+ 5,5 %")</f>
        <v>+ 5,5 %</v>
      </c>
    </row>
    <row r="26">
      <c r="A26" s="2">
        <f>IFERROR(__xludf.DUMMYFUNCTION("""COMPUTED_VALUE"""),45444.0)</f>
        <v>45444</v>
      </c>
      <c r="B26" s="1" t="str">
        <f>IFERROR(__xludf.DUMMYFUNCTION("""COMPUTED_VALUE"""),"4.038 €/m2")</f>
        <v>4.038 €/m2</v>
      </c>
      <c r="C26" s="1" t="str">
        <f>IFERROR(__xludf.DUMMYFUNCTION("""COMPUTED_VALUE"""),"+ 0,8 %")</f>
        <v>+ 0,8 %</v>
      </c>
      <c r="D26" s="1" t="str">
        <f>IFERROR(__xludf.DUMMYFUNCTION("""COMPUTED_VALUE"""),"+ 3,3 %")</f>
        <v>+ 3,3 %</v>
      </c>
      <c r="E26" s="1" t="str">
        <f>IFERROR(__xludf.DUMMYFUNCTION("""COMPUTED_VALUE"""),"+ 5,4 %")</f>
        <v>+ 5,4 %</v>
      </c>
    </row>
    <row r="27">
      <c r="A27" s="2">
        <f>IFERROR(__xludf.DUMMYFUNCTION("""COMPUTED_VALUE"""),45413.0)</f>
        <v>45413</v>
      </c>
      <c r="B27" s="1" t="str">
        <f>IFERROR(__xludf.DUMMYFUNCTION("""COMPUTED_VALUE"""),"4.005 €/m2")</f>
        <v>4.005 €/m2</v>
      </c>
      <c r="C27" s="1" t="str">
        <f>IFERROR(__xludf.DUMMYFUNCTION("""COMPUTED_VALUE"""),"+ 1,7 %")</f>
        <v>+ 1,7 %</v>
      </c>
      <c r="D27" s="1" t="str">
        <f>IFERROR(__xludf.DUMMYFUNCTION("""COMPUTED_VALUE"""),"+ 3,2 %")</f>
        <v>+ 3,2 %</v>
      </c>
      <c r="E27" s="1" t="str">
        <f>IFERROR(__xludf.DUMMYFUNCTION("""COMPUTED_VALUE"""),"+ 4,7 %")</f>
        <v>+ 4,7 %</v>
      </c>
    </row>
    <row r="28">
      <c r="A28" s="2">
        <f>IFERROR(__xludf.DUMMYFUNCTION("""COMPUTED_VALUE"""),45383.0)</f>
        <v>45383</v>
      </c>
      <c r="B28" s="1" t="str">
        <f>IFERROR(__xludf.DUMMYFUNCTION("""COMPUTED_VALUE"""),"3.936 €/m2")</f>
        <v>3.936 €/m2</v>
      </c>
      <c r="C28" s="1" t="str">
        <f>IFERROR(__xludf.DUMMYFUNCTION("""COMPUTED_VALUE"""),"+ 0,7 %")</f>
        <v>+ 0,7 %</v>
      </c>
      <c r="D28" s="1" t="str">
        <f>IFERROR(__xludf.DUMMYFUNCTION("""COMPUTED_VALUE"""),"+ 1,8 %")</f>
        <v>+ 1,8 %</v>
      </c>
      <c r="E28" s="1" t="str">
        <f>IFERROR(__xludf.DUMMYFUNCTION("""COMPUTED_VALUE"""),"+ 3,5 %")</f>
        <v>+ 3,5 %</v>
      </c>
    </row>
    <row r="29">
      <c r="A29" s="2">
        <f>IFERROR(__xludf.DUMMYFUNCTION("""COMPUTED_VALUE"""),45352.0)</f>
        <v>45352</v>
      </c>
      <c r="B29" s="1" t="str">
        <f>IFERROR(__xludf.DUMMYFUNCTION("""COMPUTED_VALUE"""),"3.909 €/m2")</f>
        <v>3.909 €/m2</v>
      </c>
      <c r="C29" s="1" t="str">
        <f>IFERROR(__xludf.DUMMYFUNCTION("""COMPUTED_VALUE"""),"+ 0,7 %")</f>
        <v>+ 0,7 %</v>
      </c>
      <c r="D29" s="1" t="str">
        <f>IFERROR(__xludf.DUMMYFUNCTION("""COMPUTED_VALUE"""),"+ 1,7 %")</f>
        <v>+ 1,7 %</v>
      </c>
      <c r="E29" s="1" t="str">
        <f>IFERROR(__xludf.DUMMYFUNCTION("""COMPUTED_VALUE"""),"+ 3,5 %")</f>
        <v>+ 3,5 %</v>
      </c>
    </row>
    <row r="30">
      <c r="A30" s="2">
        <f>IFERROR(__xludf.DUMMYFUNCTION("""COMPUTED_VALUE"""),45323.0)</f>
        <v>45323</v>
      </c>
      <c r="B30" s="1" t="str">
        <f>IFERROR(__xludf.DUMMYFUNCTION("""COMPUTED_VALUE"""),"3.882 €/m2")</f>
        <v>3.882 €/m2</v>
      </c>
      <c r="C30" s="1" t="str">
        <f>IFERROR(__xludf.DUMMYFUNCTION("""COMPUTED_VALUE"""),"+ 0,4 %")</f>
        <v>+ 0,4 %</v>
      </c>
      <c r="D30" s="1" t="str">
        <f>IFERROR(__xludf.DUMMYFUNCTION("""COMPUTED_VALUE"""),"+ 1,6 %")</f>
        <v>+ 1,6 %</v>
      </c>
      <c r="E30" s="1" t="str">
        <f>IFERROR(__xludf.DUMMYFUNCTION("""COMPUTED_VALUE"""),"+ 3,3 %")</f>
        <v>+ 3,3 %</v>
      </c>
    </row>
    <row r="31">
      <c r="A31" s="2">
        <f>IFERROR(__xludf.DUMMYFUNCTION("""COMPUTED_VALUE"""),45292.0)</f>
        <v>45292</v>
      </c>
      <c r="B31" s="1" t="str">
        <f>IFERROR(__xludf.DUMMYFUNCTION("""COMPUTED_VALUE"""),"3.866 €/m2")</f>
        <v>3.866 €/m2</v>
      </c>
      <c r="C31" s="1" t="str">
        <f>IFERROR(__xludf.DUMMYFUNCTION("""COMPUTED_VALUE"""),"+ 0,6 %")</f>
        <v>+ 0,6 %</v>
      </c>
      <c r="D31" s="1" t="str">
        <f>IFERROR(__xludf.DUMMYFUNCTION("""COMPUTED_VALUE"""),"+ 1,4 %")</f>
        <v>+ 1,4 %</v>
      </c>
      <c r="E31" s="1" t="str">
        <f>IFERROR(__xludf.DUMMYFUNCTION("""COMPUTED_VALUE"""),"+ 2,4 %")</f>
        <v>+ 2,4 %</v>
      </c>
    </row>
    <row r="32">
      <c r="A32" s="2">
        <f>IFERROR(__xludf.DUMMYFUNCTION("""COMPUTED_VALUE"""),45261.0)</f>
        <v>45261</v>
      </c>
      <c r="B32" s="1" t="str">
        <f>IFERROR(__xludf.DUMMYFUNCTION("""COMPUTED_VALUE"""),"3.845 €/m2")</f>
        <v>3.845 €/m2</v>
      </c>
      <c r="C32" s="1" t="str">
        <f>IFERROR(__xludf.DUMMYFUNCTION("""COMPUTED_VALUE"""),"+ 0,6 %")</f>
        <v>+ 0,6 %</v>
      </c>
      <c r="D32" s="1" t="str">
        <f>IFERROR(__xludf.DUMMYFUNCTION("""COMPUTED_VALUE"""),"+ 0,2 %")</f>
        <v>+ 0,2 %</v>
      </c>
      <c r="E32" s="1" t="str">
        <f>IFERROR(__xludf.DUMMYFUNCTION("""COMPUTED_VALUE"""),"+ 1,0 %")</f>
        <v>+ 1,0 %</v>
      </c>
    </row>
    <row r="33">
      <c r="A33" s="2">
        <f>IFERROR(__xludf.DUMMYFUNCTION("""COMPUTED_VALUE"""),45231.0)</f>
        <v>45231</v>
      </c>
      <c r="B33" s="1" t="str">
        <f>IFERROR(__xludf.DUMMYFUNCTION("""COMPUTED_VALUE"""),"3.822 €/m2")</f>
        <v>3.822 €/m2</v>
      </c>
      <c r="C33" s="1" t="str">
        <f>IFERROR(__xludf.DUMMYFUNCTION("""COMPUTED_VALUE"""),"+ 0,3 %")</f>
        <v>+ 0,3 %</v>
      </c>
      <c r="D33" s="1" t="str">
        <f>IFERROR(__xludf.DUMMYFUNCTION("""COMPUTED_VALUE"""),"0,0 %")</f>
        <v>0,0 %</v>
      </c>
      <c r="E33" s="1" t="str">
        <f>IFERROR(__xludf.DUMMYFUNCTION("""COMPUTED_VALUE"""),"- 0,4 %")</f>
        <v>- 0,4 %</v>
      </c>
    </row>
    <row r="34">
      <c r="A34" s="2">
        <f>IFERROR(__xludf.DUMMYFUNCTION("""COMPUTED_VALUE"""),45200.0)</f>
        <v>45200</v>
      </c>
      <c r="B34" s="1" t="str">
        <f>IFERROR(__xludf.DUMMYFUNCTION("""COMPUTED_VALUE"""),"3.812 €/m2")</f>
        <v>3.812 €/m2</v>
      </c>
      <c r="C34" s="1" t="str">
        <f>IFERROR(__xludf.DUMMYFUNCTION("""COMPUTED_VALUE"""),"- 0,7 %")</f>
        <v>- 0,7 %</v>
      </c>
      <c r="D34" s="1" t="str">
        <f>IFERROR(__xludf.DUMMYFUNCTION("""COMPUTED_VALUE"""),"- 0,4 %")</f>
        <v>- 0,4 %</v>
      </c>
      <c r="E34" s="1" t="str">
        <f>IFERROR(__xludf.DUMMYFUNCTION("""COMPUTED_VALUE"""),"- 0,6 %")</f>
        <v>- 0,6 %</v>
      </c>
    </row>
    <row r="35">
      <c r="A35" s="2">
        <f>IFERROR(__xludf.DUMMYFUNCTION("""COMPUTED_VALUE"""),45170.0)</f>
        <v>45170</v>
      </c>
      <c r="B35" s="1" t="str">
        <f>IFERROR(__xludf.DUMMYFUNCTION("""COMPUTED_VALUE"""),"3.837 €/m2")</f>
        <v>3.837 €/m2</v>
      </c>
      <c r="C35" s="1" t="str">
        <f>IFERROR(__xludf.DUMMYFUNCTION("""COMPUTED_VALUE"""),"+ 0,4 %")</f>
        <v>+ 0,4 %</v>
      </c>
      <c r="D35" s="1" t="str">
        <f>IFERROR(__xludf.DUMMYFUNCTION("""COMPUTED_VALUE"""),"+ 0,2 %")</f>
        <v>+ 0,2 %</v>
      </c>
      <c r="E35" s="1" t="str">
        <f>IFERROR(__xludf.DUMMYFUNCTION("""COMPUTED_VALUE"""),"+ 1,8 %")</f>
        <v>+ 1,8 %</v>
      </c>
    </row>
    <row r="36">
      <c r="A36" s="2">
        <f>IFERROR(__xludf.DUMMYFUNCTION("""COMPUTED_VALUE"""),45139.0)</f>
        <v>45139</v>
      </c>
      <c r="B36" s="1" t="str">
        <f>IFERROR(__xludf.DUMMYFUNCTION("""COMPUTED_VALUE"""),"3.822 €/m2")</f>
        <v>3.822 €/m2</v>
      </c>
      <c r="C36" s="1" t="str">
        <f>IFERROR(__xludf.DUMMYFUNCTION("""COMPUTED_VALUE"""),"- 0,1 %")</f>
        <v>- 0,1 %</v>
      </c>
      <c r="D36" s="1" t="str">
        <f>IFERROR(__xludf.DUMMYFUNCTION("""COMPUTED_VALUE"""),"- 0,1 %")</f>
        <v>- 0,1 %</v>
      </c>
      <c r="E36" s="1" t="str">
        <f>IFERROR(__xludf.DUMMYFUNCTION("""COMPUTED_VALUE"""),"+ 1,4 %")</f>
        <v>+ 1,4 %</v>
      </c>
    </row>
    <row r="37">
      <c r="A37" s="2">
        <f>IFERROR(__xludf.DUMMYFUNCTION("""COMPUTED_VALUE"""),45108.0)</f>
        <v>45108</v>
      </c>
      <c r="B37" s="1" t="str">
        <f>IFERROR(__xludf.DUMMYFUNCTION("""COMPUTED_VALUE"""),"3.825 €/m2")</f>
        <v>3.825 €/m2</v>
      </c>
      <c r="C37" s="1" t="str">
        <f>IFERROR(__xludf.DUMMYFUNCTION("""COMPUTED_VALUE"""),"- 0,1 %")</f>
        <v>- 0,1 %</v>
      </c>
      <c r="D37" s="1" t="str">
        <f>IFERROR(__xludf.DUMMYFUNCTION("""COMPUTED_VALUE"""),"+ 0,6 %")</f>
        <v>+ 0,6 %</v>
      </c>
      <c r="E37" s="1" t="str">
        <f>IFERROR(__xludf.DUMMYFUNCTION("""COMPUTED_VALUE"""),"+ 2,4 %")</f>
        <v>+ 2,4 %</v>
      </c>
    </row>
    <row r="38">
      <c r="A38" s="2">
        <f>IFERROR(__xludf.DUMMYFUNCTION("""COMPUTED_VALUE"""),45078.0)</f>
        <v>45078</v>
      </c>
      <c r="B38" s="1" t="str">
        <f>IFERROR(__xludf.DUMMYFUNCTION("""COMPUTED_VALUE"""),"3.831 €/m2")</f>
        <v>3.831 €/m2</v>
      </c>
      <c r="C38" s="1" t="str">
        <f>IFERROR(__xludf.DUMMYFUNCTION("""COMPUTED_VALUE"""),"+ 0,2 %")</f>
        <v>+ 0,2 %</v>
      </c>
      <c r="D38" s="1" t="str">
        <f>IFERROR(__xludf.DUMMYFUNCTION("""COMPUTED_VALUE"""),"+ 1,5 %")</f>
        <v>+ 1,5 %</v>
      </c>
      <c r="E38" s="1" t="str">
        <f>IFERROR(__xludf.DUMMYFUNCTION("""COMPUTED_VALUE"""),"+ 2,7 %")</f>
        <v>+ 2,7 %</v>
      </c>
    </row>
    <row r="39">
      <c r="A39" s="2">
        <f>IFERROR(__xludf.DUMMYFUNCTION("""COMPUTED_VALUE"""),45047.0)</f>
        <v>45047</v>
      </c>
      <c r="B39" s="1" t="str">
        <f>IFERROR(__xludf.DUMMYFUNCTION("""COMPUTED_VALUE"""),"3.825 €/m2")</f>
        <v>3.825 €/m2</v>
      </c>
      <c r="C39" s="1" t="str">
        <f>IFERROR(__xludf.DUMMYFUNCTION("""COMPUTED_VALUE"""),"+ 0,6 %")</f>
        <v>+ 0,6 %</v>
      </c>
      <c r="D39" s="1" t="str">
        <f>IFERROR(__xludf.DUMMYFUNCTION("""COMPUTED_VALUE"""),"+ 1,8 %")</f>
        <v>+ 1,8 %</v>
      </c>
      <c r="E39" s="1" t="str">
        <f>IFERROR(__xludf.DUMMYFUNCTION("""COMPUTED_VALUE"""),"+ 3,0 %")</f>
        <v>+ 3,0 %</v>
      </c>
    </row>
    <row r="40">
      <c r="A40" s="2">
        <f>IFERROR(__xludf.DUMMYFUNCTION("""COMPUTED_VALUE"""),45017.0)</f>
        <v>45017</v>
      </c>
      <c r="B40" s="1" t="str">
        <f>IFERROR(__xludf.DUMMYFUNCTION("""COMPUTED_VALUE"""),"3.803 €/m2")</f>
        <v>3.803 €/m2</v>
      </c>
      <c r="C40" s="1" t="str">
        <f>IFERROR(__xludf.DUMMYFUNCTION("""COMPUTED_VALUE"""),"+ 0,8 %")</f>
        <v>+ 0,8 %</v>
      </c>
      <c r="D40" s="1" t="str">
        <f>IFERROR(__xludf.DUMMYFUNCTION("""COMPUTED_VALUE"""),"+ 0,8 %")</f>
        <v>+ 0,8 %</v>
      </c>
      <c r="E40" s="1" t="str">
        <f>IFERROR(__xludf.DUMMYFUNCTION("""COMPUTED_VALUE"""),"+ 1,8 %")</f>
        <v>+ 1,8 %</v>
      </c>
    </row>
    <row r="41">
      <c r="A41" s="2">
        <f>IFERROR(__xludf.DUMMYFUNCTION("""COMPUTED_VALUE"""),44986.0)</f>
        <v>44986</v>
      </c>
      <c r="B41" s="1" t="str">
        <f>IFERROR(__xludf.DUMMYFUNCTION("""COMPUTED_VALUE"""),"3.775 €/m2")</f>
        <v>3.775 €/m2</v>
      </c>
      <c r="C41" s="1" t="str">
        <f>IFERROR(__xludf.DUMMYFUNCTION("""COMPUTED_VALUE"""),"+ 0,5 %")</f>
        <v>+ 0,5 %</v>
      </c>
      <c r="D41" s="1" t="str">
        <f>IFERROR(__xludf.DUMMYFUNCTION("""COMPUTED_VALUE"""),"- 0,9 %")</f>
        <v>- 0,9 %</v>
      </c>
      <c r="E41" s="1" t="str">
        <f>IFERROR(__xludf.DUMMYFUNCTION("""COMPUTED_VALUE"""),"+ 1,0 %")</f>
        <v>+ 1,0 %</v>
      </c>
    </row>
    <row r="42">
      <c r="A42" s="2">
        <f>IFERROR(__xludf.DUMMYFUNCTION("""COMPUTED_VALUE"""),44958.0)</f>
        <v>44958</v>
      </c>
      <c r="B42" s="1" t="str">
        <f>IFERROR(__xludf.DUMMYFUNCTION("""COMPUTED_VALUE"""),"3.758 €/m2")</f>
        <v>3.758 €/m2</v>
      </c>
      <c r="C42" s="1" t="str">
        <f>IFERROR(__xludf.DUMMYFUNCTION("""COMPUTED_VALUE"""),"- 0,4 %")</f>
        <v>- 0,4 %</v>
      </c>
      <c r="D42" s="1" t="str">
        <f>IFERROR(__xludf.DUMMYFUNCTION("""COMPUTED_VALUE"""),"- 2,1 %")</f>
        <v>- 2,1 %</v>
      </c>
      <c r="E42" s="1" t="str">
        <f>IFERROR(__xludf.DUMMYFUNCTION("""COMPUTED_VALUE"""),"+ 1,3 %")</f>
        <v>+ 1,3 %</v>
      </c>
    </row>
    <row r="43">
      <c r="A43" s="2">
        <f>IFERROR(__xludf.DUMMYFUNCTION("""COMPUTED_VALUE"""),44927.0)</f>
        <v>44927</v>
      </c>
      <c r="B43" s="1" t="str">
        <f>IFERROR(__xludf.DUMMYFUNCTION("""COMPUTED_VALUE"""),"3.774 €/m2")</f>
        <v>3.774 €/m2</v>
      </c>
      <c r="C43" s="1" t="str">
        <f>IFERROR(__xludf.DUMMYFUNCTION("""COMPUTED_VALUE"""),"- 0,9 %")</f>
        <v>- 0,9 %</v>
      </c>
      <c r="D43" s="1" t="str">
        <f>IFERROR(__xludf.DUMMYFUNCTION("""COMPUTED_VALUE"""),"- 1,6 %")</f>
        <v>- 1,6 %</v>
      </c>
      <c r="E43" s="1" t="str">
        <f>IFERROR(__xludf.DUMMYFUNCTION("""COMPUTED_VALUE"""),"+ 3,4 %")</f>
        <v>+ 3,4 %</v>
      </c>
    </row>
    <row r="44">
      <c r="A44" s="2">
        <f>IFERROR(__xludf.DUMMYFUNCTION("""COMPUTED_VALUE"""),44896.0)</f>
        <v>44896</v>
      </c>
      <c r="B44" s="1" t="str">
        <f>IFERROR(__xludf.DUMMYFUNCTION("""COMPUTED_VALUE"""),"3.808 €/m2")</f>
        <v>3.808 €/m2</v>
      </c>
      <c r="C44" s="1" t="str">
        <f>IFERROR(__xludf.DUMMYFUNCTION("""COMPUTED_VALUE"""),"- 0,7 %")</f>
        <v>- 0,7 %</v>
      </c>
      <c r="D44" s="1" t="str">
        <f>IFERROR(__xludf.DUMMYFUNCTION("""COMPUTED_VALUE"""),"+ 1,0 %")</f>
        <v>+ 1,0 %</v>
      </c>
      <c r="E44" s="1" t="str">
        <f>IFERROR(__xludf.DUMMYFUNCTION("""COMPUTED_VALUE"""),"+ 5,0 %")</f>
        <v>+ 5,0 %</v>
      </c>
    </row>
    <row r="45">
      <c r="A45" s="2">
        <f>IFERROR(__xludf.DUMMYFUNCTION("""COMPUTED_VALUE"""),44866.0)</f>
        <v>44866</v>
      </c>
      <c r="B45" s="1" t="str">
        <f>IFERROR(__xludf.DUMMYFUNCTION("""COMPUTED_VALUE"""),"3.837 €/m2")</f>
        <v>3.837 €/m2</v>
      </c>
      <c r="C45" s="1" t="str">
        <f>IFERROR(__xludf.DUMMYFUNCTION("""COMPUTED_VALUE"""),"0,0 %")</f>
        <v>0,0 %</v>
      </c>
      <c r="D45" s="1" t="str">
        <f>IFERROR(__xludf.DUMMYFUNCTION("""COMPUTED_VALUE"""),"+ 1,8 %")</f>
        <v>+ 1,8 %</v>
      </c>
      <c r="E45" s="1" t="str">
        <f>IFERROR(__xludf.DUMMYFUNCTION("""COMPUTED_VALUE"""),"+ 6,7 %")</f>
        <v>+ 6,7 %</v>
      </c>
    </row>
    <row r="46">
      <c r="A46" s="2">
        <f>IFERROR(__xludf.DUMMYFUNCTION("""COMPUTED_VALUE"""),44835.0)</f>
        <v>44835</v>
      </c>
      <c r="B46" s="1" t="str">
        <f>IFERROR(__xludf.DUMMYFUNCTION("""COMPUTED_VALUE"""),"3.836 €/m2")</f>
        <v>3.836 €/m2</v>
      </c>
      <c r="C46" s="1" t="str">
        <f>IFERROR(__xludf.DUMMYFUNCTION("""COMPUTED_VALUE"""),"+ 1,8 %")</f>
        <v>+ 1,8 %</v>
      </c>
      <c r="D46" s="1" t="str">
        <f>IFERROR(__xludf.DUMMYFUNCTION("""COMPUTED_VALUE"""),"+ 2,7 %")</f>
        <v>+ 2,7 %</v>
      </c>
      <c r="E46" s="1" t="str">
        <f>IFERROR(__xludf.DUMMYFUNCTION("""COMPUTED_VALUE"""),"+ 7,0 %")</f>
        <v>+ 7,0 %</v>
      </c>
    </row>
    <row r="47">
      <c r="A47" s="2">
        <f>IFERROR(__xludf.DUMMYFUNCTION("""COMPUTED_VALUE"""),44805.0)</f>
        <v>44805</v>
      </c>
      <c r="B47" s="1" t="str">
        <f>IFERROR(__xludf.DUMMYFUNCTION("""COMPUTED_VALUE"""),"3.770 €/m2")</f>
        <v>3.770 €/m2</v>
      </c>
      <c r="C47" s="1" t="str">
        <f>IFERROR(__xludf.DUMMYFUNCTION("""COMPUTED_VALUE"""),"0,0 %")</f>
        <v>0,0 %</v>
      </c>
      <c r="D47" s="1" t="str">
        <f>IFERROR(__xludf.DUMMYFUNCTION("""COMPUTED_VALUE"""),"+ 1,0 %")</f>
        <v>+ 1,0 %</v>
      </c>
      <c r="E47" s="1" t="str">
        <f>IFERROR(__xludf.DUMMYFUNCTION("""COMPUTED_VALUE"""),"+ 5,1 %")</f>
        <v>+ 5,1 %</v>
      </c>
    </row>
    <row r="48">
      <c r="A48" s="2">
        <f>IFERROR(__xludf.DUMMYFUNCTION("""COMPUTED_VALUE"""),44774.0)</f>
        <v>44774</v>
      </c>
      <c r="B48" s="1" t="str">
        <f>IFERROR(__xludf.DUMMYFUNCTION("""COMPUTED_VALUE"""),"3.769 €/m2")</f>
        <v>3.769 €/m2</v>
      </c>
      <c r="C48" s="1" t="str">
        <f>IFERROR(__xludf.DUMMYFUNCTION("""COMPUTED_VALUE"""),"+ 0,9 %")</f>
        <v>+ 0,9 %</v>
      </c>
      <c r="D48" s="1" t="str">
        <f>IFERROR(__xludf.DUMMYFUNCTION("""COMPUTED_VALUE"""),"+ 1,5 %")</f>
        <v>+ 1,5 %</v>
      </c>
      <c r="E48" s="1" t="str">
        <f>IFERROR(__xludf.DUMMYFUNCTION("""COMPUTED_VALUE"""),"+ 5,4 %")</f>
        <v>+ 5,4 %</v>
      </c>
    </row>
    <row r="49">
      <c r="A49" s="2">
        <f>IFERROR(__xludf.DUMMYFUNCTION("""COMPUTED_VALUE"""),44743.0)</f>
        <v>44743</v>
      </c>
      <c r="B49" s="1" t="str">
        <f>IFERROR(__xludf.DUMMYFUNCTION("""COMPUTED_VALUE"""),"3.734 €/m2")</f>
        <v>3.734 €/m2</v>
      </c>
      <c r="C49" s="1" t="str">
        <f>IFERROR(__xludf.DUMMYFUNCTION("""COMPUTED_VALUE"""),"+ 0,1 %")</f>
        <v>+ 0,1 %</v>
      </c>
      <c r="D49" s="1" t="str">
        <f>IFERROR(__xludf.DUMMYFUNCTION("""COMPUTED_VALUE"""),"0,0 %")</f>
        <v>0,0 %</v>
      </c>
      <c r="E49" s="1" t="str">
        <f>IFERROR(__xludf.DUMMYFUNCTION("""COMPUTED_VALUE"""),"+ 5,1 %")</f>
        <v>+ 5,1 %</v>
      </c>
    </row>
    <row r="50">
      <c r="A50" s="2">
        <f>IFERROR(__xludf.DUMMYFUNCTION("""COMPUTED_VALUE"""),44713.0)</f>
        <v>44713</v>
      </c>
      <c r="B50" s="1" t="str">
        <f>IFERROR(__xludf.DUMMYFUNCTION("""COMPUTED_VALUE"""),"3.732 €/m2")</f>
        <v>3.732 €/m2</v>
      </c>
      <c r="C50" s="1" t="str">
        <f>IFERROR(__xludf.DUMMYFUNCTION("""COMPUTED_VALUE"""),"+ 0,5 %")</f>
        <v>+ 0,5 %</v>
      </c>
      <c r="D50" s="1" t="str">
        <f>IFERROR(__xludf.DUMMYFUNCTION("""COMPUTED_VALUE"""),"- 0,2 %")</f>
        <v>- 0,2 %</v>
      </c>
      <c r="E50" s="1" t="str">
        <f>IFERROR(__xludf.DUMMYFUNCTION("""COMPUTED_VALUE"""),"+ 5,1 %")</f>
        <v>+ 5,1 %</v>
      </c>
    </row>
    <row r="51">
      <c r="A51" s="2">
        <f>IFERROR(__xludf.DUMMYFUNCTION("""COMPUTED_VALUE"""),44682.0)</f>
        <v>44682</v>
      </c>
      <c r="B51" s="1" t="str">
        <f>IFERROR(__xludf.DUMMYFUNCTION("""COMPUTED_VALUE"""),"3.715 €/m2")</f>
        <v>3.715 €/m2</v>
      </c>
      <c r="C51" s="1" t="str">
        <f>IFERROR(__xludf.DUMMYFUNCTION("""COMPUTED_VALUE"""),"- 0,5 %")</f>
        <v>- 0,5 %</v>
      </c>
      <c r="D51" s="1" t="str">
        <f>IFERROR(__xludf.DUMMYFUNCTION("""COMPUTED_VALUE"""),"+ 0,1 %")</f>
        <v>+ 0,1 %</v>
      </c>
      <c r="E51" s="1" t="str">
        <f>IFERROR(__xludf.DUMMYFUNCTION("""COMPUTED_VALUE"""),"+ 5,5 %")</f>
        <v>+ 5,5 %</v>
      </c>
    </row>
    <row r="52">
      <c r="A52" s="2">
        <f>IFERROR(__xludf.DUMMYFUNCTION("""COMPUTED_VALUE"""),44652.0)</f>
        <v>44652</v>
      </c>
      <c r="B52" s="1" t="str">
        <f>IFERROR(__xludf.DUMMYFUNCTION("""COMPUTED_VALUE"""),"3.735 €/m2")</f>
        <v>3.735 €/m2</v>
      </c>
      <c r="C52" s="1" t="str">
        <f>IFERROR(__xludf.DUMMYFUNCTION("""COMPUTED_VALUE"""),"- 0,1 %")</f>
        <v>- 0,1 %</v>
      </c>
      <c r="D52" s="1" t="str">
        <f>IFERROR(__xludf.DUMMYFUNCTION("""COMPUTED_VALUE"""),"+ 2,3 %")</f>
        <v>+ 2,3 %</v>
      </c>
      <c r="E52" s="1" t="str">
        <f>IFERROR(__xludf.DUMMYFUNCTION("""COMPUTED_VALUE"""),"+ 5,6 %")</f>
        <v>+ 5,6 %</v>
      </c>
    </row>
    <row r="53">
      <c r="A53" s="2">
        <f>IFERROR(__xludf.DUMMYFUNCTION("""COMPUTED_VALUE"""),44621.0)</f>
        <v>44621</v>
      </c>
      <c r="B53" s="1" t="str">
        <f>IFERROR(__xludf.DUMMYFUNCTION("""COMPUTED_VALUE"""),"3.738 €/m2")</f>
        <v>3.738 €/m2</v>
      </c>
      <c r="C53" s="1" t="str">
        <f>IFERROR(__xludf.DUMMYFUNCTION("""COMPUTED_VALUE"""),"+ 0,8 %")</f>
        <v>+ 0,8 %</v>
      </c>
      <c r="D53" s="1" t="str">
        <f>IFERROR(__xludf.DUMMYFUNCTION("""COMPUTED_VALUE"""),"+ 3,1 %")</f>
        <v>+ 3,1 %</v>
      </c>
      <c r="E53" s="1" t="str">
        <f>IFERROR(__xludf.DUMMYFUNCTION("""COMPUTED_VALUE"""),"+ 5,9 %")</f>
        <v>+ 5,9 %</v>
      </c>
    </row>
    <row r="54">
      <c r="A54" s="2">
        <f>IFERROR(__xludf.DUMMYFUNCTION("""COMPUTED_VALUE"""),44593.0)</f>
        <v>44593</v>
      </c>
      <c r="B54" s="1" t="str">
        <f>IFERROR(__xludf.DUMMYFUNCTION("""COMPUTED_VALUE"""),"3.710 €/m2")</f>
        <v>3.710 €/m2</v>
      </c>
      <c r="C54" s="1" t="str">
        <f>IFERROR(__xludf.DUMMYFUNCTION("""COMPUTED_VALUE"""),"+ 1,6 %")</f>
        <v>+ 1,6 %</v>
      </c>
      <c r="D54" s="1" t="str">
        <f>IFERROR(__xludf.DUMMYFUNCTION("""COMPUTED_VALUE"""),"+ 3,2 %")</f>
        <v>+ 3,2 %</v>
      </c>
      <c r="E54" s="1" t="str">
        <f>IFERROR(__xludf.DUMMYFUNCTION("""COMPUTED_VALUE"""),"+ 6,5 %")</f>
        <v>+ 6,5 %</v>
      </c>
    </row>
    <row r="55">
      <c r="A55" s="2">
        <f>IFERROR(__xludf.DUMMYFUNCTION("""COMPUTED_VALUE"""),44562.0)</f>
        <v>44562</v>
      </c>
      <c r="B55" s="1" t="str">
        <f>IFERROR(__xludf.DUMMYFUNCTION("""COMPUTED_VALUE"""),"3.649 €/m2")</f>
        <v>3.649 €/m2</v>
      </c>
      <c r="C55" s="1" t="str">
        <f>IFERROR(__xludf.DUMMYFUNCTION("""COMPUTED_VALUE"""),"+ 0,6 %")</f>
        <v>+ 0,6 %</v>
      </c>
      <c r="D55" s="1" t="str">
        <f>IFERROR(__xludf.DUMMYFUNCTION("""COMPUTED_VALUE"""),"+ 1,7 %")</f>
        <v>+ 1,7 %</v>
      </c>
      <c r="E55" s="1" t="str">
        <f>IFERROR(__xludf.DUMMYFUNCTION("""COMPUTED_VALUE"""),"+ 5,1 %")</f>
        <v>+ 5,1 %</v>
      </c>
    </row>
    <row r="56">
      <c r="A56" s="2">
        <f>IFERROR(__xludf.DUMMYFUNCTION("""COMPUTED_VALUE"""),44531.0)</f>
        <v>44531</v>
      </c>
      <c r="B56" s="1" t="str">
        <f>IFERROR(__xludf.DUMMYFUNCTION("""COMPUTED_VALUE"""),"3.626 €/m2")</f>
        <v>3.626 €/m2</v>
      </c>
      <c r="C56" s="1" t="str">
        <f>IFERROR(__xludf.DUMMYFUNCTION("""COMPUTED_VALUE"""),"+ 0,9 %")</f>
        <v>+ 0,9 %</v>
      </c>
      <c r="D56" s="1" t="str">
        <f>IFERROR(__xludf.DUMMYFUNCTION("""COMPUTED_VALUE"""),"+ 1,1 %")</f>
        <v>+ 1,1 %</v>
      </c>
      <c r="E56" s="1" t="str">
        <f>IFERROR(__xludf.DUMMYFUNCTION("""COMPUTED_VALUE"""),"+ 3,7 %")</f>
        <v>+ 3,7 %</v>
      </c>
    </row>
    <row r="57">
      <c r="A57" s="2">
        <f>IFERROR(__xludf.DUMMYFUNCTION("""COMPUTED_VALUE"""),44501.0)</f>
        <v>44501</v>
      </c>
      <c r="B57" s="1" t="str">
        <f>IFERROR(__xludf.DUMMYFUNCTION("""COMPUTED_VALUE"""),"3.594 €/m2")</f>
        <v>3.594 €/m2</v>
      </c>
      <c r="C57" s="1" t="str">
        <f>IFERROR(__xludf.DUMMYFUNCTION("""COMPUTED_VALUE"""),"+ 0,2 %")</f>
        <v>+ 0,2 %</v>
      </c>
      <c r="D57" s="1" t="str">
        <f>IFERROR(__xludf.DUMMYFUNCTION("""COMPUTED_VALUE"""),"+ 0,5 %")</f>
        <v>+ 0,5 %</v>
      </c>
      <c r="E57" s="1" t="str">
        <f>IFERROR(__xludf.DUMMYFUNCTION("""COMPUTED_VALUE"""),"+ 2,2 %")</f>
        <v>+ 2,2 %</v>
      </c>
    </row>
    <row r="58">
      <c r="A58" s="2">
        <f>IFERROR(__xludf.DUMMYFUNCTION("""COMPUTED_VALUE"""),44470.0)</f>
        <v>44470</v>
      </c>
      <c r="B58" s="1" t="str">
        <f>IFERROR(__xludf.DUMMYFUNCTION("""COMPUTED_VALUE"""),"3.587 €/m2")</f>
        <v>3.587 €/m2</v>
      </c>
      <c r="C58" s="1" t="str">
        <f>IFERROR(__xludf.DUMMYFUNCTION("""COMPUTED_VALUE"""),"0,0 %")</f>
        <v>0,0 %</v>
      </c>
      <c r="D58" s="1" t="str">
        <f>IFERROR(__xludf.DUMMYFUNCTION("""COMPUTED_VALUE"""),"+ 1,0 %")</f>
        <v>+ 1,0 %</v>
      </c>
      <c r="E58" s="1" t="str">
        <f>IFERROR(__xludf.DUMMYFUNCTION("""COMPUTED_VALUE"""),"+ 2,1 %")</f>
        <v>+ 2,1 %</v>
      </c>
    </row>
    <row r="59">
      <c r="A59" s="2">
        <f>IFERROR(__xludf.DUMMYFUNCTION("""COMPUTED_VALUE"""),44440.0)</f>
        <v>44440</v>
      </c>
      <c r="B59" s="1" t="str">
        <f>IFERROR(__xludf.DUMMYFUNCTION("""COMPUTED_VALUE"""),"3.588 €/m2")</f>
        <v>3.588 €/m2</v>
      </c>
      <c r="C59" s="1" t="str">
        <f>IFERROR(__xludf.DUMMYFUNCTION("""COMPUTED_VALUE"""),"+ 0,3 %")</f>
        <v>+ 0,3 %</v>
      </c>
      <c r="D59" s="1" t="str">
        <f>IFERROR(__xludf.DUMMYFUNCTION("""COMPUTED_VALUE"""),"+ 1,0 %")</f>
        <v>+ 1,0 %</v>
      </c>
      <c r="E59" s="1" t="str">
        <f>IFERROR(__xludf.DUMMYFUNCTION("""COMPUTED_VALUE"""),"+ 2,1 %")</f>
        <v>+ 2,1 %</v>
      </c>
    </row>
    <row r="60">
      <c r="A60" s="2">
        <f>IFERROR(__xludf.DUMMYFUNCTION("""COMPUTED_VALUE"""),44409.0)</f>
        <v>44409</v>
      </c>
      <c r="B60" s="1" t="str">
        <f>IFERROR(__xludf.DUMMYFUNCTION("""COMPUTED_VALUE"""),"3.577 €/m2")</f>
        <v>3.577 €/m2</v>
      </c>
      <c r="C60" s="1" t="str">
        <f>IFERROR(__xludf.DUMMYFUNCTION("""COMPUTED_VALUE"""),"+ 0,7 %")</f>
        <v>+ 0,7 %</v>
      </c>
      <c r="D60" s="1" t="str">
        <f>IFERROR(__xludf.DUMMYFUNCTION("""COMPUTED_VALUE"""),"+ 1,5 %")</f>
        <v>+ 1,5 %</v>
      </c>
      <c r="E60" s="1" t="str">
        <f>IFERROR(__xludf.DUMMYFUNCTION("""COMPUTED_VALUE"""),"+ 1,1 %")</f>
        <v>+ 1,1 %</v>
      </c>
    </row>
    <row r="61">
      <c r="A61" s="2">
        <f>IFERROR(__xludf.DUMMYFUNCTION("""COMPUTED_VALUE"""),44378.0)</f>
        <v>44378</v>
      </c>
      <c r="B61" s="1" t="str">
        <f>IFERROR(__xludf.DUMMYFUNCTION("""COMPUTED_VALUE"""),"3.553 €/m2")</f>
        <v>3.553 €/m2</v>
      </c>
      <c r="C61" s="1" t="str">
        <f>IFERROR(__xludf.DUMMYFUNCTION("""COMPUTED_VALUE"""),"0,0 %")</f>
        <v>0,0 %</v>
      </c>
      <c r="D61" s="1" t="str">
        <f>IFERROR(__xludf.DUMMYFUNCTION("""COMPUTED_VALUE"""),"+ 0,4 %")</f>
        <v>+ 0,4 %</v>
      </c>
      <c r="E61" s="1" t="str">
        <f>IFERROR(__xludf.DUMMYFUNCTION("""COMPUTED_VALUE"""),"- 0,3 %")</f>
        <v>- 0,3 %</v>
      </c>
    </row>
    <row r="62">
      <c r="A62" s="2">
        <f>IFERROR(__xludf.DUMMYFUNCTION("""COMPUTED_VALUE"""),44348.0)</f>
        <v>44348</v>
      </c>
      <c r="B62" s="1" t="str">
        <f>IFERROR(__xludf.DUMMYFUNCTION("""COMPUTED_VALUE"""),"3.552 €/m2")</f>
        <v>3.552 €/m2</v>
      </c>
      <c r="C62" s="1" t="str">
        <f>IFERROR(__xludf.DUMMYFUNCTION("""COMPUTED_VALUE"""),"+ 0,8 %")</f>
        <v>+ 0,8 %</v>
      </c>
      <c r="D62" s="1" t="str">
        <f>IFERROR(__xludf.DUMMYFUNCTION("""COMPUTED_VALUE"""),"+ 0,6 %")</f>
        <v>+ 0,6 %</v>
      </c>
      <c r="E62" s="1" t="str">
        <f>IFERROR(__xludf.DUMMYFUNCTION("""COMPUTED_VALUE"""),"- 0,7 %")</f>
        <v>- 0,7 %</v>
      </c>
    </row>
    <row r="63">
      <c r="A63" s="2">
        <f>IFERROR(__xludf.DUMMYFUNCTION("""COMPUTED_VALUE"""),44317.0)</f>
        <v>44317</v>
      </c>
      <c r="B63" s="1" t="str">
        <f>IFERROR(__xludf.DUMMYFUNCTION("""COMPUTED_VALUE"""),"3.522 €/m2")</f>
        <v>3.522 €/m2</v>
      </c>
      <c r="C63" s="1" t="str">
        <f>IFERROR(__xludf.DUMMYFUNCTION("""COMPUTED_VALUE"""),"- 0,4 %")</f>
        <v>- 0,4 %</v>
      </c>
      <c r="D63" s="1" t="str">
        <f>IFERROR(__xludf.DUMMYFUNCTION("""COMPUTED_VALUE"""),"+ 1,1 %")</f>
        <v>+ 1,1 %</v>
      </c>
      <c r="E63" s="1" t="str">
        <f>IFERROR(__xludf.DUMMYFUNCTION("""COMPUTED_VALUE"""),"- 2,4 %")</f>
        <v>- 2,4 %</v>
      </c>
    </row>
    <row r="64">
      <c r="A64" s="2">
        <f>IFERROR(__xludf.DUMMYFUNCTION("""COMPUTED_VALUE"""),44287.0)</f>
        <v>44287</v>
      </c>
      <c r="B64" s="1" t="str">
        <f>IFERROR(__xludf.DUMMYFUNCTION("""COMPUTED_VALUE"""),"3.538 €/m2")</f>
        <v>3.538 €/m2</v>
      </c>
      <c r="C64" s="1" t="str">
        <f>IFERROR(__xludf.DUMMYFUNCTION("""COMPUTED_VALUE"""),"+ 0,2 %")</f>
        <v>+ 0,2 %</v>
      </c>
      <c r="D64" s="1" t="str">
        <f>IFERROR(__xludf.DUMMYFUNCTION("""COMPUTED_VALUE"""),"+ 1,9 %")</f>
        <v>+ 1,9 %</v>
      </c>
      <c r="E64" s="1" t="str">
        <f>IFERROR(__xludf.DUMMYFUNCTION("""COMPUTED_VALUE"""),"- 2,0 %")</f>
        <v>- 2,0 %</v>
      </c>
    </row>
    <row r="65">
      <c r="A65" s="2">
        <f>IFERROR(__xludf.DUMMYFUNCTION("""COMPUTED_VALUE"""),44256.0)</f>
        <v>44256</v>
      </c>
      <c r="B65" s="1" t="str">
        <f>IFERROR(__xludf.DUMMYFUNCTION("""COMPUTED_VALUE"""),"3.531 €/m2")</f>
        <v>3.531 €/m2</v>
      </c>
      <c r="C65" s="1" t="str">
        <f>IFERROR(__xludf.DUMMYFUNCTION("""COMPUTED_VALUE"""),"+ 1,3 %")</f>
        <v>+ 1,3 %</v>
      </c>
      <c r="D65" s="1" t="str">
        <f>IFERROR(__xludf.DUMMYFUNCTION("""COMPUTED_VALUE"""),"+ 0,9 %")</f>
        <v>+ 0,9 %</v>
      </c>
      <c r="E65" s="1" t="str">
        <f>IFERROR(__xludf.DUMMYFUNCTION("""COMPUTED_VALUE"""),"- 1,1 %")</f>
        <v>- 1,1 %</v>
      </c>
    </row>
    <row r="66">
      <c r="A66" s="2">
        <f>IFERROR(__xludf.DUMMYFUNCTION("""COMPUTED_VALUE"""),44228.0)</f>
        <v>44228</v>
      </c>
      <c r="B66" s="1" t="str">
        <f>IFERROR(__xludf.DUMMYFUNCTION("""COMPUTED_VALUE"""),"3.484 €/m2")</f>
        <v>3.484 €/m2</v>
      </c>
      <c r="C66" s="1" t="str">
        <f>IFERROR(__xludf.DUMMYFUNCTION("""COMPUTED_VALUE"""),"+ 0,4 %")</f>
        <v>+ 0,4 %</v>
      </c>
      <c r="D66" s="1" t="str">
        <f>IFERROR(__xludf.DUMMYFUNCTION("""COMPUTED_VALUE"""),"- 0,9 %")</f>
        <v>- 0,9 %</v>
      </c>
      <c r="E66" s="1" t="str">
        <f>IFERROR(__xludf.DUMMYFUNCTION("""COMPUTED_VALUE"""),"- 1,4 %")</f>
        <v>- 1,4 %</v>
      </c>
    </row>
    <row r="67">
      <c r="A67" s="2">
        <f>IFERROR(__xludf.DUMMYFUNCTION("""COMPUTED_VALUE"""),44197.0)</f>
        <v>44197</v>
      </c>
      <c r="B67" s="1" t="str">
        <f>IFERROR(__xludf.DUMMYFUNCTION("""COMPUTED_VALUE"""),"3.471 €/m2")</f>
        <v>3.471 €/m2</v>
      </c>
      <c r="C67" s="1" t="str">
        <f>IFERROR(__xludf.DUMMYFUNCTION("""COMPUTED_VALUE"""),"- 0,8 %")</f>
        <v>- 0,8 %</v>
      </c>
      <c r="D67" s="1" t="str">
        <f>IFERROR(__xludf.DUMMYFUNCTION("""COMPUTED_VALUE"""),"- 1,2 %")</f>
        <v>- 1,2 %</v>
      </c>
      <c r="E67" s="1" t="str">
        <f>IFERROR(__xludf.DUMMYFUNCTION("""COMPUTED_VALUE"""),"- 1,9 %")</f>
        <v>- 1,9 %</v>
      </c>
    </row>
    <row r="68">
      <c r="A68" s="2">
        <f>IFERROR(__xludf.DUMMYFUNCTION("""COMPUTED_VALUE"""),44166.0)</f>
        <v>44166</v>
      </c>
      <c r="B68" s="1" t="str">
        <f>IFERROR(__xludf.DUMMYFUNCTION("""COMPUTED_VALUE"""),"3.498 €/m2")</f>
        <v>3.498 €/m2</v>
      </c>
      <c r="C68" s="1" t="str">
        <f>IFERROR(__xludf.DUMMYFUNCTION("""COMPUTED_VALUE"""),"- 0,5 %")</f>
        <v>- 0,5 %</v>
      </c>
      <c r="D68" s="1" t="str">
        <f>IFERROR(__xludf.DUMMYFUNCTION("""COMPUTED_VALUE"""),"- 0,4 %")</f>
        <v>- 0,4 %</v>
      </c>
      <c r="E68" s="1" t="str">
        <f>IFERROR(__xludf.DUMMYFUNCTION("""COMPUTED_VALUE"""),"- 1,8 %")</f>
        <v>- 1,8 %</v>
      </c>
    </row>
    <row r="69">
      <c r="A69" s="2">
        <f>IFERROR(__xludf.DUMMYFUNCTION("""COMPUTED_VALUE"""),44136.0)</f>
        <v>44136</v>
      </c>
      <c r="B69" s="1" t="str">
        <f>IFERROR(__xludf.DUMMYFUNCTION("""COMPUTED_VALUE"""),"3.516 €/m2")</f>
        <v>3.516 €/m2</v>
      </c>
      <c r="C69" s="1" t="str">
        <f>IFERROR(__xludf.DUMMYFUNCTION("""COMPUTED_VALUE"""),"+ 0,1 %")</f>
        <v>+ 0,1 %</v>
      </c>
      <c r="D69" s="1" t="str">
        <f>IFERROR(__xludf.DUMMYFUNCTION("""COMPUTED_VALUE"""),"- 0,7 %")</f>
        <v>- 0,7 %</v>
      </c>
      <c r="E69" s="1" t="str">
        <f>IFERROR(__xludf.DUMMYFUNCTION("""COMPUTED_VALUE"""),"- 1,0 %")</f>
        <v>- 1,0 %</v>
      </c>
    </row>
    <row r="70">
      <c r="A70" s="2">
        <f>IFERROR(__xludf.DUMMYFUNCTION("""COMPUTED_VALUE"""),44105.0)</f>
        <v>44105</v>
      </c>
      <c r="B70" s="1" t="str">
        <f>IFERROR(__xludf.DUMMYFUNCTION("""COMPUTED_VALUE"""),"3.512 €/m2")</f>
        <v>3.512 €/m2</v>
      </c>
      <c r="C70" s="1" t="str">
        <f>IFERROR(__xludf.DUMMYFUNCTION("""COMPUTED_VALUE"""),"0,0 %")</f>
        <v>0,0 %</v>
      </c>
      <c r="D70" s="1" t="str">
        <f>IFERROR(__xludf.DUMMYFUNCTION("""COMPUTED_VALUE"""),"- 1,5 %")</f>
        <v>- 1,5 %</v>
      </c>
      <c r="E70" s="1" t="str">
        <f>IFERROR(__xludf.DUMMYFUNCTION("""COMPUTED_VALUE"""),"- 0,3 %")</f>
        <v>- 0,3 %</v>
      </c>
    </row>
    <row r="71">
      <c r="A71" s="2">
        <f>IFERROR(__xludf.DUMMYFUNCTION("""COMPUTED_VALUE"""),44075.0)</f>
        <v>44075</v>
      </c>
      <c r="B71" s="1" t="str">
        <f>IFERROR(__xludf.DUMMYFUNCTION("""COMPUTED_VALUE"""),"3.514 €/m2")</f>
        <v>3.514 €/m2</v>
      </c>
      <c r="C71" s="1" t="str">
        <f>IFERROR(__xludf.DUMMYFUNCTION("""COMPUTED_VALUE"""),"- 0,7 %")</f>
        <v>- 0,7 %</v>
      </c>
      <c r="D71" s="1" t="str">
        <f>IFERROR(__xludf.DUMMYFUNCTION("""COMPUTED_VALUE"""),"- 1,8 %")</f>
        <v>- 1,8 %</v>
      </c>
      <c r="E71" s="1" t="str">
        <f>IFERROR(__xludf.DUMMYFUNCTION("""COMPUTED_VALUE"""),"+ 0,5 %")</f>
        <v>+ 0,5 %</v>
      </c>
    </row>
    <row r="72">
      <c r="A72" s="2">
        <f>IFERROR(__xludf.DUMMYFUNCTION("""COMPUTED_VALUE"""),44044.0)</f>
        <v>44044</v>
      </c>
      <c r="B72" s="1" t="str">
        <f>IFERROR(__xludf.DUMMYFUNCTION("""COMPUTED_VALUE"""),"3.539 €/m2")</f>
        <v>3.539 €/m2</v>
      </c>
      <c r="C72" s="1" t="str">
        <f>IFERROR(__xludf.DUMMYFUNCTION("""COMPUTED_VALUE"""),"- 0,7 %")</f>
        <v>- 0,7 %</v>
      </c>
      <c r="D72" s="1" t="str">
        <f>IFERROR(__xludf.DUMMYFUNCTION("""COMPUTED_VALUE"""),"- 1,9 %")</f>
        <v>- 1,9 %</v>
      </c>
      <c r="E72" s="1" t="str">
        <f>IFERROR(__xludf.DUMMYFUNCTION("""COMPUTED_VALUE"""),"+ 1,7 %")</f>
        <v>+ 1,7 %</v>
      </c>
    </row>
    <row r="73">
      <c r="A73" s="2">
        <f>IFERROR(__xludf.DUMMYFUNCTION("""COMPUTED_VALUE"""),44013.0)</f>
        <v>44013</v>
      </c>
      <c r="B73" s="1" t="str">
        <f>IFERROR(__xludf.DUMMYFUNCTION("""COMPUTED_VALUE"""),"3.564 €/m2")</f>
        <v>3.564 €/m2</v>
      </c>
      <c r="C73" s="1" t="str">
        <f>IFERROR(__xludf.DUMMYFUNCTION("""COMPUTED_VALUE"""),"- 0,4 %")</f>
        <v>- 0,4 %</v>
      </c>
      <c r="D73" s="1" t="str">
        <f>IFERROR(__xludf.DUMMYFUNCTION("""COMPUTED_VALUE"""),"- 1,3 %")</f>
        <v>- 1,3 %</v>
      </c>
      <c r="E73" s="1" t="str">
        <f>IFERROR(__xludf.DUMMYFUNCTION("""COMPUTED_VALUE"""),"+ 2,9 %")</f>
        <v>+ 2,9 %</v>
      </c>
    </row>
    <row r="74">
      <c r="A74" s="2">
        <f>IFERROR(__xludf.DUMMYFUNCTION("""COMPUTED_VALUE"""),43983.0)</f>
        <v>43983</v>
      </c>
      <c r="B74" s="1" t="str">
        <f>IFERROR(__xludf.DUMMYFUNCTION("""COMPUTED_VALUE"""),"3.578 €/m2")</f>
        <v>3.578 €/m2</v>
      </c>
      <c r="C74" s="1" t="str">
        <f>IFERROR(__xludf.DUMMYFUNCTION("""COMPUTED_VALUE"""),"- 0,8 %")</f>
        <v>- 0,8 %</v>
      </c>
      <c r="D74" s="1" t="str">
        <f>IFERROR(__xludf.DUMMYFUNCTION("""COMPUTED_VALUE"""),"+ 0,2 %")</f>
        <v>+ 0,2 %</v>
      </c>
      <c r="E74" s="1" t="str">
        <f>IFERROR(__xludf.DUMMYFUNCTION("""COMPUTED_VALUE"""),"+ 4,2 %")</f>
        <v>+ 4,2 %</v>
      </c>
    </row>
    <row r="75">
      <c r="A75" s="2">
        <f>IFERROR(__xludf.DUMMYFUNCTION("""COMPUTED_VALUE"""),43952.0)</f>
        <v>43952</v>
      </c>
      <c r="B75" s="1" t="str">
        <f>IFERROR(__xludf.DUMMYFUNCTION("""COMPUTED_VALUE"""),"3.608 €/m2")</f>
        <v>3.608 €/m2</v>
      </c>
      <c r="C75" s="1" t="str">
        <f>IFERROR(__xludf.DUMMYFUNCTION("""COMPUTED_VALUE"""),"0,0 %")</f>
        <v>0,0 %</v>
      </c>
      <c r="D75" s="1" t="str">
        <f>IFERROR(__xludf.DUMMYFUNCTION("""COMPUTED_VALUE"""),"+ 2,1 %")</f>
        <v>+ 2,1 %</v>
      </c>
      <c r="E75" s="1" t="str">
        <f>IFERROR(__xludf.DUMMYFUNCTION("""COMPUTED_VALUE"""),"+ 4,7 %")</f>
        <v>+ 4,7 %</v>
      </c>
    </row>
    <row r="76">
      <c r="A76" s="2">
        <f>IFERROR(__xludf.DUMMYFUNCTION("""COMPUTED_VALUE"""),43922.0)</f>
        <v>43922</v>
      </c>
      <c r="B76" s="1" t="str">
        <f>IFERROR(__xludf.DUMMYFUNCTION("""COMPUTED_VALUE"""),"3.610 €/m2")</f>
        <v>3.610 €/m2</v>
      </c>
      <c r="C76" s="1" t="str">
        <f>IFERROR(__xludf.DUMMYFUNCTION("""COMPUTED_VALUE"""),"+ 1,1 %")</f>
        <v>+ 1,1 %</v>
      </c>
      <c r="D76" s="1" t="str">
        <f>IFERROR(__xludf.DUMMYFUNCTION("""COMPUTED_VALUE"""),"+ 2,0 %")</f>
        <v>+ 2,0 %</v>
      </c>
      <c r="E76" s="1" t="str">
        <f>IFERROR(__xludf.DUMMYFUNCTION("""COMPUTED_VALUE"""),"+ 5,5 %")</f>
        <v>+ 5,5 %</v>
      </c>
    </row>
    <row r="77">
      <c r="A77" s="2">
        <f>IFERROR(__xludf.DUMMYFUNCTION("""COMPUTED_VALUE"""),43891.0)</f>
        <v>43891</v>
      </c>
      <c r="B77" s="1" t="str">
        <f>IFERROR(__xludf.DUMMYFUNCTION("""COMPUTED_VALUE"""),"3.569 €/m2")</f>
        <v>3.569 €/m2</v>
      </c>
      <c r="C77" s="1" t="str">
        <f>IFERROR(__xludf.DUMMYFUNCTION("""COMPUTED_VALUE"""),"+ 1,0 %")</f>
        <v>+ 1,0 %</v>
      </c>
      <c r="D77" s="1" t="str">
        <f>IFERROR(__xludf.DUMMYFUNCTION("""COMPUTED_VALUE"""),"+ 0,2 %")</f>
        <v>+ 0,2 %</v>
      </c>
      <c r="E77" s="1" t="str">
        <f>IFERROR(__xludf.DUMMYFUNCTION("""COMPUTED_VALUE"""),"+ 5,2 %")</f>
        <v>+ 5,2 %</v>
      </c>
    </row>
    <row r="78">
      <c r="A78" s="2">
        <f>IFERROR(__xludf.DUMMYFUNCTION("""COMPUTED_VALUE"""),43862.0)</f>
        <v>43862</v>
      </c>
      <c r="B78" s="1" t="str">
        <f>IFERROR(__xludf.DUMMYFUNCTION("""COMPUTED_VALUE"""),"3.533 €/m2")</f>
        <v>3.533 €/m2</v>
      </c>
      <c r="C78" s="1" t="str">
        <f>IFERROR(__xludf.DUMMYFUNCTION("""COMPUTED_VALUE"""),"- 0,1 %")</f>
        <v>- 0,1 %</v>
      </c>
      <c r="D78" s="1" t="str">
        <f>IFERROR(__xludf.DUMMYFUNCTION("""COMPUTED_VALUE"""),"- 0,6 %")</f>
        <v>- 0,6 %</v>
      </c>
      <c r="E78" s="1" t="str">
        <f>IFERROR(__xludf.DUMMYFUNCTION("""COMPUTED_VALUE"""),"+ 4,6 %")</f>
        <v>+ 4,6 %</v>
      </c>
    </row>
    <row r="79">
      <c r="A79" s="2">
        <f>IFERROR(__xludf.DUMMYFUNCTION("""COMPUTED_VALUE"""),43831.0)</f>
        <v>43831</v>
      </c>
      <c r="B79" s="1" t="str">
        <f>IFERROR(__xludf.DUMMYFUNCTION("""COMPUTED_VALUE"""),"3.537 €/m2")</f>
        <v>3.537 €/m2</v>
      </c>
      <c r="C79" s="1" t="str">
        <f>IFERROR(__xludf.DUMMYFUNCTION("""COMPUTED_VALUE"""),"- 0,7 %")</f>
        <v>- 0,7 %</v>
      </c>
      <c r="D79" s="1" t="str">
        <f>IFERROR(__xludf.DUMMYFUNCTION("""COMPUTED_VALUE"""),"+ 0,4 %")</f>
        <v>+ 0,4 %</v>
      </c>
      <c r="E79" s="1" t="str">
        <f>IFERROR(__xludf.DUMMYFUNCTION("""COMPUTED_VALUE"""),"+ 5,1 %")</f>
        <v>+ 5,1 %</v>
      </c>
    </row>
    <row r="80">
      <c r="A80" s="2">
        <f>IFERROR(__xludf.DUMMYFUNCTION("""COMPUTED_VALUE"""),43800.0)</f>
        <v>43800</v>
      </c>
      <c r="B80" s="1" t="str">
        <f>IFERROR(__xludf.DUMMYFUNCTION("""COMPUTED_VALUE"""),"3.561 €/m2")</f>
        <v>3.561 €/m2</v>
      </c>
      <c r="C80" s="1" t="str">
        <f>IFERROR(__xludf.DUMMYFUNCTION("""COMPUTED_VALUE"""),"+ 0,2 %")</f>
        <v>+ 0,2 %</v>
      </c>
      <c r="D80" s="1" t="str">
        <f>IFERROR(__xludf.DUMMYFUNCTION("""COMPUTED_VALUE"""),"+ 1,9 %")</f>
        <v>+ 1,9 %</v>
      </c>
      <c r="E80" s="1" t="str">
        <f>IFERROR(__xludf.DUMMYFUNCTION("""COMPUTED_VALUE"""),"+ 5,7 %")</f>
        <v>+ 5,7 %</v>
      </c>
    </row>
    <row r="81">
      <c r="A81" s="2">
        <f>IFERROR(__xludf.DUMMYFUNCTION("""COMPUTED_VALUE"""),43770.0)</f>
        <v>43770</v>
      </c>
      <c r="B81" s="1" t="str">
        <f>IFERROR(__xludf.DUMMYFUNCTION("""COMPUTED_VALUE"""),"3.553 €/m2")</f>
        <v>3.553 €/m2</v>
      </c>
      <c r="C81" s="1" t="str">
        <f>IFERROR(__xludf.DUMMYFUNCTION("""COMPUTED_VALUE"""),"+ 0,9 %")</f>
        <v>+ 0,9 %</v>
      </c>
      <c r="D81" s="1" t="str">
        <f>IFERROR(__xludf.DUMMYFUNCTION("""COMPUTED_VALUE"""),"+ 2,2 %")</f>
        <v>+ 2,2 %</v>
      </c>
      <c r="E81" s="1" t="str">
        <f>IFERROR(__xludf.DUMMYFUNCTION("""COMPUTED_VALUE"""),"+ 5,8 %")</f>
        <v>+ 5,8 %</v>
      </c>
    </row>
    <row r="82">
      <c r="A82" s="2">
        <f>IFERROR(__xludf.DUMMYFUNCTION("""COMPUTED_VALUE"""),43739.0)</f>
        <v>43739</v>
      </c>
      <c r="B82" s="1" t="str">
        <f>IFERROR(__xludf.DUMMYFUNCTION("""COMPUTED_VALUE"""),"3.522 €/m2")</f>
        <v>3.522 €/m2</v>
      </c>
      <c r="C82" s="1" t="str">
        <f>IFERROR(__xludf.DUMMYFUNCTION("""COMPUTED_VALUE"""),"+ 0,7 %")</f>
        <v>+ 0,7 %</v>
      </c>
      <c r="D82" s="1" t="str">
        <f>IFERROR(__xludf.DUMMYFUNCTION("""COMPUTED_VALUE"""),"+ 1,7 %")</f>
        <v>+ 1,7 %</v>
      </c>
      <c r="E82" s="1" t="str">
        <f>IFERROR(__xludf.DUMMYFUNCTION("""COMPUTED_VALUE"""),"+ 5,3 %")</f>
        <v>+ 5,3 %</v>
      </c>
    </row>
    <row r="83">
      <c r="A83" s="2">
        <f>IFERROR(__xludf.DUMMYFUNCTION("""COMPUTED_VALUE"""),43709.0)</f>
        <v>43709</v>
      </c>
      <c r="B83" s="1" t="str">
        <f>IFERROR(__xludf.DUMMYFUNCTION("""COMPUTED_VALUE"""),"3.496 €/m2")</f>
        <v>3.496 €/m2</v>
      </c>
      <c r="C83" s="1" t="str">
        <f>IFERROR(__xludf.DUMMYFUNCTION("""COMPUTED_VALUE"""),"+ 0,5 %")</f>
        <v>+ 0,5 %</v>
      </c>
      <c r="D83" s="1" t="str">
        <f>IFERROR(__xludf.DUMMYFUNCTION("""COMPUTED_VALUE"""),"+ 1,8 %")</f>
        <v>+ 1,8 %</v>
      </c>
      <c r="E83" s="1" t="str">
        <f>IFERROR(__xludf.DUMMYFUNCTION("""COMPUTED_VALUE"""),"+ 5,4 %")</f>
        <v>+ 5,4 %</v>
      </c>
    </row>
    <row r="84">
      <c r="A84" s="2">
        <f>IFERROR(__xludf.DUMMYFUNCTION("""COMPUTED_VALUE"""),43678.0)</f>
        <v>43678</v>
      </c>
      <c r="B84" s="1" t="str">
        <f>IFERROR(__xludf.DUMMYFUNCTION("""COMPUTED_VALUE"""),"3.478 €/m2")</f>
        <v>3.478 €/m2</v>
      </c>
      <c r="C84" s="1" t="str">
        <f>IFERROR(__xludf.DUMMYFUNCTION("""COMPUTED_VALUE"""),"+ 0,4 %")</f>
        <v>+ 0,4 %</v>
      </c>
      <c r="D84" s="1" t="str">
        <f>IFERROR(__xludf.DUMMYFUNCTION("""COMPUTED_VALUE"""),"+ 0,9 %")</f>
        <v>+ 0,9 %</v>
      </c>
      <c r="E84" s="1" t="str">
        <f>IFERROR(__xludf.DUMMYFUNCTION("""COMPUTED_VALUE"""),"+ 5,2 %")</f>
        <v>+ 5,2 %</v>
      </c>
    </row>
    <row r="85">
      <c r="A85" s="2">
        <f>IFERROR(__xludf.DUMMYFUNCTION("""COMPUTED_VALUE"""),43647.0)</f>
        <v>43647</v>
      </c>
      <c r="B85" s="1" t="str">
        <f>IFERROR(__xludf.DUMMYFUNCTION("""COMPUTED_VALUE"""),"3.464 €/m2")</f>
        <v>3.464 €/m2</v>
      </c>
      <c r="C85" s="1" t="str">
        <f>IFERROR(__xludf.DUMMYFUNCTION("""COMPUTED_VALUE"""),"+ 0,9 %")</f>
        <v>+ 0,9 %</v>
      </c>
      <c r="D85" s="1" t="str">
        <f>IFERROR(__xludf.DUMMYFUNCTION("""COMPUTED_VALUE"""),"+ 1,2 %")</f>
        <v>+ 1,2 %</v>
      </c>
      <c r="E85" s="1" t="str">
        <f>IFERROR(__xludf.DUMMYFUNCTION("""COMPUTED_VALUE"""),"+ 5,5 %")</f>
        <v>+ 5,5 %</v>
      </c>
    </row>
    <row r="86">
      <c r="A86" s="2">
        <f>IFERROR(__xludf.DUMMYFUNCTION("""COMPUTED_VALUE"""),43617.0)</f>
        <v>43617</v>
      </c>
      <c r="B86" s="1" t="str">
        <f>IFERROR(__xludf.DUMMYFUNCTION("""COMPUTED_VALUE"""),"3.433 €/m2")</f>
        <v>3.433 €/m2</v>
      </c>
      <c r="C86" s="1" t="str">
        <f>IFERROR(__xludf.DUMMYFUNCTION("""COMPUTED_VALUE"""),"- 0,4 %")</f>
        <v>- 0,4 %</v>
      </c>
      <c r="D86" s="1" t="str">
        <f>IFERROR(__xludf.DUMMYFUNCTION("""COMPUTED_VALUE"""),"+ 1,1 %")</f>
        <v>+ 1,1 %</v>
      </c>
      <c r="E86" s="1" t="str">
        <f>IFERROR(__xludf.DUMMYFUNCTION("""COMPUTED_VALUE"""),"+ 5,5 %")</f>
        <v>+ 5,5 %</v>
      </c>
    </row>
    <row r="87">
      <c r="A87" s="2">
        <f>IFERROR(__xludf.DUMMYFUNCTION("""COMPUTED_VALUE"""),43586.0)</f>
        <v>43586</v>
      </c>
      <c r="B87" s="1" t="str">
        <f>IFERROR(__xludf.DUMMYFUNCTION("""COMPUTED_VALUE"""),"3.446 €/m2")</f>
        <v>3.446 €/m2</v>
      </c>
      <c r="C87" s="1" t="str">
        <f>IFERROR(__xludf.DUMMYFUNCTION("""COMPUTED_VALUE"""),"+ 0,7 %")</f>
        <v>+ 0,7 %</v>
      </c>
      <c r="D87" s="1" t="str">
        <f>IFERROR(__xludf.DUMMYFUNCTION("""COMPUTED_VALUE"""),"+ 2,1 %")</f>
        <v>+ 2,1 %</v>
      </c>
      <c r="E87" s="1" t="str">
        <f>IFERROR(__xludf.DUMMYFUNCTION("""COMPUTED_VALUE"""),"+ 6,5 %")</f>
        <v>+ 6,5 %</v>
      </c>
    </row>
    <row r="88">
      <c r="A88" s="2">
        <f>IFERROR(__xludf.DUMMYFUNCTION("""COMPUTED_VALUE"""),43556.0)</f>
        <v>43556</v>
      </c>
      <c r="B88" s="1" t="str">
        <f>IFERROR(__xludf.DUMMYFUNCTION("""COMPUTED_VALUE"""),"3.423 €/m2")</f>
        <v>3.423 €/m2</v>
      </c>
      <c r="C88" s="1" t="str">
        <f>IFERROR(__xludf.DUMMYFUNCTION("""COMPUTED_VALUE"""),"+ 0,8 %")</f>
        <v>+ 0,8 %</v>
      </c>
      <c r="D88" s="1" t="str">
        <f>IFERROR(__xludf.DUMMYFUNCTION("""COMPUTED_VALUE"""),"+ 1,7 %")</f>
        <v>+ 1,7 %</v>
      </c>
      <c r="E88" s="1" t="str">
        <f>IFERROR(__xludf.DUMMYFUNCTION("""COMPUTED_VALUE"""),"+ 6,4 %")</f>
        <v>+ 6,4 %</v>
      </c>
    </row>
    <row r="89">
      <c r="A89" s="2">
        <f>IFERROR(__xludf.DUMMYFUNCTION("""COMPUTED_VALUE"""),43525.0)</f>
        <v>43525</v>
      </c>
      <c r="B89" s="1" t="str">
        <f>IFERROR(__xludf.DUMMYFUNCTION("""COMPUTED_VALUE"""),"3.395 €/m2")</f>
        <v>3.395 €/m2</v>
      </c>
      <c r="C89" s="1" t="str">
        <f>IFERROR(__xludf.DUMMYFUNCTION("""COMPUTED_VALUE"""),"+ 0,5 %")</f>
        <v>+ 0,5 %</v>
      </c>
      <c r="D89" s="1" t="str">
        <f>IFERROR(__xludf.DUMMYFUNCTION("""COMPUTED_VALUE"""),"+ 0,8 %")</f>
        <v>+ 0,8 %</v>
      </c>
      <c r="E89" s="1" t="str">
        <f>IFERROR(__xludf.DUMMYFUNCTION("""COMPUTED_VALUE"""),"+ 6,9 %")</f>
        <v>+ 6,9 %</v>
      </c>
    </row>
    <row r="90">
      <c r="A90" s="2">
        <f>IFERROR(__xludf.DUMMYFUNCTION("""COMPUTED_VALUE"""),43497.0)</f>
        <v>43497</v>
      </c>
      <c r="B90" s="1" t="str">
        <f>IFERROR(__xludf.DUMMYFUNCTION("""COMPUTED_VALUE"""),"3.376 €/m2")</f>
        <v>3.376 €/m2</v>
      </c>
      <c r="C90" s="1" t="str">
        <f>IFERROR(__xludf.DUMMYFUNCTION("""COMPUTED_VALUE"""),"+ 0,3 %")</f>
        <v>+ 0,3 %</v>
      </c>
      <c r="D90" s="1" t="str">
        <f>IFERROR(__xludf.DUMMYFUNCTION("""COMPUTED_VALUE"""),"+ 0,5 %")</f>
        <v>+ 0,5 %</v>
      </c>
      <c r="E90" s="1" t="str">
        <f>IFERROR(__xludf.DUMMYFUNCTION("""COMPUTED_VALUE"""),"+ 7,1 %")</f>
        <v>+ 7,1 %</v>
      </c>
    </row>
    <row r="91">
      <c r="A91" s="2">
        <f>IFERROR(__xludf.DUMMYFUNCTION("""COMPUTED_VALUE"""),43466.0)</f>
        <v>43466</v>
      </c>
      <c r="B91" s="1" t="str">
        <f>IFERROR(__xludf.DUMMYFUNCTION("""COMPUTED_VALUE"""),"3.365 €/m2")</f>
        <v>3.365 €/m2</v>
      </c>
      <c r="C91" s="1" t="str">
        <f>IFERROR(__xludf.DUMMYFUNCTION("""COMPUTED_VALUE"""),"- 0,1 %")</f>
        <v>- 0,1 %</v>
      </c>
      <c r="D91" s="1" t="str">
        <f>IFERROR(__xludf.DUMMYFUNCTION("""COMPUTED_VALUE"""),"+ 0,6 %")</f>
        <v>+ 0,6 %</v>
      </c>
      <c r="E91" s="1" t="str">
        <f>IFERROR(__xludf.DUMMYFUNCTION("""COMPUTED_VALUE"""),"+ 7,9 %")</f>
        <v>+ 7,9 %</v>
      </c>
    </row>
    <row r="92">
      <c r="A92" s="2">
        <f>IFERROR(__xludf.DUMMYFUNCTION("""COMPUTED_VALUE"""),43435.0)</f>
        <v>43435</v>
      </c>
      <c r="B92" s="1" t="str">
        <f>IFERROR(__xludf.DUMMYFUNCTION("""COMPUTED_VALUE"""),"3.369 €/m2")</f>
        <v>3.369 €/m2</v>
      </c>
      <c r="C92" s="1" t="str">
        <f>IFERROR(__xludf.DUMMYFUNCTION("""COMPUTED_VALUE"""),"+ 0,3 %")</f>
        <v>+ 0,3 %</v>
      </c>
      <c r="D92" s="1" t="str">
        <f>IFERROR(__xludf.DUMMYFUNCTION("""COMPUTED_VALUE"""),"+ 1,6 %")</f>
        <v>+ 1,6 %</v>
      </c>
      <c r="E92" s="1" t="str">
        <f>IFERROR(__xludf.DUMMYFUNCTION("""COMPUTED_VALUE"""),"+ 8,8 %")</f>
        <v>+ 8,8 %</v>
      </c>
    </row>
    <row r="93">
      <c r="A93" s="2">
        <f>IFERROR(__xludf.DUMMYFUNCTION("""COMPUTED_VALUE"""),43405.0)</f>
        <v>43405</v>
      </c>
      <c r="B93" s="1" t="str">
        <f>IFERROR(__xludf.DUMMYFUNCTION("""COMPUTED_VALUE"""),"3.358 €/m2")</f>
        <v>3.358 €/m2</v>
      </c>
      <c r="C93" s="1" t="str">
        <f>IFERROR(__xludf.DUMMYFUNCTION("""COMPUTED_VALUE"""),"+ 0,4 %")</f>
        <v>+ 0,4 %</v>
      </c>
      <c r="D93" s="1" t="str">
        <f>IFERROR(__xludf.DUMMYFUNCTION("""COMPUTED_VALUE"""),"+ 1,6 %")</f>
        <v>+ 1,6 %</v>
      </c>
      <c r="E93" s="1" t="str">
        <f>IFERROR(__xludf.DUMMYFUNCTION("""COMPUTED_VALUE"""),"+ 10,2 %")</f>
        <v>+ 10,2 %</v>
      </c>
    </row>
    <row r="94">
      <c r="A94" s="2">
        <f>IFERROR(__xludf.DUMMYFUNCTION("""COMPUTED_VALUE"""),43374.0)</f>
        <v>43374</v>
      </c>
      <c r="B94" s="1" t="str">
        <f>IFERROR(__xludf.DUMMYFUNCTION("""COMPUTED_VALUE"""),"3.343 €/m2")</f>
        <v>3.343 €/m2</v>
      </c>
      <c r="C94" s="1" t="str">
        <f>IFERROR(__xludf.DUMMYFUNCTION("""COMPUTED_VALUE"""),"+ 0,8 %")</f>
        <v>+ 0,8 %</v>
      </c>
      <c r="D94" s="1" t="str">
        <f>IFERROR(__xludf.DUMMYFUNCTION("""COMPUTED_VALUE"""),"+ 1,8 %")</f>
        <v>+ 1,8 %</v>
      </c>
      <c r="E94" s="1" t="str">
        <f>IFERROR(__xludf.DUMMYFUNCTION("""COMPUTED_VALUE"""),"+ 10,6 %")</f>
        <v>+ 10,6 %</v>
      </c>
    </row>
    <row r="95">
      <c r="A95" s="2">
        <f>IFERROR(__xludf.DUMMYFUNCTION("""COMPUTED_VALUE"""),43344.0)</f>
        <v>43344</v>
      </c>
      <c r="B95" s="1" t="str">
        <f>IFERROR(__xludf.DUMMYFUNCTION("""COMPUTED_VALUE"""),"3.317 €/m2")</f>
        <v>3.317 €/m2</v>
      </c>
      <c r="C95" s="1" t="str">
        <f>IFERROR(__xludf.DUMMYFUNCTION("""COMPUTED_VALUE"""),"+ 0,3 %")</f>
        <v>+ 0,3 %</v>
      </c>
      <c r="D95" s="1" t="str">
        <f>IFERROR(__xludf.DUMMYFUNCTION("""COMPUTED_VALUE"""),"+ 2,0 %")</f>
        <v>+ 2,0 %</v>
      </c>
      <c r="E95" s="1" t="str">
        <f>IFERROR(__xludf.DUMMYFUNCTION("""COMPUTED_VALUE"""),"+ 10,1 %")</f>
        <v>+ 10,1 %</v>
      </c>
    </row>
    <row r="96">
      <c r="A96" s="2">
        <f>IFERROR(__xludf.DUMMYFUNCTION("""COMPUTED_VALUE"""),43313.0)</f>
        <v>43313</v>
      </c>
      <c r="B96" s="1" t="str">
        <f>IFERROR(__xludf.DUMMYFUNCTION("""COMPUTED_VALUE"""),"3.307 €/m2")</f>
        <v>3.307 €/m2</v>
      </c>
      <c r="C96" s="1" t="str">
        <f>IFERROR(__xludf.DUMMYFUNCTION("""COMPUTED_VALUE"""),"+ 0,7 %")</f>
        <v>+ 0,7 %</v>
      </c>
      <c r="D96" s="1" t="str">
        <f>IFERROR(__xludf.DUMMYFUNCTION("""COMPUTED_VALUE"""),"+ 2,2 %")</f>
        <v>+ 2,2 %</v>
      </c>
      <c r="E96" s="1" t="str">
        <f>IFERROR(__xludf.DUMMYFUNCTION("""COMPUTED_VALUE"""),"+ 9,4 %")</f>
        <v>+ 9,4 %</v>
      </c>
    </row>
    <row r="97">
      <c r="A97" s="2">
        <f>IFERROR(__xludf.DUMMYFUNCTION("""COMPUTED_VALUE"""),43282.0)</f>
        <v>43282</v>
      </c>
      <c r="B97" s="1" t="str">
        <f>IFERROR(__xludf.DUMMYFUNCTION("""COMPUTED_VALUE"""),"3.284 €/m2")</f>
        <v>3.284 €/m2</v>
      </c>
      <c r="C97" s="1" t="str">
        <f>IFERROR(__xludf.DUMMYFUNCTION("""COMPUTED_VALUE"""),"+ 1,0 %")</f>
        <v>+ 1,0 %</v>
      </c>
      <c r="D97" s="1" t="str">
        <f>IFERROR(__xludf.DUMMYFUNCTION("""COMPUTED_VALUE"""),"+ 2,1 %")</f>
        <v>+ 2,1 %</v>
      </c>
      <c r="E97" s="1" t="str">
        <f>IFERROR(__xludf.DUMMYFUNCTION("""COMPUTED_VALUE"""),"+ 9,6 %")</f>
        <v>+ 9,6 %</v>
      </c>
    </row>
    <row r="98">
      <c r="A98" s="2">
        <f>IFERROR(__xludf.DUMMYFUNCTION("""COMPUTED_VALUE"""),43252.0)</f>
        <v>43252</v>
      </c>
      <c r="B98" s="1" t="str">
        <f>IFERROR(__xludf.DUMMYFUNCTION("""COMPUTED_VALUE"""),"3.253 €/m2")</f>
        <v>3.253 €/m2</v>
      </c>
      <c r="C98" s="1" t="str">
        <f>IFERROR(__xludf.DUMMYFUNCTION("""COMPUTED_VALUE"""),"+ 0,6 %")</f>
        <v>+ 0,6 %</v>
      </c>
      <c r="D98" s="1" t="str">
        <f>IFERROR(__xludf.DUMMYFUNCTION("""COMPUTED_VALUE"""),"+ 2,5 %")</f>
        <v>+ 2,5 %</v>
      </c>
      <c r="E98" s="1" t="str">
        <f>IFERROR(__xludf.DUMMYFUNCTION("""COMPUTED_VALUE"""),"+ 9,3 %")</f>
        <v>+ 9,3 %</v>
      </c>
    </row>
    <row r="99">
      <c r="A99" s="2">
        <f>IFERROR(__xludf.DUMMYFUNCTION("""COMPUTED_VALUE"""),43221.0)</f>
        <v>43221</v>
      </c>
      <c r="B99" s="1" t="str">
        <f>IFERROR(__xludf.DUMMYFUNCTION("""COMPUTED_VALUE"""),"3.235 €/m2")</f>
        <v>3.235 €/m2</v>
      </c>
      <c r="C99" s="1" t="str">
        <f>IFERROR(__xludf.DUMMYFUNCTION("""COMPUTED_VALUE"""),"+ 0,6 %")</f>
        <v>+ 0,6 %</v>
      </c>
      <c r="D99" s="1" t="str">
        <f>IFERROR(__xludf.DUMMYFUNCTION("""COMPUTED_VALUE"""),"+ 2,6 %")</f>
        <v>+ 2,6 %</v>
      </c>
      <c r="E99" s="1" t="str">
        <f>IFERROR(__xludf.DUMMYFUNCTION("""COMPUTED_VALUE"""),"+ 10,5 %")</f>
        <v>+ 10,5 %</v>
      </c>
    </row>
    <row r="100">
      <c r="A100" s="2">
        <f>IFERROR(__xludf.DUMMYFUNCTION("""COMPUTED_VALUE"""),43191.0)</f>
        <v>43191</v>
      </c>
      <c r="B100" s="1" t="str">
        <f>IFERROR(__xludf.DUMMYFUNCTION("""COMPUTED_VALUE"""),"3.217 €/m2")</f>
        <v>3.217 €/m2</v>
      </c>
      <c r="C100" s="1" t="str">
        <f>IFERROR(__xludf.DUMMYFUNCTION("""COMPUTED_VALUE"""),"+ 1,3 %")</f>
        <v>+ 1,3 %</v>
      </c>
      <c r="D100" s="1" t="str">
        <f>IFERROR(__xludf.DUMMYFUNCTION("""COMPUTED_VALUE"""),"+ 3,2 %")</f>
        <v>+ 3,2 %</v>
      </c>
      <c r="E100" s="1" t="str">
        <f>IFERROR(__xludf.DUMMYFUNCTION("""COMPUTED_VALUE"""),"+ 10,1 %")</f>
        <v>+ 10,1 %</v>
      </c>
    </row>
    <row r="101">
      <c r="A101" s="2">
        <f>IFERROR(__xludf.DUMMYFUNCTION("""COMPUTED_VALUE"""),43160.0)</f>
        <v>43160</v>
      </c>
      <c r="B101" s="1" t="str">
        <f>IFERROR(__xludf.DUMMYFUNCTION("""COMPUTED_VALUE"""),"3.174 €/m2")</f>
        <v>3.174 €/m2</v>
      </c>
      <c r="C101" s="1" t="str">
        <f>IFERROR(__xludf.DUMMYFUNCTION("""COMPUTED_VALUE"""),"+ 0,7 %")</f>
        <v>+ 0,7 %</v>
      </c>
      <c r="D101" s="1" t="str">
        <f>IFERROR(__xludf.DUMMYFUNCTION("""COMPUTED_VALUE"""),"+ 2,5 %")</f>
        <v>+ 2,5 %</v>
      </c>
      <c r="E101" s="1" t="str">
        <f>IFERROR(__xludf.DUMMYFUNCTION("""COMPUTED_VALUE"""),"+ 8,8 %")</f>
        <v>+ 8,8 %</v>
      </c>
    </row>
    <row r="102">
      <c r="A102" s="2">
        <f>IFERROR(__xludf.DUMMYFUNCTION("""COMPUTED_VALUE"""),43132.0)</f>
        <v>43132</v>
      </c>
      <c r="B102" s="1" t="str">
        <f>IFERROR(__xludf.DUMMYFUNCTION("""COMPUTED_VALUE"""),"3.154 €/m2")</f>
        <v>3.154 €/m2</v>
      </c>
      <c r="C102" s="1" t="str">
        <f>IFERROR(__xludf.DUMMYFUNCTION("""COMPUTED_VALUE"""),"+ 1,2 %")</f>
        <v>+ 1,2 %</v>
      </c>
      <c r="D102" s="1" t="str">
        <f>IFERROR(__xludf.DUMMYFUNCTION("""COMPUTED_VALUE"""),"+ 3,4 %")</f>
        <v>+ 3,4 %</v>
      </c>
      <c r="E102" s="1" t="str">
        <f>IFERROR(__xludf.DUMMYFUNCTION("""COMPUTED_VALUE"""),"+ 9,3 %")</f>
        <v>+ 9,3 %</v>
      </c>
    </row>
    <row r="103">
      <c r="A103" s="2">
        <f>IFERROR(__xludf.DUMMYFUNCTION("""COMPUTED_VALUE"""),43101.0)</f>
        <v>43101</v>
      </c>
      <c r="B103" s="1" t="str">
        <f>IFERROR(__xludf.DUMMYFUNCTION("""COMPUTED_VALUE"""),"3.117 €/m2")</f>
        <v>3.117 €/m2</v>
      </c>
      <c r="C103" s="1" t="str">
        <f>IFERROR(__xludf.DUMMYFUNCTION("""COMPUTED_VALUE"""),"+ 0,7 %")</f>
        <v>+ 0,7 %</v>
      </c>
      <c r="D103" s="1" t="str">
        <f>IFERROR(__xludf.DUMMYFUNCTION("""COMPUTED_VALUE"""),"+ 3,1 %")</f>
        <v>+ 3,1 %</v>
      </c>
      <c r="E103" s="1" t="str">
        <f>IFERROR(__xludf.DUMMYFUNCTION("""COMPUTED_VALUE"""),"+ 8,1 %")</f>
        <v>+ 8,1 %</v>
      </c>
    </row>
    <row r="104">
      <c r="A104" s="2">
        <f>IFERROR(__xludf.DUMMYFUNCTION("""COMPUTED_VALUE"""),43070.0)</f>
        <v>43070</v>
      </c>
      <c r="B104" s="1" t="str">
        <f>IFERROR(__xludf.DUMMYFUNCTION("""COMPUTED_VALUE"""),"3.097 €/m2")</f>
        <v>3.097 €/m2</v>
      </c>
      <c r="C104" s="1" t="str">
        <f>IFERROR(__xludf.DUMMYFUNCTION("""COMPUTED_VALUE"""),"+ 1,6 %")</f>
        <v>+ 1,6 %</v>
      </c>
      <c r="D104" s="1" t="str">
        <f>IFERROR(__xludf.DUMMYFUNCTION("""COMPUTED_VALUE"""),"+ 2,8 %")</f>
        <v>+ 2,8 %</v>
      </c>
      <c r="E104" s="1" t="str">
        <f>IFERROR(__xludf.DUMMYFUNCTION("""COMPUTED_VALUE"""),"+ 7,4 %")</f>
        <v>+ 7,4 %</v>
      </c>
    </row>
    <row r="105">
      <c r="A105" s="2">
        <f>IFERROR(__xludf.DUMMYFUNCTION("""COMPUTED_VALUE"""),43040.0)</f>
        <v>43040</v>
      </c>
      <c r="B105" s="1" t="str">
        <f>IFERROR(__xludf.DUMMYFUNCTION("""COMPUTED_VALUE"""),"3.049 €/m2")</f>
        <v>3.049 €/m2</v>
      </c>
      <c r="C105" s="1" t="str">
        <f>IFERROR(__xludf.DUMMYFUNCTION("""COMPUTED_VALUE"""),"+ 0,8 %")</f>
        <v>+ 0,8 %</v>
      </c>
      <c r="D105" s="1" t="str">
        <f>IFERROR(__xludf.DUMMYFUNCTION("""COMPUTED_VALUE"""),"+ 0,8 %")</f>
        <v>+ 0,8 %</v>
      </c>
      <c r="E105" s="1" t="str">
        <f>IFERROR(__xludf.DUMMYFUNCTION("""COMPUTED_VALUE"""),"+ 6,0 %")</f>
        <v>+ 6,0 %</v>
      </c>
    </row>
    <row r="106">
      <c r="A106" s="2">
        <f>IFERROR(__xludf.DUMMYFUNCTION("""COMPUTED_VALUE"""),43009.0)</f>
        <v>43009</v>
      </c>
      <c r="B106" s="1" t="str">
        <f>IFERROR(__xludf.DUMMYFUNCTION("""COMPUTED_VALUE"""),"3.024 €/m2")</f>
        <v>3.024 €/m2</v>
      </c>
      <c r="C106" s="1" t="str">
        <f>IFERROR(__xludf.DUMMYFUNCTION("""COMPUTED_VALUE"""),"+ 0,4 %")</f>
        <v>+ 0,4 %</v>
      </c>
      <c r="D106" s="1" t="str">
        <f>IFERROR(__xludf.DUMMYFUNCTION("""COMPUTED_VALUE"""),"+ 0,9 %")</f>
        <v>+ 0,9 %</v>
      </c>
      <c r="E106" s="1" t="str">
        <f>IFERROR(__xludf.DUMMYFUNCTION("""COMPUTED_VALUE"""),"+ 6,7 %")</f>
        <v>+ 6,7 %</v>
      </c>
    </row>
    <row r="107">
      <c r="A107" s="2">
        <f>IFERROR(__xludf.DUMMYFUNCTION("""COMPUTED_VALUE"""),42979.0)</f>
        <v>42979</v>
      </c>
      <c r="B107" s="1" t="str">
        <f>IFERROR(__xludf.DUMMYFUNCTION("""COMPUTED_VALUE"""),"3.013 €/m2")</f>
        <v>3.013 €/m2</v>
      </c>
      <c r="C107" s="1" t="str">
        <f>IFERROR(__xludf.DUMMYFUNCTION("""COMPUTED_VALUE"""),"- 0,4 %")</f>
        <v>- 0,4 %</v>
      </c>
      <c r="D107" s="1" t="str">
        <f>IFERROR(__xludf.DUMMYFUNCTION("""COMPUTED_VALUE"""),"+ 1,3 %")</f>
        <v>+ 1,3 %</v>
      </c>
      <c r="E107" s="1" t="str">
        <f>IFERROR(__xludf.DUMMYFUNCTION("""COMPUTED_VALUE"""),"+ 6,9 %")</f>
        <v>+ 6,9 %</v>
      </c>
    </row>
    <row r="108">
      <c r="A108" s="2">
        <f>IFERROR(__xludf.DUMMYFUNCTION("""COMPUTED_VALUE"""),42948.0)</f>
        <v>42948</v>
      </c>
      <c r="B108" s="1" t="str">
        <f>IFERROR(__xludf.DUMMYFUNCTION("""COMPUTED_VALUE"""),"3.024 €/m2")</f>
        <v>3.024 €/m2</v>
      </c>
      <c r="C108" s="1" t="str">
        <f>IFERROR(__xludf.DUMMYFUNCTION("""COMPUTED_VALUE"""),"+ 0,9 %")</f>
        <v>+ 0,9 %</v>
      </c>
      <c r="D108" s="1" t="str">
        <f>IFERROR(__xludf.DUMMYFUNCTION("""COMPUTED_VALUE"""),"+ 3,3 %")</f>
        <v>+ 3,3 %</v>
      </c>
      <c r="E108" s="1" t="str">
        <f>IFERROR(__xludf.DUMMYFUNCTION("""COMPUTED_VALUE"""),"+ 8,0 %")</f>
        <v>+ 8,0 %</v>
      </c>
    </row>
    <row r="109">
      <c r="A109" s="2">
        <f>IFERROR(__xludf.DUMMYFUNCTION("""COMPUTED_VALUE"""),42917.0)</f>
        <v>42917</v>
      </c>
      <c r="B109" s="1" t="str">
        <f>IFERROR(__xludf.DUMMYFUNCTION("""COMPUTED_VALUE"""),"2.998 €/m2")</f>
        <v>2.998 €/m2</v>
      </c>
      <c r="C109" s="1" t="str">
        <f>IFERROR(__xludf.DUMMYFUNCTION("""COMPUTED_VALUE"""),"+ 0,8 %")</f>
        <v>+ 0,8 %</v>
      </c>
      <c r="D109" s="1" t="str">
        <f>IFERROR(__xludf.DUMMYFUNCTION("""COMPUTED_VALUE"""),"+ 2,6 %")</f>
        <v>+ 2,6 %</v>
      </c>
      <c r="E109" s="1" t="str">
        <f>IFERROR(__xludf.DUMMYFUNCTION("""COMPUTED_VALUE"""),"+ 7,3 %")</f>
        <v>+ 7,3 %</v>
      </c>
    </row>
    <row r="110">
      <c r="A110" s="2">
        <f>IFERROR(__xludf.DUMMYFUNCTION("""COMPUTED_VALUE"""),42887.0)</f>
        <v>42887</v>
      </c>
      <c r="B110" s="1" t="str">
        <f>IFERROR(__xludf.DUMMYFUNCTION("""COMPUTED_VALUE"""),"2.975 €/m2")</f>
        <v>2.975 €/m2</v>
      </c>
      <c r="C110" s="1" t="str">
        <f>IFERROR(__xludf.DUMMYFUNCTION("""COMPUTED_VALUE"""),"+ 1,7 %")</f>
        <v>+ 1,7 %</v>
      </c>
      <c r="D110" s="1" t="str">
        <f>IFERROR(__xludf.DUMMYFUNCTION("""COMPUTED_VALUE"""),"+ 1,9 %")</f>
        <v>+ 1,9 %</v>
      </c>
      <c r="E110" s="1" t="str">
        <f>IFERROR(__xludf.DUMMYFUNCTION("""COMPUTED_VALUE"""),"+ 5,7 %")</f>
        <v>+ 5,7 %</v>
      </c>
    </row>
    <row r="111">
      <c r="A111" s="2">
        <f>IFERROR(__xludf.DUMMYFUNCTION("""COMPUTED_VALUE"""),42856.0)</f>
        <v>42856</v>
      </c>
      <c r="B111" s="1" t="str">
        <f>IFERROR(__xludf.DUMMYFUNCTION("""COMPUTED_VALUE"""),"2.926 €/m2")</f>
        <v>2.926 €/m2</v>
      </c>
      <c r="C111" s="1" t="str">
        <f>IFERROR(__xludf.DUMMYFUNCTION("""COMPUTED_VALUE"""),"+ 0,1 %")</f>
        <v>+ 0,1 %</v>
      </c>
      <c r="D111" s="1" t="str">
        <f>IFERROR(__xludf.DUMMYFUNCTION("""COMPUTED_VALUE"""),"+ 1,5 %")</f>
        <v>+ 1,5 %</v>
      </c>
      <c r="E111" s="1" t="str">
        <f>IFERROR(__xludf.DUMMYFUNCTION("""COMPUTED_VALUE"""),"+ 3,4 %")</f>
        <v>+ 3,4 %</v>
      </c>
    </row>
    <row r="112">
      <c r="A112" s="2">
        <f>IFERROR(__xludf.DUMMYFUNCTION("""COMPUTED_VALUE"""),42826.0)</f>
        <v>42826</v>
      </c>
      <c r="B112" s="1" t="str">
        <f>IFERROR(__xludf.DUMMYFUNCTION("""COMPUTED_VALUE"""),"2.922 €/m2")</f>
        <v>2.922 €/m2</v>
      </c>
      <c r="C112" s="1" t="str">
        <f>IFERROR(__xludf.DUMMYFUNCTION("""COMPUTED_VALUE"""),"+ 0,1 %")</f>
        <v>+ 0,1 %</v>
      </c>
      <c r="D112" s="1" t="str">
        <f>IFERROR(__xludf.DUMMYFUNCTION("""COMPUTED_VALUE"""),"+ 1,3 %")</f>
        <v>+ 1,3 %</v>
      </c>
      <c r="E112" s="1" t="str">
        <f>IFERROR(__xludf.DUMMYFUNCTION("""COMPUTED_VALUE"""),"+ 3,6 %")</f>
        <v>+ 3,6 %</v>
      </c>
    </row>
    <row r="113">
      <c r="A113" s="2">
        <f>IFERROR(__xludf.DUMMYFUNCTION("""COMPUTED_VALUE"""),42795.0)</f>
        <v>42795</v>
      </c>
      <c r="B113" s="1" t="str">
        <f>IFERROR(__xludf.DUMMYFUNCTION("""COMPUTED_VALUE"""),"2.919 €/m2")</f>
        <v>2.919 €/m2</v>
      </c>
      <c r="C113" s="1" t="str">
        <f>IFERROR(__xludf.DUMMYFUNCTION("""COMPUTED_VALUE"""),"+ 1,2 %")</f>
        <v>+ 1,2 %</v>
      </c>
      <c r="D113" s="1" t="str">
        <f>IFERROR(__xludf.DUMMYFUNCTION("""COMPUTED_VALUE"""),"+ 1,2 %")</f>
        <v>+ 1,2 %</v>
      </c>
      <c r="E113" s="1" t="str">
        <f>IFERROR(__xludf.DUMMYFUNCTION("""COMPUTED_VALUE"""),"+ 4,0 %")</f>
        <v>+ 4,0 %</v>
      </c>
    </row>
    <row r="114">
      <c r="A114" s="2">
        <f>IFERROR(__xludf.DUMMYFUNCTION("""COMPUTED_VALUE"""),42767.0)</f>
        <v>42767</v>
      </c>
      <c r="B114" s="1" t="str">
        <f>IFERROR(__xludf.DUMMYFUNCTION("""COMPUTED_VALUE"""),"2.884 €/m2")</f>
        <v>2.884 €/m2</v>
      </c>
      <c r="C114" s="1" t="str">
        <f>IFERROR(__xludf.DUMMYFUNCTION("""COMPUTED_VALUE"""),"0,0 %")</f>
        <v>0,0 %</v>
      </c>
      <c r="D114" s="1" t="str">
        <f>IFERROR(__xludf.DUMMYFUNCTION("""COMPUTED_VALUE"""),"+ 0,2 %")</f>
        <v>+ 0,2 %</v>
      </c>
      <c r="E114" s="1" t="str">
        <f>IFERROR(__xludf.DUMMYFUNCTION("""COMPUTED_VALUE"""),"+ 3,4 %")</f>
        <v>+ 3,4 %</v>
      </c>
    </row>
    <row r="115">
      <c r="A115" s="2">
        <f>IFERROR(__xludf.DUMMYFUNCTION("""COMPUTED_VALUE"""),42736.0)</f>
        <v>42736</v>
      </c>
      <c r="B115" s="1" t="str">
        <f>IFERROR(__xludf.DUMMYFUNCTION("""COMPUTED_VALUE"""),"2.884 €/m2")</f>
        <v>2.884 €/m2</v>
      </c>
      <c r="C115" s="1" t="str">
        <f>IFERROR(__xludf.DUMMYFUNCTION("""COMPUTED_VALUE"""),"0,0 %")</f>
        <v>0,0 %</v>
      </c>
      <c r="D115" s="1" t="str">
        <f>IFERROR(__xludf.DUMMYFUNCTION("""COMPUTED_VALUE"""),"+ 1,7 %")</f>
        <v>+ 1,7 %</v>
      </c>
      <c r="E115" s="1" t="str">
        <f>IFERROR(__xludf.DUMMYFUNCTION("""COMPUTED_VALUE"""),"+ 4,5 %")</f>
        <v>+ 4,5 %</v>
      </c>
    </row>
    <row r="116">
      <c r="A116" s="2">
        <f>IFERROR(__xludf.DUMMYFUNCTION("""COMPUTED_VALUE"""),42705.0)</f>
        <v>42705</v>
      </c>
      <c r="B116" s="1" t="str">
        <f>IFERROR(__xludf.DUMMYFUNCTION("""COMPUTED_VALUE"""),"2.884 €/m2")</f>
        <v>2.884 €/m2</v>
      </c>
      <c r="C116" s="1" t="str">
        <f>IFERROR(__xludf.DUMMYFUNCTION("""COMPUTED_VALUE"""),"+ 0,2 %")</f>
        <v>+ 0,2 %</v>
      </c>
      <c r="D116" s="1" t="str">
        <f>IFERROR(__xludf.DUMMYFUNCTION("""COMPUTED_VALUE"""),"+ 2,3 %")</f>
        <v>+ 2,3 %</v>
      </c>
      <c r="E116" s="1" t="str">
        <f>IFERROR(__xludf.DUMMYFUNCTION("""COMPUTED_VALUE"""),"+ 4,1 %")</f>
        <v>+ 4,1 %</v>
      </c>
    </row>
    <row r="117">
      <c r="A117" s="2">
        <f>IFERROR(__xludf.DUMMYFUNCTION("""COMPUTED_VALUE"""),42675.0)</f>
        <v>42675</v>
      </c>
      <c r="B117" s="1" t="str">
        <f>IFERROR(__xludf.DUMMYFUNCTION("""COMPUTED_VALUE"""),"2.877 €/m2")</f>
        <v>2.877 €/m2</v>
      </c>
      <c r="C117" s="1" t="str">
        <f>IFERROR(__xludf.DUMMYFUNCTION("""COMPUTED_VALUE"""),"+ 1,5 %")</f>
        <v>+ 1,5 %</v>
      </c>
      <c r="D117" s="1" t="str">
        <f>IFERROR(__xludf.DUMMYFUNCTION("""COMPUTED_VALUE"""),"+ 2,8 %")</f>
        <v>+ 2,8 %</v>
      </c>
      <c r="E117" s="1" t="str">
        <f>IFERROR(__xludf.DUMMYFUNCTION("""COMPUTED_VALUE"""),"+ 4,1 %")</f>
        <v>+ 4,1 %</v>
      </c>
    </row>
    <row r="118">
      <c r="A118" s="2">
        <f>IFERROR(__xludf.DUMMYFUNCTION("""COMPUTED_VALUE"""),42644.0)</f>
        <v>42644</v>
      </c>
      <c r="B118" s="1" t="str">
        <f>IFERROR(__xludf.DUMMYFUNCTION("""COMPUTED_VALUE"""),"2.835 €/m2")</f>
        <v>2.835 €/m2</v>
      </c>
      <c r="C118" s="1" t="str">
        <f>IFERROR(__xludf.DUMMYFUNCTION("""COMPUTED_VALUE"""),"+ 0,6 %")</f>
        <v>+ 0,6 %</v>
      </c>
      <c r="D118" s="1" t="str">
        <f>IFERROR(__xludf.DUMMYFUNCTION("""COMPUTED_VALUE"""),"+ 1,4 %")</f>
        <v>+ 1,4 %</v>
      </c>
      <c r="E118" s="1" t="str">
        <f>IFERROR(__xludf.DUMMYFUNCTION("""COMPUTED_VALUE"""),"+ 3,0 %")</f>
        <v>+ 3,0 %</v>
      </c>
    </row>
    <row r="119">
      <c r="A119" s="2">
        <f>IFERROR(__xludf.DUMMYFUNCTION("""COMPUTED_VALUE"""),42614.0)</f>
        <v>42614</v>
      </c>
      <c r="B119" s="1" t="str">
        <f>IFERROR(__xludf.DUMMYFUNCTION("""COMPUTED_VALUE"""),"2.819 €/m2")</f>
        <v>2.819 €/m2</v>
      </c>
      <c r="C119" s="1" t="str">
        <f>IFERROR(__xludf.DUMMYFUNCTION("""COMPUTED_VALUE"""),"+ 0,7 %")</f>
        <v>+ 0,7 %</v>
      </c>
      <c r="D119" s="1" t="str">
        <f>IFERROR(__xludf.DUMMYFUNCTION("""COMPUTED_VALUE"""),"+ 0,1 %")</f>
        <v>+ 0,1 %</v>
      </c>
      <c r="E119" s="1" t="str">
        <f>IFERROR(__xludf.DUMMYFUNCTION("""COMPUTED_VALUE"""),"+ 2,9 %")</f>
        <v>+ 2,9 %</v>
      </c>
    </row>
    <row r="120">
      <c r="A120" s="2">
        <f>IFERROR(__xludf.DUMMYFUNCTION("""COMPUTED_VALUE"""),42583.0)</f>
        <v>42583</v>
      </c>
      <c r="B120" s="1" t="str">
        <f>IFERROR(__xludf.DUMMYFUNCTION("""COMPUTED_VALUE"""),"2.799 €/m2")</f>
        <v>2.799 €/m2</v>
      </c>
      <c r="C120" s="1" t="str">
        <f>IFERROR(__xludf.DUMMYFUNCTION("""COMPUTED_VALUE"""),"+ 0,2 %")</f>
        <v>+ 0,2 %</v>
      </c>
      <c r="D120" s="1" t="str">
        <f>IFERROR(__xludf.DUMMYFUNCTION("""COMPUTED_VALUE"""),"- 1,1 %")</f>
        <v>- 1,1 %</v>
      </c>
      <c r="E120" s="1" t="str">
        <f>IFERROR(__xludf.DUMMYFUNCTION("""COMPUTED_VALUE"""),"+ 2,4 %")</f>
        <v>+ 2,4 %</v>
      </c>
    </row>
    <row r="121">
      <c r="A121" s="2">
        <f>IFERROR(__xludf.DUMMYFUNCTION("""COMPUTED_VALUE"""),42552.0)</f>
        <v>42552</v>
      </c>
      <c r="B121" s="1" t="str">
        <f>IFERROR(__xludf.DUMMYFUNCTION("""COMPUTED_VALUE"""),"2.794 €/m2")</f>
        <v>2.794 €/m2</v>
      </c>
      <c r="C121" s="1" t="str">
        <f>IFERROR(__xludf.DUMMYFUNCTION("""COMPUTED_VALUE"""),"- 0,7 %")</f>
        <v>- 0,7 %</v>
      </c>
      <c r="D121" s="1" t="str">
        <f>IFERROR(__xludf.DUMMYFUNCTION("""COMPUTED_VALUE"""),"- 1,0 %")</f>
        <v>- 1,0 %</v>
      </c>
      <c r="E121" s="1" t="str">
        <f>IFERROR(__xludf.DUMMYFUNCTION("""COMPUTED_VALUE"""),"+ 1,1 %")</f>
        <v>+ 1,1 %</v>
      </c>
    </row>
    <row r="122">
      <c r="A122" s="2">
        <f>IFERROR(__xludf.DUMMYFUNCTION("""COMPUTED_VALUE"""),42522.0)</f>
        <v>42522</v>
      </c>
      <c r="B122" s="1" t="str">
        <f>IFERROR(__xludf.DUMMYFUNCTION("""COMPUTED_VALUE"""),"2.815 €/m2")</f>
        <v>2.815 €/m2</v>
      </c>
      <c r="C122" s="1" t="str">
        <f>IFERROR(__xludf.DUMMYFUNCTION("""COMPUTED_VALUE"""),"- 0,5 %")</f>
        <v>- 0,5 %</v>
      </c>
      <c r="D122" s="1" t="str">
        <f>IFERROR(__xludf.DUMMYFUNCTION("""COMPUTED_VALUE"""),"+ 0,3 %")</f>
        <v>+ 0,3 %</v>
      </c>
      <c r="E122" s="1" t="str">
        <f>IFERROR(__xludf.DUMMYFUNCTION("""COMPUTED_VALUE"""),"+ 0,4 %")</f>
        <v>+ 0,4 %</v>
      </c>
    </row>
    <row r="123">
      <c r="A123" s="2">
        <f>IFERROR(__xludf.DUMMYFUNCTION("""COMPUTED_VALUE"""),42491.0)</f>
        <v>42491</v>
      </c>
      <c r="B123" s="1" t="str">
        <f>IFERROR(__xludf.DUMMYFUNCTION("""COMPUTED_VALUE"""),"2.831 €/m2")</f>
        <v>2.831 €/m2</v>
      </c>
      <c r="C123" s="1" t="str">
        <f>IFERROR(__xludf.DUMMYFUNCTION("""COMPUTED_VALUE"""),"+ 0,3 %")</f>
        <v>+ 0,3 %</v>
      </c>
      <c r="D123" s="1" t="str">
        <f>IFERROR(__xludf.DUMMYFUNCTION("""COMPUTED_VALUE"""),"+ 1,5 %")</f>
        <v>+ 1,5 %</v>
      </c>
      <c r="E123" s="1" t="str">
        <f>IFERROR(__xludf.DUMMYFUNCTION("""COMPUTED_VALUE"""),"+ 1,1 %")</f>
        <v>+ 1,1 %</v>
      </c>
    </row>
    <row r="124">
      <c r="A124" s="2">
        <f>IFERROR(__xludf.DUMMYFUNCTION("""COMPUTED_VALUE"""),42461.0)</f>
        <v>42461</v>
      </c>
      <c r="B124" s="1" t="str">
        <f>IFERROR(__xludf.DUMMYFUNCTION("""COMPUTED_VALUE"""),"2.822 €/m2")</f>
        <v>2.822 €/m2</v>
      </c>
      <c r="C124" s="1" t="str">
        <f>IFERROR(__xludf.DUMMYFUNCTION("""COMPUTED_VALUE"""),"+ 0,5 %")</f>
        <v>+ 0,5 %</v>
      </c>
      <c r="D124" s="1" t="str">
        <f>IFERROR(__xludf.DUMMYFUNCTION("""COMPUTED_VALUE"""),"+ 2,2 %")</f>
        <v>+ 2,2 %</v>
      </c>
      <c r="E124" s="1" t="str">
        <f>IFERROR(__xludf.DUMMYFUNCTION("""COMPUTED_VALUE"""),"+ 1,5 %")</f>
        <v>+ 1,5 %</v>
      </c>
    </row>
    <row r="125">
      <c r="A125" s="2">
        <f>IFERROR(__xludf.DUMMYFUNCTION("""COMPUTED_VALUE"""),42430.0)</f>
        <v>42430</v>
      </c>
      <c r="B125" s="1" t="str">
        <f>IFERROR(__xludf.DUMMYFUNCTION("""COMPUTED_VALUE"""),"2.807 €/m2")</f>
        <v>2.807 €/m2</v>
      </c>
      <c r="C125" s="1" t="str">
        <f>IFERROR(__xludf.DUMMYFUNCTION("""COMPUTED_VALUE"""),"+ 0,7 %")</f>
        <v>+ 0,7 %</v>
      </c>
      <c r="D125" s="1" t="str">
        <f>IFERROR(__xludf.DUMMYFUNCTION("""COMPUTED_VALUE"""),"+ 1,3 %")</f>
        <v>+ 1,3 %</v>
      </c>
      <c r="E125" s="1" t="str">
        <f>IFERROR(__xludf.DUMMYFUNCTION("""COMPUTED_VALUE"""),"+ 0,9 %")</f>
        <v>+ 0,9 %</v>
      </c>
    </row>
    <row r="126">
      <c r="A126" s="2">
        <f>IFERROR(__xludf.DUMMYFUNCTION("""COMPUTED_VALUE"""),42401.0)</f>
        <v>42401</v>
      </c>
      <c r="B126" s="1" t="str">
        <f>IFERROR(__xludf.DUMMYFUNCTION("""COMPUTED_VALUE"""),"2.788 €/m2")</f>
        <v>2.788 €/m2</v>
      </c>
      <c r="C126" s="1" t="str">
        <f>IFERROR(__xludf.DUMMYFUNCTION("""COMPUTED_VALUE"""),"+ 1,0 %")</f>
        <v>+ 1,0 %</v>
      </c>
      <c r="D126" s="1" t="str">
        <f>IFERROR(__xludf.DUMMYFUNCTION("""COMPUTED_VALUE"""),"+ 0,8 %")</f>
        <v>+ 0,8 %</v>
      </c>
      <c r="E126" s="1" t="str">
        <f>IFERROR(__xludf.DUMMYFUNCTION("""COMPUTED_VALUE"""),"+ 0,2 %")</f>
        <v>+ 0,2 %</v>
      </c>
    </row>
    <row r="127">
      <c r="A127" s="2">
        <f>IFERROR(__xludf.DUMMYFUNCTION("""COMPUTED_VALUE"""),42370.0)</f>
        <v>42370</v>
      </c>
      <c r="B127" s="1" t="str">
        <f>IFERROR(__xludf.DUMMYFUNCTION("""COMPUTED_VALUE"""),"2.761 €/m2")</f>
        <v>2.761 €/m2</v>
      </c>
      <c r="C127" s="1" t="str">
        <f>IFERROR(__xludf.DUMMYFUNCTION("""COMPUTED_VALUE"""),"- 0,3 %")</f>
        <v>- 0,3 %</v>
      </c>
      <c r="D127" s="1" t="str">
        <f>IFERROR(__xludf.DUMMYFUNCTION("""COMPUTED_VALUE"""),"+ 0,3 %")</f>
        <v>+ 0,3 %</v>
      </c>
      <c r="E127" s="1" t="str">
        <f>IFERROR(__xludf.DUMMYFUNCTION("""COMPUTED_VALUE"""),"0,0 %")</f>
        <v>0,0 %</v>
      </c>
    </row>
    <row r="128">
      <c r="A128" s="2">
        <f>IFERROR(__xludf.DUMMYFUNCTION("""COMPUTED_VALUE"""),42339.0)</f>
        <v>42339</v>
      </c>
      <c r="B128" s="1" t="str">
        <f>IFERROR(__xludf.DUMMYFUNCTION("""COMPUTED_VALUE"""),"2.770 €/m2")</f>
        <v>2.770 €/m2</v>
      </c>
      <c r="C128" s="1" t="str">
        <f>IFERROR(__xludf.DUMMYFUNCTION("""COMPUTED_VALUE"""),"+ 0,2 %")</f>
        <v>+ 0,2 %</v>
      </c>
      <c r="D128" s="1" t="str">
        <f>IFERROR(__xludf.DUMMYFUNCTION("""COMPUTED_VALUE"""),"+ 1,2 %")</f>
        <v>+ 1,2 %</v>
      </c>
      <c r="E128" s="1" t="str">
        <f>IFERROR(__xludf.DUMMYFUNCTION("""COMPUTED_VALUE"""),"+ 1,1 %")</f>
        <v>+ 1,1 %</v>
      </c>
    </row>
    <row r="129">
      <c r="A129" s="2">
        <f>IFERROR(__xludf.DUMMYFUNCTION("""COMPUTED_VALUE"""),42309.0)</f>
        <v>42309</v>
      </c>
      <c r="B129" s="1" t="str">
        <f>IFERROR(__xludf.DUMMYFUNCTION("""COMPUTED_VALUE"""),"2.765 €/m2")</f>
        <v>2.765 €/m2</v>
      </c>
      <c r="C129" s="1" t="str">
        <f>IFERROR(__xludf.DUMMYFUNCTION("""COMPUTED_VALUE"""),"+ 0,4 %")</f>
        <v>+ 0,4 %</v>
      </c>
      <c r="D129" s="1" t="str">
        <f>IFERROR(__xludf.DUMMYFUNCTION("""COMPUTED_VALUE"""),"+ 1,1 %")</f>
        <v>+ 1,1 %</v>
      </c>
      <c r="E129" s="1" t="str">
        <f>IFERROR(__xludf.DUMMYFUNCTION("""COMPUTED_VALUE"""),"+ 1,0 %")</f>
        <v>+ 1,0 %</v>
      </c>
    </row>
    <row r="130">
      <c r="A130" s="2">
        <f>IFERROR(__xludf.DUMMYFUNCTION("""COMPUTED_VALUE"""),42278.0)</f>
        <v>42278</v>
      </c>
      <c r="B130" s="1" t="str">
        <f>IFERROR(__xludf.DUMMYFUNCTION("""COMPUTED_VALUE"""),"2.753 €/m2")</f>
        <v>2.753 €/m2</v>
      </c>
      <c r="C130" s="1" t="str">
        <f>IFERROR(__xludf.DUMMYFUNCTION("""COMPUTED_VALUE"""),"+ 0,5 %")</f>
        <v>+ 0,5 %</v>
      </c>
      <c r="D130" s="1" t="str">
        <f>IFERROR(__xludf.DUMMYFUNCTION("""COMPUTED_VALUE"""),"- 0,4 %")</f>
        <v>- 0,4 %</v>
      </c>
      <c r="E130" s="1" t="str">
        <f>IFERROR(__xludf.DUMMYFUNCTION("""COMPUTED_VALUE"""),"+ 1,3 %")</f>
        <v>+ 1,3 %</v>
      </c>
    </row>
    <row r="131">
      <c r="A131" s="2">
        <f>IFERROR(__xludf.DUMMYFUNCTION("""COMPUTED_VALUE"""),42248.0)</f>
        <v>42248</v>
      </c>
      <c r="B131" s="1" t="str">
        <f>IFERROR(__xludf.DUMMYFUNCTION("""COMPUTED_VALUE"""),"2.739 €/m2")</f>
        <v>2.739 €/m2</v>
      </c>
      <c r="C131" s="1" t="str">
        <f>IFERROR(__xludf.DUMMYFUNCTION("""COMPUTED_VALUE"""),"+ 0,2 %")</f>
        <v>+ 0,2 %</v>
      </c>
      <c r="D131" s="1" t="str">
        <f>IFERROR(__xludf.DUMMYFUNCTION("""COMPUTED_VALUE"""),"- 2,3 %")</f>
        <v>- 2,3 %</v>
      </c>
      <c r="E131" s="1" t="str">
        <f>IFERROR(__xludf.DUMMYFUNCTION("""COMPUTED_VALUE"""),"+ 0,3 %")</f>
        <v>+ 0,3 %</v>
      </c>
    </row>
    <row r="132">
      <c r="A132" s="2">
        <f>IFERROR(__xludf.DUMMYFUNCTION("""COMPUTED_VALUE"""),42217.0)</f>
        <v>42217</v>
      </c>
      <c r="B132" s="1" t="str">
        <f>IFERROR(__xludf.DUMMYFUNCTION("""COMPUTED_VALUE"""),"2.734 €/m2")</f>
        <v>2.734 €/m2</v>
      </c>
      <c r="C132" s="1" t="str">
        <f>IFERROR(__xludf.DUMMYFUNCTION("""COMPUTED_VALUE"""),"- 1,1 %")</f>
        <v>- 1,1 %</v>
      </c>
      <c r="D132" s="1" t="str">
        <f>IFERROR(__xludf.DUMMYFUNCTION("""COMPUTED_VALUE"""),"- 2,4 %")</f>
        <v>- 2,4 %</v>
      </c>
      <c r="E132" s="1" t="str">
        <f>IFERROR(__xludf.DUMMYFUNCTION("""COMPUTED_VALUE"""),"+ 0,8 %")</f>
        <v>+ 0,8 %</v>
      </c>
    </row>
    <row r="133">
      <c r="A133" s="2">
        <f>IFERROR(__xludf.DUMMYFUNCTION("""COMPUTED_VALUE"""),42186.0)</f>
        <v>42186</v>
      </c>
      <c r="B133" s="1" t="str">
        <f>IFERROR(__xludf.DUMMYFUNCTION("""COMPUTED_VALUE"""),"2.764 €/m2")</f>
        <v>2.764 €/m2</v>
      </c>
      <c r="C133" s="1" t="str">
        <f>IFERROR(__xludf.DUMMYFUNCTION("""COMPUTED_VALUE"""),"- 1,4 %")</f>
        <v>- 1,4 %</v>
      </c>
      <c r="D133" s="1" t="str">
        <f>IFERROR(__xludf.DUMMYFUNCTION("""COMPUTED_VALUE"""),"- 0,6 %")</f>
        <v>- 0,6 %</v>
      </c>
      <c r="E133" s="1" t="str">
        <f>IFERROR(__xludf.DUMMYFUNCTION("""COMPUTED_VALUE"""),"+ 1,3 %")</f>
        <v>+ 1,3 %</v>
      </c>
    </row>
    <row r="134">
      <c r="A134" s="2">
        <f>IFERROR(__xludf.DUMMYFUNCTION("""COMPUTED_VALUE"""),42156.0)</f>
        <v>42156</v>
      </c>
      <c r="B134" s="1" t="str">
        <f>IFERROR(__xludf.DUMMYFUNCTION("""COMPUTED_VALUE"""),"2.804 €/m2")</f>
        <v>2.804 €/m2</v>
      </c>
      <c r="C134" s="1" t="str">
        <f>IFERROR(__xludf.DUMMYFUNCTION("""COMPUTED_VALUE"""),"+ 0,1 %")</f>
        <v>+ 0,1 %</v>
      </c>
      <c r="D134" s="1" t="str">
        <f>IFERROR(__xludf.DUMMYFUNCTION("""COMPUTED_VALUE"""),"+ 0,8 %")</f>
        <v>+ 0,8 %</v>
      </c>
      <c r="E134" s="1" t="str">
        <f>IFERROR(__xludf.DUMMYFUNCTION("""COMPUTED_VALUE"""),"+ 2,0 %")</f>
        <v>+ 2,0 %</v>
      </c>
    </row>
    <row r="135">
      <c r="A135" s="2">
        <f>IFERROR(__xludf.DUMMYFUNCTION("""COMPUTED_VALUE"""),42125.0)</f>
        <v>42125</v>
      </c>
      <c r="B135" s="1" t="str">
        <f>IFERROR(__xludf.DUMMYFUNCTION("""COMPUTED_VALUE"""),"2.801 €/m2")</f>
        <v>2.801 €/m2</v>
      </c>
      <c r="C135" s="1" t="str">
        <f>IFERROR(__xludf.DUMMYFUNCTION("""COMPUTED_VALUE"""),"+ 0,8 %")</f>
        <v>+ 0,8 %</v>
      </c>
      <c r="D135" s="1" t="str">
        <f>IFERROR(__xludf.DUMMYFUNCTION("""COMPUTED_VALUE"""),"+ 0,7 %")</f>
        <v>+ 0,7 %</v>
      </c>
      <c r="E135" s="1" t="str">
        <f>IFERROR(__xludf.DUMMYFUNCTION("""COMPUTED_VALUE"""),"+ 1,7 %")</f>
        <v>+ 1,7 %</v>
      </c>
    </row>
    <row r="136">
      <c r="A136" s="2">
        <f>IFERROR(__xludf.DUMMYFUNCTION("""COMPUTED_VALUE"""),42095.0)</f>
        <v>42095</v>
      </c>
      <c r="B136" s="1" t="str">
        <f>IFERROR(__xludf.DUMMYFUNCTION("""COMPUTED_VALUE"""),"2.779 €/m2")</f>
        <v>2.779 €/m2</v>
      </c>
      <c r="C136" s="1" t="str">
        <f>IFERROR(__xludf.DUMMYFUNCTION("""COMPUTED_VALUE"""),"- 0,1 %")</f>
        <v>- 0,1 %</v>
      </c>
      <c r="D136" s="1" t="str">
        <f>IFERROR(__xludf.DUMMYFUNCTION("""COMPUTED_VALUE"""),"+ 0,7 %")</f>
        <v>+ 0,7 %</v>
      </c>
      <c r="E136" s="1" t="str">
        <f>IFERROR(__xludf.DUMMYFUNCTION("""COMPUTED_VALUE"""),"+ 1,4 %")</f>
        <v>+ 1,4 %</v>
      </c>
    </row>
    <row r="137">
      <c r="A137" s="2">
        <f>IFERROR(__xludf.DUMMYFUNCTION("""COMPUTED_VALUE"""),42064.0)</f>
        <v>42064</v>
      </c>
      <c r="B137" s="1" t="str">
        <f>IFERROR(__xludf.DUMMYFUNCTION("""COMPUTED_VALUE"""),"2.782 €/m2")</f>
        <v>2.782 €/m2</v>
      </c>
      <c r="C137" s="1" t="str">
        <f>IFERROR(__xludf.DUMMYFUNCTION("""COMPUTED_VALUE"""),"0,0 %")</f>
        <v>0,0 %</v>
      </c>
      <c r="D137" s="1" t="str">
        <f>IFERROR(__xludf.DUMMYFUNCTION("""COMPUTED_VALUE"""),"+ 1,5 %")</f>
        <v>+ 1,5 %</v>
      </c>
      <c r="E137" s="1" t="str">
        <f>IFERROR(__xludf.DUMMYFUNCTION("""COMPUTED_VALUE"""),"+ 0,8 %")</f>
        <v>+ 0,8 %</v>
      </c>
    </row>
    <row r="138">
      <c r="A138" s="2">
        <f>IFERROR(__xludf.DUMMYFUNCTION("""COMPUTED_VALUE"""),42036.0)</f>
        <v>42036</v>
      </c>
      <c r="B138" s="1" t="str">
        <f>IFERROR(__xludf.DUMMYFUNCTION("""COMPUTED_VALUE"""),"2.782 €/m2")</f>
        <v>2.782 €/m2</v>
      </c>
      <c r="C138" s="1" t="str">
        <f>IFERROR(__xludf.DUMMYFUNCTION("""COMPUTED_VALUE"""),"+ 0,8 %")</f>
        <v>+ 0,8 %</v>
      </c>
      <c r="D138" s="1" t="str">
        <f>IFERROR(__xludf.DUMMYFUNCTION("""COMPUTED_VALUE"""),"+ 1,6 %")</f>
        <v>+ 1,6 %</v>
      </c>
      <c r="E138" s="1" t="str">
        <f>IFERROR(__xludf.DUMMYFUNCTION("""COMPUTED_VALUE"""),"0,0 %")</f>
        <v>0,0 %</v>
      </c>
    </row>
    <row r="139">
      <c r="A139" s="2">
        <f>IFERROR(__xludf.DUMMYFUNCTION("""COMPUTED_VALUE"""),42005.0)</f>
        <v>42005</v>
      </c>
      <c r="B139" s="1" t="str">
        <f>IFERROR(__xludf.DUMMYFUNCTION("""COMPUTED_VALUE"""),"2.761 €/m2")</f>
        <v>2.761 €/m2</v>
      </c>
      <c r="C139" s="1" t="str">
        <f>IFERROR(__xludf.DUMMYFUNCTION("""COMPUTED_VALUE"""),"+ 0,8 %")</f>
        <v>+ 0,8 %</v>
      </c>
      <c r="D139" s="1" t="str">
        <f>IFERROR(__xludf.DUMMYFUNCTION("""COMPUTED_VALUE"""),"+ 1,6 %")</f>
        <v>+ 1,6 %</v>
      </c>
      <c r="E139" s="1" t="str">
        <f>IFERROR(__xludf.DUMMYFUNCTION("""COMPUTED_VALUE"""),"- 1,1 %")</f>
        <v>- 1,1 %</v>
      </c>
    </row>
    <row r="140">
      <c r="A140" s="2">
        <f>IFERROR(__xludf.DUMMYFUNCTION("""COMPUTED_VALUE"""),41974.0)</f>
        <v>41974</v>
      </c>
      <c r="B140" s="1" t="str">
        <f>IFERROR(__xludf.DUMMYFUNCTION("""COMPUTED_VALUE"""),"2.740 €/m2")</f>
        <v>2.740 €/m2</v>
      </c>
      <c r="C140" s="1" t="str">
        <f>IFERROR(__xludf.DUMMYFUNCTION("""COMPUTED_VALUE"""),"+ 0,1 %")</f>
        <v>+ 0,1 %</v>
      </c>
      <c r="D140" s="1" t="str">
        <f>IFERROR(__xludf.DUMMYFUNCTION("""COMPUTED_VALUE"""),"+ 0,3 %")</f>
        <v>+ 0,3 %</v>
      </c>
      <c r="E140" s="1" t="str">
        <f>IFERROR(__xludf.DUMMYFUNCTION("""COMPUTED_VALUE"""),"- 2,1 %")</f>
        <v>- 2,1 %</v>
      </c>
    </row>
    <row r="141">
      <c r="A141" s="2">
        <f>IFERROR(__xludf.DUMMYFUNCTION("""COMPUTED_VALUE"""),41944.0)</f>
        <v>41944</v>
      </c>
      <c r="B141" s="1" t="str">
        <f>IFERROR(__xludf.DUMMYFUNCTION("""COMPUTED_VALUE"""),"2.737 €/m2")</f>
        <v>2.737 €/m2</v>
      </c>
      <c r="C141" s="1" t="str">
        <f>IFERROR(__xludf.DUMMYFUNCTION("""COMPUTED_VALUE"""),"+ 0,7 %")</f>
        <v>+ 0,7 %</v>
      </c>
      <c r="D141" s="1" t="str">
        <f>IFERROR(__xludf.DUMMYFUNCTION("""COMPUTED_VALUE"""),"+ 0,9 %")</f>
        <v>+ 0,9 %</v>
      </c>
      <c r="E141" s="1" t="str">
        <f>IFERROR(__xludf.DUMMYFUNCTION("""COMPUTED_VALUE"""),"- 3,9 %")</f>
        <v>- 3,9 %</v>
      </c>
    </row>
    <row r="142">
      <c r="A142" s="2">
        <f>IFERROR(__xludf.DUMMYFUNCTION("""COMPUTED_VALUE"""),41913.0)</f>
        <v>41913</v>
      </c>
      <c r="B142" s="1" t="str">
        <f>IFERROR(__xludf.DUMMYFUNCTION("""COMPUTED_VALUE"""),"2.717 €/m2")</f>
        <v>2.717 €/m2</v>
      </c>
      <c r="C142" s="1" t="str">
        <f>IFERROR(__xludf.DUMMYFUNCTION("""COMPUTED_VALUE"""),"- 0,5 %")</f>
        <v>- 0,5 %</v>
      </c>
      <c r="D142" s="1" t="str">
        <f>IFERROR(__xludf.DUMMYFUNCTION("""COMPUTED_VALUE"""),"- 0,3 %")</f>
        <v>- 0,3 %</v>
      </c>
      <c r="E142" s="1" t="str">
        <f>IFERROR(__xludf.DUMMYFUNCTION("""COMPUTED_VALUE"""),"- 4,6 %")</f>
        <v>- 4,6 %</v>
      </c>
    </row>
    <row r="143">
      <c r="A143" s="2">
        <f>IFERROR(__xludf.DUMMYFUNCTION("""COMPUTED_VALUE"""),41883.0)</f>
        <v>41883</v>
      </c>
      <c r="B143" s="1" t="str">
        <f>IFERROR(__xludf.DUMMYFUNCTION("""COMPUTED_VALUE"""),"2.731 €/m2")</f>
        <v>2.731 €/m2</v>
      </c>
      <c r="C143" s="1" t="str">
        <f>IFERROR(__xludf.DUMMYFUNCTION("""COMPUTED_VALUE"""),"+ 0,7 %")</f>
        <v>+ 0,7 %</v>
      </c>
      <c r="D143" s="1" t="str">
        <f>IFERROR(__xludf.DUMMYFUNCTION("""COMPUTED_VALUE"""),"- 0,6 %")</f>
        <v>- 0,6 %</v>
      </c>
      <c r="E143" s="1" t="str">
        <f>IFERROR(__xludf.DUMMYFUNCTION("""COMPUTED_VALUE"""),"- 4,3 %")</f>
        <v>- 4,3 %</v>
      </c>
    </row>
    <row r="144">
      <c r="A144" s="2">
        <f>IFERROR(__xludf.DUMMYFUNCTION("""COMPUTED_VALUE"""),41852.0)</f>
        <v>41852</v>
      </c>
      <c r="B144" s="1" t="str">
        <f>IFERROR(__xludf.DUMMYFUNCTION("""COMPUTED_VALUE"""),"2.713 €/m2")</f>
        <v>2.713 €/m2</v>
      </c>
      <c r="C144" s="1" t="str">
        <f>IFERROR(__xludf.DUMMYFUNCTION("""COMPUTED_VALUE"""),"- 0,5 %")</f>
        <v>- 0,5 %</v>
      </c>
      <c r="D144" s="1" t="str">
        <f>IFERROR(__xludf.DUMMYFUNCTION("""COMPUTED_VALUE"""),"- 1,5 %")</f>
        <v>- 1,5 %</v>
      </c>
      <c r="E144" s="1" t="str">
        <f>IFERROR(__xludf.DUMMYFUNCTION("""COMPUTED_VALUE"""),"- 2,9 %")</f>
        <v>- 2,9 %</v>
      </c>
    </row>
    <row r="145">
      <c r="A145" s="2">
        <f>IFERROR(__xludf.DUMMYFUNCTION("""COMPUTED_VALUE"""),41821.0)</f>
        <v>41821</v>
      </c>
      <c r="B145" s="1" t="str">
        <f>IFERROR(__xludf.DUMMYFUNCTION("""COMPUTED_VALUE"""),"2.727 €/m2")</f>
        <v>2.727 €/m2</v>
      </c>
      <c r="C145" s="1" t="str">
        <f>IFERROR(__xludf.DUMMYFUNCTION("""COMPUTED_VALUE"""),"- 0,8 %")</f>
        <v>- 0,8 %</v>
      </c>
      <c r="D145" s="1" t="str">
        <f>IFERROR(__xludf.DUMMYFUNCTION("""COMPUTED_VALUE"""),"- 0,5 %")</f>
        <v>- 0,5 %</v>
      </c>
      <c r="E145" s="1" t="str">
        <f>IFERROR(__xludf.DUMMYFUNCTION("""COMPUTED_VALUE"""),"- 3,3 %")</f>
        <v>- 3,3 %</v>
      </c>
    </row>
    <row r="146">
      <c r="A146" s="2">
        <f>IFERROR(__xludf.DUMMYFUNCTION("""COMPUTED_VALUE"""),41791.0)</f>
        <v>41791</v>
      </c>
      <c r="B146" s="1" t="str">
        <f>IFERROR(__xludf.DUMMYFUNCTION("""COMPUTED_VALUE"""),"2.749 €/m2")</f>
        <v>2.749 €/m2</v>
      </c>
      <c r="C146" s="1" t="str">
        <f>IFERROR(__xludf.DUMMYFUNCTION("""COMPUTED_VALUE"""),"- 0,2 %")</f>
        <v>- 0,2 %</v>
      </c>
      <c r="D146" s="1" t="str">
        <f>IFERROR(__xludf.DUMMYFUNCTION("""COMPUTED_VALUE"""),"- 0,4 %")</f>
        <v>- 0,4 %</v>
      </c>
      <c r="E146" s="1" t="str">
        <f>IFERROR(__xludf.DUMMYFUNCTION("""COMPUTED_VALUE"""),"- 3,3 %")</f>
        <v>- 3,3 %</v>
      </c>
    </row>
    <row r="147">
      <c r="A147" s="2">
        <f>IFERROR(__xludf.DUMMYFUNCTION("""COMPUTED_VALUE"""),41760.0)</f>
        <v>41760</v>
      </c>
      <c r="B147" s="1" t="str">
        <f>IFERROR(__xludf.DUMMYFUNCTION("""COMPUTED_VALUE"""),"2.754 €/m2")</f>
        <v>2.754 €/m2</v>
      </c>
      <c r="C147" s="1" t="str">
        <f>IFERROR(__xludf.DUMMYFUNCTION("""COMPUTED_VALUE"""),"+ 0,5 %")</f>
        <v>+ 0,5 %</v>
      </c>
      <c r="D147" s="1" t="str">
        <f>IFERROR(__xludf.DUMMYFUNCTION("""COMPUTED_VALUE"""),"- 1,0 %")</f>
        <v>- 1,0 %</v>
      </c>
      <c r="E147" s="1" t="str">
        <f>IFERROR(__xludf.DUMMYFUNCTION("""COMPUTED_VALUE"""),"- 3,6 %")</f>
        <v>- 3,6 %</v>
      </c>
    </row>
    <row r="148">
      <c r="A148" s="2">
        <f>IFERROR(__xludf.DUMMYFUNCTION("""COMPUTED_VALUE"""),41730.0)</f>
        <v>41730</v>
      </c>
      <c r="B148" s="1" t="str">
        <f>IFERROR(__xludf.DUMMYFUNCTION("""COMPUTED_VALUE"""),"2.740 €/m2")</f>
        <v>2.740 €/m2</v>
      </c>
      <c r="C148" s="1" t="str">
        <f>IFERROR(__xludf.DUMMYFUNCTION("""COMPUTED_VALUE"""),"- 0,7 %")</f>
        <v>- 0,7 %</v>
      </c>
      <c r="D148" s="1" t="str">
        <f>IFERROR(__xludf.DUMMYFUNCTION("""COMPUTED_VALUE"""),"- 1,9 %")</f>
        <v>- 1,9 %</v>
      </c>
      <c r="E148" s="1" t="str">
        <f>IFERROR(__xludf.DUMMYFUNCTION("""COMPUTED_VALUE"""),"- 4,8 %")</f>
        <v>- 4,8 %</v>
      </c>
    </row>
    <row r="149">
      <c r="A149" s="2">
        <f>IFERROR(__xludf.DUMMYFUNCTION("""COMPUTED_VALUE"""),41699.0)</f>
        <v>41699</v>
      </c>
      <c r="B149" s="1" t="str">
        <f>IFERROR(__xludf.DUMMYFUNCTION("""COMPUTED_VALUE"""),"2.760 €/m2")</f>
        <v>2.760 €/m2</v>
      </c>
      <c r="C149" s="1" t="str">
        <f>IFERROR(__xludf.DUMMYFUNCTION("""COMPUTED_VALUE"""),"- 0,8 %")</f>
        <v>- 0,8 %</v>
      </c>
      <c r="D149" s="1" t="str">
        <f>IFERROR(__xludf.DUMMYFUNCTION("""COMPUTED_VALUE"""),"- 1,4 %")</f>
        <v>- 1,4 %</v>
      </c>
      <c r="E149" s="1" t="str">
        <f>IFERROR(__xludf.DUMMYFUNCTION("""COMPUTED_VALUE"""),"- 5,1 %")</f>
        <v>- 5,1 %</v>
      </c>
    </row>
    <row r="150">
      <c r="A150" s="2">
        <f>IFERROR(__xludf.DUMMYFUNCTION("""COMPUTED_VALUE"""),41671.0)</f>
        <v>41671</v>
      </c>
      <c r="B150" s="1" t="str">
        <f>IFERROR(__xludf.DUMMYFUNCTION("""COMPUTED_VALUE"""),"2.783 €/m2")</f>
        <v>2.783 €/m2</v>
      </c>
      <c r="C150" s="1" t="str">
        <f>IFERROR(__xludf.DUMMYFUNCTION("""COMPUTED_VALUE"""),"- 0,4 %")</f>
        <v>- 0,4 %</v>
      </c>
      <c r="D150" s="1" t="str">
        <f>IFERROR(__xludf.DUMMYFUNCTION("""COMPUTED_VALUE"""),"- 2,4 %")</f>
        <v>- 2,4 %</v>
      </c>
      <c r="E150" s="1" t="str">
        <f>IFERROR(__xludf.DUMMYFUNCTION("""COMPUTED_VALUE"""),"- 4,1 %")</f>
        <v>- 4,1 %</v>
      </c>
    </row>
    <row r="151">
      <c r="A151" s="2">
        <f>IFERROR(__xludf.DUMMYFUNCTION("""COMPUTED_VALUE"""),41640.0)</f>
        <v>41640</v>
      </c>
      <c r="B151" s="1" t="str">
        <f>IFERROR(__xludf.DUMMYFUNCTION("""COMPUTED_VALUE"""),"2.793 €/m2")</f>
        <v>2.793 €/m2</v>
      </c>
      <c r="C151" s="1" t="str">
        <f>IFERROR(__xludf.DUMMYFUNCTION("""COMPUTED_VALUE"""),"- 0,2 %")</f>
        <v>- 0,2 %</v>
      </c>
      <c r="D151" s="1" t="str">
        <f>IFERROR(__xludf.DUMMYFUNCTION("""COMPUTED_VALUE"""),"- 1,9 %")</f>
        <v>- 1,9 %</v>
      </c>
      <c r="E151" s="1" t="str">
        <f>IFERROR(__xludf.DUMMYFUNCTION("""COMPUTED_VALUE"""),"- 4,7 %")</f>
        <v>- 4,7 %</v>
      </c>
    </row>
    <row r="152">
      <c r="A152" s="2">
        <f>IFERROR(__xludf.DUMMYFUNCTION("""COMPUTED_VALUE"""),41609.0)</f>
        <v>41609</v>
      </c>
      <c r="B152" s="1" t="str">
        <f>IFERROR(__xludf.DUMMYFUNCTION("""COMPUTED_VALUE"""),"2.799 €/m2")</f>
        <v>2.799 €/m2</v>
      </c>
      <c r="C152" s="1" t="str">
        <f>IFERROR(__xludf.DUMMYFUNCTION("""COMPUTED_VALUE"""),"- 1,8 %")</f>
        <v>- 1,8 %</v>
      </c>
      <c r="D152" s="1" t="str">
        <f>IFERROR(__xludf.DUMMYFUNCTION("""COMPUTED_VALUE"""),"- 1,9 %")</f>
        <v>- 1,9 %</v>
      </c>
      <c r="E152" s="1" t="str">
        <f>IFERROR(__xludf.DUMMYFUNCTION("""COMPUTED_VALUE"""),"- 5,5 %")</f>
        <v>- 5,5 %</v>
      </c>
    </row>
    <row r="153">
      <c r="A153" s="2">
        <f>IFERROR(__xludf.DUMMYFUNCTION("""COMPUTED_VALUE"""),41579.0)</f>
        <v>41579</v>
      </c>
      <c r="B153" s="1" t="str">
        <f>IFERROR(__xludf.DUMMYFUNCTION("""COMPUTED_VALUE"""),"2.850 €/m2")</f>
        <v>2.850 €/m2</v>
      </c>
      <c r="C153" s="1" t="str">
        <f>IFERROR(__xludf.DUMMYFUNCTION("""COMPUTED_VALUE"""),"+ 0,1 %")</f>
        <v>+ 0,1 %</v>
      </c>
      <c r="D153" s="1" t="str">
        <f>IFERROR(__xludf.DUMMYFUNCTION("""COMPUTED_VALUE"""),"+ 2,0 %")</f>
        <v>+ 2,0 %</v>
      </c>
      <c r="E153" s="1" t="str">
        <f>IFERROR(__xludf.DUMMYFUNCTION("""COMPUTED_VALUE"""),"- 5,2 %")</f>
        <v>- 5,2 %</v>
      </c>
    </row>
    <row r="154">
      <c r="A154" s="2">
        <f>IFERROR(__xludf.DUMMYFUNCTION("""COMPUTED_VALUE"""),41548.0)</f>
        <v>41548</v>
      </c>
      <c r="B154" s="1" t="str">
        <f>IFERROR(__xludf.DUMMYFUNCTION("""COMPUTED_VALUE"""),"2.847 €/m2")</f>
        <v>2.847 €/m2</v>
      </c>
      <c r="C154" s="1" t="str">
        <f>IFERROR(__xludf.DUMMYFUNCTION("""COMPUTED_VALUE"""),"- 0,2 %")</f>
        <v>- 0,2 %</v>
      </c>
      <c r="D154" s="1" t="str">
        <f>IFERROR(__xludf.DUMMYFUNCTION("""COMPUTED_VALUE"""),"+ 1,0 %")</f>
        <v>+ 1,0 %</v>
      </c>
      <c r="E154" s="1" t="str">
        <f>IFERROR(__xludf.DUMMYFUNCTION("""COMPUTED_VALUE"""),"- 5,9 %")</f>
        <v>- 5,9 %</v>
      </c>
    </row>
    <row r="155">
      <c r="A155" s="2">
        <f>IFERROR(__xludf.DUMMYFUNCTION("""COMPUTED_VALUE"""),41518.0)</f>
        <v>41518</v>
      </c>
      <c r="B155" s="1" t="str">
        <f>IFERROR(__xludf.DUMMYFUNCTION("""COMPUTED_VALUE"""),"2.854 €/m2")</f>
        <v>2.854 €/m2</v>
      </c>
      <c r="C155" s="1" t="str">
        <f>IFERROR(__xludf.DUMMYFUNCTION("""COMPUTED_VALUE"""),"+ 2,1 %")</f>
        <v>+ 2,1 %</v>
      </c>
      <c r="D155" s="1" t="str">
        <f>IFERROR(__xludf.DUMMYFUNCTION("""COMPUTED_VALUE"""),"+ 0,4 %")</f>
        <v>+ 0,4 %</v>
      </c>
      <c r="E155" s="1" t="str">
        <f>IFERROR(__xludf.DUMMYFUNCTION("""COMPUTED_VALUE"""),"- 5,1 %")</f>
        <v>- 5,1 %</v>
      </c>
    </row>
    <row r="156">
      <c r="A156" s="2">
        <f>IFERROR(__xludf.DUMMYFUNCTION("""COMPUTED_VALUE"""),41487.0)</f>
        <v>41487</v>
      </c>
      <c r="B156" s="1" t="str">
        <f>IFERROR(__xludf.DUMMYFUNCTION("""COMPUTED_VALUE"""),"2.794 €/m2")</f>
        <v>2.794 €/m2</v>
      </c>
      <c r="C156" s="1" t="str">
        <f>IFERROR(__xludf.DUMMYFUNCTION("""COMPUTED_VALUE"""),"- 0,9 %")</f>
        <v>- 0,9 %</v>
      </c>
      <c r="D156" s="1" t="str">
        <f>IFERROR(__xludf.DUMMYFUNCTION("""COMPUTED_VALUE"""),"- 2,2 %")</f>
        <v>- 2,2 %</v>
      </c>
      <c r="E156" s="1" t="str">
        <f>IFERROR(__xludf.DUMMYFUNCTION("""COMPUTED_VALUE"""),"- 7,0 %")</f>
        <v>- 7,0 %</v>
      </c>
    </row>
    <row r="157">
      <c r="A157" s="2">
        <f>IFERROR(__xludf.DUMMYFUNCTION("""COMPUTED_VALUE"""),41456.0)</f>
        <v>41456</v>
      </c>
      <c r="B157" s="1" t="str">
        <f>IFERROR(__xludf.DUMMYFUNCTION("""COMPUTED_VALUE"""),"2.819 €/m2")</f>
        <v>2.819 €/m2</v>
      </c>
      <c r="C157" s="1" t="str">
        <f>IFERROR(__xludf.DUMMYFUNCTION("""COMPUTED_VALUE"""),"- 0,8 %")</f>
        <v>- 0,8 %</v>
      </c>
      <c r="D157" s="1" t="str">
        <f>IFERROR(__xludf.DUMMYFUNCTION("""COMPUTED_VALUE"""),"- 2,1 %")</f>
        <v>- 2,1 %</v>
      </c>
      <c r="E157" s="1" t="str">
        <f>IFERROR(__xludf.DUMMYFUNCTION("""COMPUTED_VALUE"""),"- 6,9 %")</f>
        <v>- 6,9 %</v>
      </c>
    </row>
    <row r="158">
      <c r="A158" s="2">
        <f>IFERROR(__xludf.DUMMYFUNCTION("""COMPUTED_VALUE"""),41426.0)</f>
        <v>41426</v>
      </c>
      <c r="B158" s="1" t="str">
        <f>IFERROR(__xludf.DUMMYFUNCTION("""COMPUTED_VALUE"""),"2.843 €/m2")</f>
        <v>2.843 €/m2</v>
      </c>
      <c r="C158" s="1" t="str">
        <f>IFERROR(__xludf.DUMMYFUNCTION("""COMPUTED_VALUE"""),"- 0,5 %")</f>
        <v>- 0,5 %</v>
      </c>
      <c r="D158" s="1" t="str">
        <f>IFERROR(__xludf.DUMMYFUNCTION("""COMPUTED_VALUE"""),"- 2,3 %")</f>
        <v>- 2,3 %</v>
      </c>
      <c r="E158" s="1" t="str">
        <f>IFERROR(__xludf.DUMMYFUNCTION("""COMPUTED_VALUE"""),"- 6,7 %")</f>
        <v>- 6,7 %</v>
      </c>
    </row>
    <row r="159">
      <c r="A159" s="2">
        <f>IFERROR(__xludf.DUMMYFUNCTION("""COMPUTED_VALUE"""),41395.0)</f>
        <v>41395</v>
      </c>
      <c r="B159" s="1" t="str">
        <f>IFERROR(__xludf.DUMMYFUNCTION("""COMPUTED_VALUE"""),"2.858 €/m2")</f>
        <v>2.858 €/m2</v>
      </c>
      <c r="C159" s="1" t="str">
        <f>IFERROR(__xludf.DUMMYFUNCTION("""COMPUTED_VALUE"""),"- 0,7 %")</f>
        <v>- 0,7 %</v>
      </c>
      <c r="D159" s="1" t="str">
        <f>IFERROR(__xludf.DUMMYFUNCTION("""COMPUTED_VALUE"""),"- 1,5 %")</f>
        <v>- 1,5 %</v>
      </c>
      <c r="E159" s="1" t="str">
        <f>IFERROR(__xludf.DUMMYFUNCTION("""COMPUTED_VALUE"""),"- 8,2 %")</f>
        <v>- 8,2 %</v>
      </c>
    </row>
    <row r="160">
      <c r="A160" s="2">
        <f>IFERROR(__xludf.DUMMYFUNCTION("""COMPUTED_VALUE"""),41365.0)</f>
        <v>41365</v>
      </c>
      <c r="B160" s="1" t="str">
        <f>IFERROR(__xludf.DUMMYFUNCTION("""COMPUTED_VALUE"""),"2.879 €/m2")</f>
        <v>2.879 €/m2</v>
      </c>
      <c r="C160" s="1" t="str">
        <f>IFERROR(__xludf.DUMMYFUNCTION("""COMPUTED_VALUE"""),"- 1,0 %")</f>
        <v>- 1,0 %</v>
      </c>
      <c r="D160" s="1" t="str">
        <f>IFERROR(__xludf.DUMMYFUNCTION("""COMPUTED_VALUE"""),"- 1,8 %")</f>
        <v>- 1,8 %</v>
      </c>
      <c r="E160" s="1" t="str">
        <f>IFERROR(__xludf.DUMMYFUNCTION("""COMPUTED_VALUE"""),"- 8,1 %")</f>
        <v>- 8,1 %</v>
      </c>
    </row>
    <row r="161">
      <c r="A161" s="2">
        <f>IFERROR(__xludf.DUMMYFUNCTION("""COMPUTED_VALUE"""),41334.0)</f>
        <v>41334</v>
      </c>
      <c r="B161" s="1" t="str">
        <f>IFERROR(__xludf.DUMMYFUNCTION("""COMPUTED_VALUE"""),"2.909 €/m2")</f>
        <v>2.909 €/m2</v>
      </c>
      <c r="C161" s="1" t="str">
        <f>IFERROR(__xludf.DUMMYFUNCTION("""COMPUTED_VALUE"""),"+ 0,3 %")</f>
        <v>+ 0,3 %</v>
      </c>
      <c r="D161" s="1" t="str">
        <f>IFERROR(__xludf.DUMMYFUNCTION("""COMPUTED_VALUE"""),"- 1,8 %")</f>
        <v>- 1,8 %</v>
      </c>
      <c r="E161" s="1" t="str">
        <f>IFERROR(__xludf.DUMMYFUNCTION("""COMPUTED_VALUE"""),"- 9,3 %")</f>
        <v>- 9,3 %</v>
      </c>
    </row>
    <row r="162">
      <c r="A162" s="2">
        <f>IFERROR(__xludf.DUMMYFUNCTION("""COMPUTED_VALUE"""),41306.0)</f>
        <v>41306</v>
      </c>
      <c r="B162" s="1" t="str">
        <f>IFERROR(__xludf.DUMMYFUNCTION("""COMPUTED_VALUE"""),"2.901 €/m2")</f>
        <v>2.901 €/m2</v>
      </c>
      <c r="C162" s="1" t="str">
        <f>IFERROR(__xludf.DUMMYFUNCTION("""COMPUTED_VALUE"""),"- 1,1 %")</f>
        <v>- 1,1 %</v>
      </c>
      <c r="D162" s="1" t="str">
        <f>IFERROR(__xludf.DUMMYFUNCTION("""COMPUTED_VALUE"""),"- 3,5 %")</f>
        <v>- 3,5 %</v>
      </c>
      <c r="E162" s="1" t="str">
        <f>IFERROR(__xludf.DUMMYFUNCTION("""COMPUTED_VALUE"""),"- 10,4 %")</f>
        <v>- 10,4 %</v>
      </c>
    </row>
    <row r="163">
      <c r="A163" s="2">
        <f>IFERROR(__xludf.DUMMYFUNCTION("""COMPUTED_VALUE"""),41275.0)</f>
        <v>41275</v>
      </c>
      <c r="B163" s="1" t="str">
        <f>IFERROR(__xludf.DUMMYFUNCTION("""COMPUTED_VALUE"""),"2.932 €/m2")</f>
        <v>2.932 €/m2</v>
      </c>
      <c r="C163" s="1" t="str">
        <f>IFERROR(__xludf.DUMMYFUNCTION("""COMPUTED_VALUE"""),"- 1,0 %")</f>
        <v>- 1,0 %</v>
      </c>
      <c r="D163" s="1" t="str">
        <f>IFERROR(__xludf.DUMMYFUNCTION("""COMPUTED_VALUE"""),"- 3,1 %")</f>
        <v>- 3,1 %</v>
      </c>
      <c r="E163" s="1" t="str">
        <f>IFERROR(__xludf.DUMMYFUNCTION("""COMPUTED_VALUE"""),"- 10,2 %")</f>
        <v>- 10,2 %</v>
      </c>
    </row>
    <row r="164">
      <c r="A164" s="2">
        <f>IFERROR(__xludf.DUMMYFUNCTION("""COMPUTED_VALUE"""),41244.0)</f>
        <v>41244</v>
      </c>
      <c r="B164" s="1" t="str">
        <f>IFERROR(__xludf.DUMMYFUNCTION("""COMPUTED_VALUE"""),"2.962 €/m2")</f>
        <v>2.962 €/m2</v>
      </c>
      <c r="C164" s="1" t="str">
        <f>IFERROR(__xludf.DUMMYFUNCTION("""COMPUTED_VALUE"""),"- 1,4 %")</f>
        <v>- 1,4 %</v>
      </c>
      <c r="D164" s="1" t="str">
        <f>IFERROR(__xludf.DUMMYFUNCTION("""COMPUTED_VALUE"""),"- 1,5 %")</f>
        <v>- 1,5 %</v>
      </c>
      <c r="E164" s="1" t="str">
        <f>IFERROR(__xludf.DUMMYFUNCTION("""COMPUTED_VALUE"""),"- 9,6 %")</f>
        <v>- 9,6 %</v>
      </c>
    </row>
    <row r="165">
      <c r="A165" s="2">
        <f>IFERROR(__xludf.DUMMYFUNCTION("""COMPUTED_VALUE"""),41214.0)</f>
        <v>41214</v>
      </c>
      <c r="B165" s="1" t="str">
        <f>IFERROR(__xludf.DUMMYFUNCTION("""COMPUTED_VALUE"""),"3.006 €/m2")</f>
        <v>3.006 €/m2</v>
      </c>
      <c r="C165" s="1" t="str">
        <f>IFERROR(__xludf.DUMMYFUNCTION("""COMPUTED_VALUE"""),"- 0,7 %")</f>
        <v>- 0,7 %</v>
      </c>
      <c r="D165" s="1" t="str">
        <f>IFERROR(__xludf.DUMMYFUNCTION("""COMPUTED_VALUE"""),"0,0 %")</f>
        <v>0,0 %</v>
      </c>
      <c r="E165" s="1" t="str">
        <f>IFERROR(__xludf.DUMMYFUNCTION("""COMPUTED_VALUE"""),"- 9,1 %")</f>
        <v>- 9,1 %</v>
      </c>
    </row>
    <row r="166">
      <c r="A166" s="2">
        <f>IFERROR(__xludf.DUMMYFUNCTION("""COMPUTED_VALUE"""),41183.0)</f>
        <v>41183</v>
      </c>
      <c r="B166" s="1" t="str">
        <f>IFERROR(__xludf.DUMMYFUNCTION("""COMPUTED_VALUE"""),"3.026 €/m2")</f>
        <v>3.026 €/m2</v>
      </c>
      <c r="C166" s="1" t="str">
        <f>IFERROR(__xludf.DUMMYFUNCTION("""COMPUTED_VALUE"""),"+ 0,6 %")</f>
        <v>+ 0,6 %</v>
      </c>
      <c r="D166" s="1" t="str">
        <f>IFERROR(__xludf.DUMMYFUNCTION("""COMPUTED_VALUE"""),"- 0,1 %")</f>
        <v>- 0,1 %</v>
      </c>
      <c r="E166" s="1" t="str">
        <f>IFERROR(__xludf.DUMMYFUNCTION("""COMPUTED_VALUE"""),"- 8,8 %")</f>
        <v>- 8,8 %</v>
      </c>
    </row>
    <row r="167">
      <c r="A167" s="2">
        <f>IFERROR(__xludf.DUMMYFUNCTION("""COMPUTED_VALUE"""),41153.0)</f>
        <v>41153</v>
      </c>
      <c r="B167" s="1" t="str">
        <f>IFERROR(__xludf.DUMMYFUNCTION("""COMPUTED_VALUE"""),"3.008 €/m2")</f>
        <v>3.008 €/m2</v>
      </c>
      <c r="C167" s="1" t="str">
        <f>IFERROR(__xludf.DUMMYFUNCTION("""COMPUTED_VALUE"""),"+ 0,1 %")</f>
        <v>+ 0,1 %</v>
      </c>
      <c r="D167" s="1" t="str">
        <f>IFERROR(__xludf.DUMMYFUNCTION("""COMPUTED_VALUE"""),"- 1,3 %")</f>
        <v>- 1,3 %</v>
      </c>
      <c r="E167" s="1" t="str">
        <f>IFERROR(__xludf.DUMMYFUNCTION("""COMPUTED_VALUE"""),"- 9,9 %")</f>
        <v>- 9,9 %</v>
      </c>
    </row>
    <row r="168">
      <c r="A168" s="2">
        <f>IFERROR(__xludf.DUMMYFUNCTION("""COMPUTED_VALUE"""),41122.0)</f>
        <v>41122</v>
      </c>
      <c r="B168" s="1" t="str">
        <f>IFERROR(__xludf.DUMMYFUNCTION("""COMPUTED_VALUE"""),"3.005 €/m2")</f>
        <v>3.005 €/m2</v>
      </c>
      <c r="C168" s="1" t="str">
        <f>IFERROR(__xludf.DUMMYFUNCTION("""COMPUTED_VALUE"""),"- 0,8 %")</f>
        <v>- 0,8 %</v>
      </c>
      <c r="D168" s="1" t="str">
        <f>IFERROR(__xludf.DUMMYFUNCTION("""COMPUTED_VALUE"""),"- 3,5 %")</f>
        <v>- 3,5 %</v>
      </c>
      <c r="E168" s="1" t="str">
        <f>IFERROR(__xludf.DUMMYFUNCTION("""COMPUTED_VALUE"""),"- 9,9 %")</f>
        <v>- 9,9 %</v>
      </c>
    </row>
    <row r="169">
      <c r="A169" s="2">
        <f>IFERROR(__xludf.DUMMYFUNCTION("""COMPUTED_VALUE"""),41091.0)</f>
        <v>41091</v>
      </c>
      <c r="B169" s="1" t="str">
        <f>IFERROR(__xludf.DUMMYFUNCTION("""COMPUTED_VALUE"""),"3.029 €/m2")</f>
        <v>3.029 €/m2</v>
      </c>
      <c r="C169" s="1" t="str">
        <f>IFERROR(__xludf.DUMMYFUNCTION("""COMPUTED_VALUE"""),"- 0,5 %")</f>
        <v>- 0,5 %</v>
      </c>
      <c r="D169" s="1" t="str">
        <f>IFERROR(__xludf.DUMMYFUNCTION("""COMPUTED_VALUE"""),"- 3,3 %")</f>
        <v>- 3,3 %</v>
      </c>
      <c r="E169" s="1" t="str">
        <f>IFERROR(__xludf.DUMMYFUNCTION("""COMPUTED_VALUE"""),"- 9,6 %")</f>
        <v>- 9,6 %</v>
      </c>
    </row>
    <row r="170">
      <c r="A170" s="2">
        <f>IFERROR(__xludf.DUMMYFUNCTION("""COMPUTED_VALUE"""),41061.0)</f>
        <v>41061</v>
      </c>
      <c r="B170" s="1" t="str">
        <f>IFERROR(__xludf.DUMMYFUNCTION("""COMPUTED_VALUE"""),"3.046 €/m2")</f>
        <v>3.046 €/m2</v>
      </c>
      <c r="C170" s="1" t="str">
        <f>IFERROR(__xludf.DUMMYFUNCTION("""COMPUTED_VALUE"""),"- 2,2 %")</f>
        <v>- 2,2 %</v>
      </c>
      <c r="D170" s="1" t="str">
        <f>IFERROR(__xludf.DUMMYFUNCTION("""COMPUTED_VALUE"""),"- 5,1 %")</f>
        <v>- 5,1 %</v>
      </c>
      <c r="E170" s="1" t="str">
        <f>IFERROR(__xludf.DUMMYFUNCTION("""COMPUTED_VALUE"""),"- 9,8 %")</f>
        <v>- 9,8 %</v>
      </c>
    </row>
    <row r="171">
      <c r="A171" s="2">
        <f>IFERROR(__xludf.DUMMYFUNCTION("""COMPUTED_VALUE"""),41030.0)</f>
        <v>41030</v>
      </c>
      <c r="B171" s="1" t="str">
        <f>IFERROR(__xludf.DUMMYFUNCTION("""COMPUTED_VALUE"""),"3.114 €/m2")</f>
        <v>3.114 €/m2</v>
      </c>
      <c r="C171" s="1" t="str">
        <f>IFERROR(__xludf.DUMMYFUNCTION("""COMPUTED_VALUE"""),"- 0,6 %")</f>
        <v>- 0,6 %</v>
      </c>
      <c r="D171" s="1" t="str">
        <f>IFERROR(__xludf.DUMMYFUNCTION("""COMPUTED_VALUE"""),"- 3,9 %")</f>
        <v>- 3,9 %</v>
      </c>
      <c r="E171" s="1" t="str">
        <f>IFERROR(__xludf.DUMMYFUNCTION("""COMPUTED_VALUE"""),"- 7,8 %")</f>
        <v>- 7,8 %</v>
      </c>
    </row>
    <row r="172">
      <c r="A172" s="2">
        <f>IFERROR(__xludf.DUMMYFUNCTION("""COMPUTED_VALUE"""),41000.0)</f>
        <v>41000</v>
      </c>
      <c r="B172" s="1" t="str">
        <f>IFERROR(__xludf.DUMMYFUNCTION("""COMPUTED_VALUE"""),"3.134 €/m2")</f>
        <v>3.134 €/m2</v>
      </c>
      <c r="C172" s="1" t="str">
        <f>IFERROR(__xludf.DUMMYFUNCTION("""COMPUTED_VALUE"""),"- 2,3 %")</f>
        <v>- 2,3 %</v>
      </c>
      <c r="D172" s="1" t="str">
        <f>IFERROR(__xludf.DUMMYFUNCTION("""COMPUTED_VALUE"""),"- 4,0 %")</f>
        <v>- 4,0 %</v>
      </c>
      <c r="E172" s="1" t="str">
        <f>IFERROR(__xludf.DUMMYFUNCTION("""COMPUTED_VALUE"""),"- 7,4 %")</f>
        <v>- 7,4 %</v>
      </c>
    </row>
    <row r="173">
      <c r="A173" s="2">
        <f>IFERROR(__xludf.DUMMYFUNCTION("""COMPUTED_VALUE"""),40969.0)</f>
        <v>40969</v>
      </c>
      <c r="B173" s="1" t="str">
        <f>IFERROR(__xludf.DUMMYFUNCTION("""COMPUTED_VALUE"""),"3.209 €/m2")</f>
        <v>3.209 €/m2</v>
      </c>
      <c r="C173" s="1" t="str">
        <f>IFERROR(__xludf.DUMMYFUNCTION("""COMPUTED_VALUE"""),"- 0,9 %")</f>
        <v>- 0,9 %</v>
      </c>
      <c r="D173" s="1" t="str">
        <f>IFERROR(__xludf.DUMMYFUNCTION("""COMPUTED_VALUE"""),"- 2,1 %")</f>
        <v>- 2,1 %</v>
      </c>
      <c r="E173" s="1" t="str">
        <f>IFERROR(__xludf.DUMMYFUNCTION("""COMPUTED_VALUE"""),"- 5,3 %")</f>
        <v>- 5,3 %</v>
      </c>
    </row>
    <row r="174">
      <c r="A174" s="2">
        <f>IFERROR(__xludf.DUMMYFUNCTION("""COMPUTED_VALUE"""),40940.0)</f>
        <v>40940</v>
      </c>
      <c r="B174" s="1" t="str">
        <f>IFERROR(__xludf.DUMMYFUNCTION("""COMPUTED_VALUE"""),"3.239 €/m2")</f>
        <v>3.239 €/m2</v>
      </c>
      <c r="C174" s="1" t="str">
        <f>IFERROR(__xludf.DUMMYFUNCTION("""COMPUTED_VALUE"""),"- 0,8 %")</f>
        <v>- 0,8 %</v>
      </c>
      <c r="D174" s="1" t="str">
        <f>IFERROR(__xludf.DUMMYFUNCTION("""COMPUTED_VALUE"""),"- 2,0 %")</f>
        <v>- 2,0 %</v>
      </c>
      <c r="E174" s="1" t="str">
        <f>IFERROR(__xludf.DUMMYFUNCTION("""COMPUTED_VALUE"""),"- 3,8 %")</f>
        <v>- 3,8 %</v>
      </c>
    </row>
    <row r="175">
      <c r="A175" s="2">
        <f>IFERROR(__xludf.DUMMYFUNCTION("""COMPUTED_VALUE"""),40909.0)</f>
        <v>40909</v>
      </c>
      <c r="B175" s="1" t="str">
        <f>IFERROR(__xludf.DUMMYFUNCTION("""COMPUTED_VALUE"""),"3.265 €/m2")</f>
        <v>3.265 €/m2</v>
      </c>
      <c r="C175" s="1" t="str">
        <f>IFERROR(__xludf.DUMMYFUNCTION("""COMPUTED_VALUE"""),"- 0,4 %")</f>
        <v>- 0,4 %</v>
      </c>
      <c r="D175" s="1" t="str">
        <f>IFERROR(__xludf.DUMMYFUNCTION("""COMPUTED_VALUE"""),"- 1,6 %")</f>
        <v>- 1,6 %</v>
      </c>
      <c r="E175" s="1" t="str">
        <f>IFERROR(__xludf.DUMMYFUNCTION("""COMPUTED_VALUE"""),"- 4,9 %")</f>
        <v>- 4,9 %</v>
      </c>
    </row>
    <row r="176">
      <c r="A176" s="2">
        <f>IFERROR(__xludf.DUMMYFUNCTION("""COMPUTED_VALUE"""),40878.0)</f>
        <v>40878</v>
      </c>
      <c r="B176" s="1" t="str">
        <f>IFERROR(__xludf.DUMMYFUNCTION("""COMPUTED_VALUE"""),"3.278 €/m2")</f>
        <v>3.278 €/m2</v>
      </c>
      <c r="C176" s="1" t="str">
        <f>IFERROR(__xludf.DUMMYFUNCTION("""COMPUTED_VALUE"""),"- 0,8 %")</f>
        <v>- 0,8 %</v>
      </c>
      <c r="D176" s="1" t="str">
        <f>IFERROR(__xludf.DUMMYFUNCTION("""COMPUTED_VALUE"""),"- 1,8 %")</f>
        <v>- 1,8 %</v>
      </c>
      <c r="E176" s="1" t="str">
        <f>IFERROR(__xludf.DUMMYFUNCTION("""COMPUTED_VALUE"""),"- 4,4 %")</f>
        <v>- 4,4 %</v>
      </c>
    </row>
    <row r="177">
      <c r="A177" s="2">
        <f>IFERROR(__xludf.DUMMYFUNCTION("""COMPUTED_VALUE"""),40848.0)</f>
        <v>40848</v>
      </c>
      <c r="B177" s="1" t="str">
        <f>IFERROR(__xludf.DUMMYFUNCTION("""COMPUTED_VALUE"""),"3.305 €/m2")</f>
        <v>3.305 €/m2</v>
      </c>
      <c r="C177" s="1" t="str">
        <f>IFERROR(__xludf.DUMMYFUNCTION("""COMPUTED_VALUE"""),"- 0,4 %")</f>
        <v>- 0,4 %</v>
      </c>
      <c r="D177" s="1" t="str">
        <f>IFERROR(__xludf.DUMMYFUNCTION("""COMPUTED_VALUE"""),"- 0,9 %")</f>
        <v>- 0,9 %</v>
      </c>
      <c r="E177" s="1" t="str">
        <f>IFERROR(__xludf.DUMMYFUNCTION("""COMPUTED_VALUE"""),"- 2,6 %")</f>
        <v>- 2,6 %</v>
      </c>
    </row>
    <row r="178">
      <c r="A178" s="2">
        <f>IFERROR(__xludf.DUMMYFUNCTION("""COMPUTED_VALUE"""),40817.0)</f>
        <v>40817</v>
      </c>
      <c r="B178" s="1" t="str">
        <f>IFERROR(__xludf.DUMMYFUNCTION("""COMPUTED_VALUE"""),"3.318 €/m2")</f>
        <v>3.318 €/m2</v>
      </c>
      <c r="C178" s="1" t="str">
        <f>IFERROR(__xludf.DUMMYFUNCTION("""COMPUTED_VALUE"""),"- 0,6 %")</f>
        <v>- 0,6 %</v>
      </c>
      <c r="D178" s="1" t="str">
        <f>IFERROR(__xludf.DUMMYFUNCTION("""COMPUTED_VALUE"""),"- 1,0 %")</f>
        <v>- 1,0 %</v>
      </c>
      <c r="E178" s="1" t="str">
        <f>IFERROR(__xludf.DUMMYFUNCTION("""COMPUTED_VALUE"""),"- 0,5 %")</f>
        <v>- 0,5 %</v>
      </c>
    </row>
    <row r="179">
      <c r="A179" s="2">
        <f>IFERROR(__xludf.DUMMYFUNCTION("""COMPUTED_VALUE"""),40787.0)</f>
        <v>40787</v>
      </c>
      <c r="B179" s="1" t="str">
        <f>IFERROR(__xludf.DUMMYFUNCTION("""COMPUTED_VALUE"""),"3.337 €/m2")</f>
        <v>3.337 €/m2</v>
      </c>
      <c r="C179" s="1" t="str">
        <f>IFERROR(__xludf.DUMMYFUNCTION("""COMPUTED_VALUE"""),"0,0 %")</f>
        <v>0,0 %</v>
      </c>
      <c r="D179" s="1" t="str">
        <f>IFERROR(__xludf.DUMMYFUNCTION("""COMPUTED_VALUE"""),"- 1,2 %")</f>
        <v>- 1,2 %</v>
      </c>
      <c r="E179" s="1" t="str">
        <f>IFERROR(__xludf.DUMMYFUNCTION("""COMPUTED_VALUE"""),"+ 1,1 %")</f>
        <v>+ 1,1 %</v>
      </c>
    </row>
    <row r="180">
      <c r="A180" s="2">
        <f>IFERROR(__xludf.DUMMYFUNCTION("""COMPUTED_VALUE"""),40756.0)</f>
        <v>40756</v>
      </c>
      <c r="B180" s="1" t="str">
        <f>IFERROR(__xludf.DUMMYFUNCTION("""COMPUTED_VALUE"""),"3.335 €/m2")</f>
        <v>3.335 €/m2</v>
      </c>
      <c r="C180" s="1" t="str">
        <f>IFERROR(__xludf.DUMMYFUNCTION("""COMPUTED_VALUE"""),"- 0,5 %")</f>
        <v>- 0,5 %</v>
      </c>
      <c r="D180" s="1" t="str">
        <f>IFERROR(__xludf.DUMMYFUNCTION("""COMPUTED_VALUE"""),"- 1,3 %")</f>
        <v>- 1,3 %</v>
      </c>
      <c r="E180" s="1" t="str">
        <f>IFERROR(__xludf.DUMMYFUNCTION("""COMPUTED_VALUE"""),"+ 1,4 %")</f>
        <v>+ 1,4 %</v>
      </c>
    </row>
    <row r="181">
      <c r="A181" s="2">
        <f>IFERROR(__xludf.DUMMYFUNCTION("""COMPUTED_VALUE"""),40725.0)</f>
        <v>40725</v>
      </c>
      <c r="B181" s="1" t="str">
        <f>IFERROR(__xludf.DUMMYFUNCTION("""COMPUTED_VALUE"""),"3.352 €/m2")</f>
        <v>3.352 €/m2</v>
      </c>
      <c r="C181" s="1" t="str">
        <f>IFERROR(__xludf.DUMMYFUNCTION("""COMPUTED_VALUE"""),"- 0,8 %")</f>
        <v>- 0,8 %</v>
      </c>
      <c r="D181" s="1" t="str">
        <f>IFERROR(__xludf.DUMMYFUNCTION("""COMPUTED_VALUE"""),"- 1,0 %")</f>
        <v>- 1,0 %</v>
      </c>
      <c r="E181" s="1" t="str">
        <f>IFERROR(__xludf.DUMMYFUNCTION("""COMPUTED_VALUE"""),"+ 2,4 %")</f>
        <v>+ 2,4 %</v>
      </c>
    </row>
    <row r="182">
      <c r="A182" s="2">
        <f>IFERROR(__xludf.DUMMYFUNCTION("""COMPUTED_VALUE"""),40695.0)</f>
        <v>40695</v>
      </c>
      <c r="B182" s="1" t="str">
        <f>IFERROR(__xludf.DUMMYFUNCTION("""COMPUTED_VALUE"""),"3.378 €/m2")</f>
        <v>3.378 €/m2</v>
      </c>
      <c r="C182" s="1" t="str">
        <f>IFERROR(__xludf.DUMMYFUNCTION("""COMPUTED_VALUE"""),"0,0 %")</f>
        <v>0,0 %</v>
      </c>
      <c r="D182" s="1" t="str">
        <f>IFERROR(__xludf.DUMMYFUNCTION("""COMPUTED_VALUE"""),"- 0,3 %")</f>
        <v>- 0,3 %</v>
      </c>
      <c r="E182" s="1" t="str">
        <f>IFERROR(__xludf.DUMMYFUNCTION("""COMPUTED_VALUE"""),"+ 3,0 %")</f>
        <v>+ 3,0 %</v>
      </c>
    </row>
    <row r="183">
      <c r="A183" s="2">
        <f>IFERROR(__xludf.DUMMYFUNCTION("""COMPUTED_VALUE"""),40664.0)</f>
        <v>40664</v>
      </c>
      <c r="B183" s="1" t="str">
        <f>IFERROR(__xludf.DUMMYFUNCTION("""COMPUTED_VALUE"""),"3.379 €/m2")</f>
        <v>3.379 €/m2</v>
      </c>
      <c r="C183" s="1" t="str">
        <f>IFERROR(__xludf.DUMMYFUNCTION("""COMPUTED_VALUE"""),"- 0,2 %")</f>
        <v>- 0,2 %</v>
      </c>
      <c r="D183" s="1" t="str">
        <f>IFERROR(__xludf.DUMMYFUNCTION("""COMPUTED_VALUE"""),"+ 0,4 %")</f>
        <v>+ 0,4 %</v>
      </c>
      <c r="E183" s="1" t="str">
        <f>IFERROR(__xludf.DUMMYFUNCTION("""COMPUTED_VALUE"""),"+ 1,2 %")</f>
        <v>+ 1,2 %</v>
      </c>
    </row>
    <row r="184">
      <c r="A184" s="2">
        <f>IFERROR(__xludf.DUMMYFUNCTION("""COMPUTED_VALUE"""),40634.0)</f>
        <v>40634</v>
      </c>
      <c r="B184" s="1" t="str">
        <f>IFERROR(__xludf.DUMMYFUNCTION("""COMPUTED_VALUE"""),"3.385 €/m2")</f>
        <v>3.385 €/m2</v>
      </c>
      <c r="C184" s="1" t="str">
        <f>IFERROR(__xludf.DUMMYFUNCTION("""COMPUTED_VALUE"""),"- 0,1 %")</f>
        <v>- 0,1 %</v>
      </c>
      <c r="D184" s="1" t="str">
        <f>IFERROR(__xludf.DUMMYFUNCTION("""COMPUTED_VALUE"""),"- 1,4 %")</f>
        <v>- 1,4 %</v>
      </c>
      <c r="E184" s="1" t="str">
        <f>IFERROR(__xludf.DUMMYFUNCTION("""COMPUTED_VALUE"""),"- 0,9 %")</f>
        <v>- 0,9 %</v>
      </c>
    </row>
    <row r="185">
      <c r="A185" s="2">
        <f>IFERROR(__xludf.DUMMYFUNCTION("""COMPUTED_VALUE"""),40603.0)</f>
        <v>40603</v>
      </c>
      <c r="B185" s="1" t="str">
        <f>IFERROR(__xludf.DUMMYFUNCTION("""COMPUTED_VALUE"""),"3.390 €/m2")</f>
        <v>3.390 €/m2</v>
      </c>
      <c r="C185" s="1" t="str">
        <f>IFERROR(__xludf.DUMMYFUNCTION("""COMPUTED_VALUE"""),"+ 0,7 %")</f>
        <v>+ 0,7 %</v>
      </c>
      <c r="D185" s="1" t="str">
        <f>IFERROR(__xludf.DUMMYFUNCTION("""COMPUTED_VALUE"""),"- 1,1 %")</f>
        <v>- 1,1 %</v>
      </c>
      <c r="E185" s="1" t="str">
        <f>IFERROR(__xludf.DUMMYFUNCTION("""COMPUTED_VALUE"""),"+ 1,7 %")</f>
        <v>+ 1,7 %</v>
      </c>
    </row>
    <row r="186">
      <c r="A186" s="2">
        <f>IFERROR(__xludf.DUMMYFUNCTION("""COMPUTED_VALUE"""),40575.0)</f>
        <v>40575</v>
      </c>
      <c r="B186" s="1" t="str">
        <f>IFERROR(__xludf.DUMMYFUNCTION("""COMPUTED_VALUE"""),"3.367 €/m2")</f>
        <v>3.367 €/m2</v>
      </c>
      <c r="C186" s="1" t="str">
        <f>IFERROR(__xludf.DUMMYFUNCTION("""COMPUTED_VALUE"""),"- 1,9 %")</f>
        <v>- 1,9 %</v>
      </c>
      <c r="D186" s="1" t="str">
        <f>IFERROR(__xludf.DUMMYFUNCTION("""COMPUTED_VALUE"""),"- 0,8 %")</f>
        <v>- 0,8 %</v>
      </c>
      <c r="E186" s="1" t="str">
        <f>IFERROR(__xludf.DUMMYFUNCTION("""COMPUTED_VALUE"""),"+ 1,2 %")</f>
        <v>+ 1,2 %</v>
      </c>
    </row>
    <row r="187">
      <c r="A187" s="2">
        <f>IFERROR(__xludf.DUMMYFUNCTION("""COMPUTED_VALUE"""),40544.0)</f>
        <v>40544</v>
      </c>
      <c r="B187" s="1" t="str">
        <f>IFERROR(__xludf.DUMMYFUNCTION("""COMPUTED_VALUE"""),"3.432 €/m2")</f>
        <v>3.432 €/m2</v>
      </c>
      <c r="C187" s="1" t="str">
        <f>IFERROR(__xludf.DUMMYFUNCTION("""COMPUTED_VALUE"""),"+ 0,1 %")</f>
        <v>+ 0,1 %</v>
      </c>
      <c r="D187" s="1" t="str">
        <f>IFERROR(__xludf.DUMMYFUNCTION("""COMPUTED_VALUE"""),"+ 2,9 %")</f>
        <v>+ 2,9 %</v>
      </c>
      <c r="E187" s="1" t="str">
        <f>IFERROR(__xludf.DUMMYFUNCTION("""COMPUTED_VALUE"""),"+ 4,7 %")</f>
        <v>+ 4,7 %</v>
      </c>
    </row>
    <row r="188">
      <c r="A188" s="2">
        <f>IFERROR(__xludf.DUMMYFUNCTION("""COMPUTED_VALUE"""),40513.0)</f>
        <v>40513</v>
      </c>
      <c r="B188" s="1" t="str">
        <f>IFERROR(__xludf.DUMMYFUNCTION("""COMPUTED_VALUE"""),"3.428 €/m2")</f>
        <v>3.428 €/m2</v>
      </c>
      <c r="C188" s="1" t="str">
        <f>IFERROR(__xludf.DUMMYFUNCTION("""COMPUTED_VALUE"""),"+ 1,0 %")</f>
        <v>+ 1,0 %</v>
      </c>
      <c r="D188" s="1" t="str">
        <f>IFERROR(__xludf.DUMMYFUNCTION("""COMPUTED_VALUE"""),"+ 3,8 %")</f>
        <v>+ 3,8 %</v>
      </c>
      <c r="E188" s="1" t="str">
        <f>IFERROR(__xludf.DUMMYFUNCTION("""COMPUTED_VALUE"""),"+ 3,5 %")</f>
        <v>+ 3,5 %</v>
      </c>
    </row>
    <row r="189">
      <c r="A189" s="2">
        <f>IFERROR(__xludf.DUMMYFUNCTION("""COMPUTED_VALUE"""),40483.0)</f>
        <v>40483</v>
      </c>
      <c r="B189" s="1" t="str">
        <f>IFERROR(__xludf.DUMMYFUNCTION("""COMPUTED_VALUE"""),"3.393 €/m2")</f>
        <v>3.393 €/m2</v>
      </c>
      <c r="C189" s="1" t="str">
        <f>IFERROR(__xludf.DUMMYFUNCTION("""COMPUTED_VALUE"""),"+ 1,7 %")</f>
        <v>+ 1,7 %</v>
      </c>
      <c r="D189" s="1" t="str">
        <f>IFERROR(__xludf.DUMMYFUNCTION("""COMPUTED_VALUE"""),"+ 3,1 %")</f>
        <v>+ 3,1 %</v>
      </c>
      <c r="E189" s="1" t="str">
        <f>IFERROR(__xludf.DUMMYFUNCTION("""COMPUTED_VALUE"""),"+ 2,3 %")</f>
        <v>+ 2,3 %</v>
      </c>
    </row>
    <row r="190">
      <c r="A190" s="2">
        <f>IFERROR(__xludf.DUMMYFUNCTION("""COMPUTED_VALUE"""),40452.0)</f>
        <v>40452</v>
      </c>
      <c r="B190" s="1" t="str">
        <f>IFERROR(__xludf.DUMMYFUNCTION("""COMPUTED_VALUE"""),"3.335 €/m2")</f>
        <v>3.335 €/m2</v>
      </c>
      <c r="C190" s="1" t="str">
        <f>IFERROR(__xludf.DUMMYFUNCTION("""COMPUTED_VALUE"""),"+ 1,0 %")</f>
        <v>+ 1,0 %</v>
      </c>
      <c r="D190" s="1" t="str">
        <f>IFERROR(__xludf.DUMMYFUNCTION("""COMPUTED_VALUE"""),"+ 1,9 %")</f>
        <v>+ 1,9 %</v>
      </c>
      <c r="E190" s="1" t="str">
        <f>IFERROR(__xludf.DUMMYFUNCTION("""COMPUTED_VALUE"""),"+ 0,4 %")</f>
        <v>+ 0,4 %</v>
      </c>
    </row>
    <row r="191">
      <c r="A191" s="2">
        <f>IFERROR(__xludf.DUMMYFUNCTION("""COMPUTED_VALUE"""),40422.0)</f>
        <v>40422</v>
      </c>
      <c r="B191" s="1" t="str">
        <f>IFERROR(__xludf.DUMMYFUNCTION("""COMPUTED_VALUE"""),"3.301 €/m2")</f>
        <v>3.301 €/m2</v>
      </c>
      <c r="C191" s="1" t="str">
        <f>IFERROR(__xludf.DUMMYFUNCTION("""COMPUTED_VALUE"""),"+ 0,3 %")</f>
        <v>+ 0,3 %</v>
      </c>
      <c r="D191" s="1" t="str">
        <f>IFERROR(__xludf.DUMMYFUNCTION("""COMPUTED_VALUE"""),"+ 0,6 %")</f>
        <v>+ 0,6 %</v>
      </c>
      <c r="E191" s="1" t="str">
        <f>IFERROR(__xludf.DUMMYFUNCTION("""COMPUTED_VALUE"""),"+ 0,7 %")</f>
        <v>+ 0,7 %</v>
      </c>
    </row>
    <row r="192">
      <c r="A192" s="2">
        <f>IFERROR(__xludf.DUMMYFUNCTION("""COMPUTED_VALUE"""),40391.0)</f>
        <v>40391</v>
      </c>
      <c r="B192" s="1" t="str">
        <f>IFERROR(__xludf.DUMMYFUNCTION("""COMPUTED_VALUE"""),"3.291 €/m2")</f>
        <v>3.291 €/m2</v>
      </c>
      <c r="C192" s="1" t="str">
        <f>IFERROR(__xludf.DUMMYFUNCTION("""COMPUTED_VALUE"""),"+ 0,5 %")</f>
        <v>+ 0,5 %</v>
      </c>
      <c r="D192" s="1" t="str">
        <f>IFERROR(__xludf.DUMMYFUNCTION("""COMPUTED_VALUE"""),"- 1,5 %")</f>
        <v>- 1,5 %</v>
      </c>
      <c r="E192" s="1" t="str">
        <f>IFERROR(__xludf.DUMMYFUNCTION("""COMPUTED_VALUE"""),"+ 0,2 %")</f>
        <v>+ 0,2 %</v>
      </c>
    </row>
    <row r="193">
      <c r="A193" s="2">
        <f>IFERROR(__xludf.DUMMYFUNCTION("""COMPUTED_VALUE"""),40360.0)</f>
        <v>40360</v>
      </c>
      <c r="B193" s="1" t="str">
        <f>IFERROR(__xludf.DUMMYFUNCTION("""COMPUTED_VALUE"""),"3.274 €/m2")</f>
        <v>3.274 €/m2</v>
      </c>
      <c r="C193" s="1" t="str">
        <f>IFERROR(__xludf.DUMMYFUNCTION("""COMPUTED_VALUE"""),"- 0,2 %")</f>
        <v>- 0,2 %</v>
      </c>
      <c r="D193" s="1" t="str">
        <f>IFERROR(__xludf.DUMMYFUNCTION("""COMPUTED_VALUE"""),"- 4,2 %")</f>
        <v>- 4,2 %</v>
      </c>
      <c r="E193" s="1" t="str">
        <f>IFERROR(__xludf.DUMMYFUNCTION("""COMPUTED_VALUE"""),"- 1,3 %")</f>
        <v>- 1,3 %</v>
      </c>
    </row>
    <row r="194">
      <c r="A194" s="2">
        <f>IFERROR(__xludf.DUMMYFUNCTION("""COMPUTED_VALUE"""),40330.0)</f>
        <v>40330</v>
      </c>
      <c r="B194" s="1" t="str">
        <f>IFERROR(__xludf.DUMMYFUNCTION("""COMPUTED_VALUE"""),"3.281 €/m2")</f>
        <v>3.281 €/m2</v>
      </c>
      <c r="C194" s="1" t="str">
        <f>IFERROR(__xludf.DUMMYFUNCTION("""COMPUTED_VALUE"""),"- 1,8 %")</f>
        <v>- 1,8 %</v>
      </c>
      <c r="D194" s="1" t="str">
        <f>IFERROR(__xludf.DUMMYFUNCTION("""COMPUTED_VALUE"""),"- 1,6 %")</f>
        <v>- 1,6 %</v>
      </c>
      <c r="E194" s="1" t="str">
        <f>IFERROR(__xludf.DUMMYFUNCTION("""COMPUTED_VALUE"""),"- 1,2 %")</f>
        <v>- 1,2 %</v>
      </c>
    </row>
    <row r="195">
      <c r="A195" s="2">
        <f>IFERROR(__xludf.DUMMYFUNCTION("""COMPUTED_VALUE"""),40299.0)</f>
        <v>40299</v>
      </c>
      <c r="B195" s="1" t="str">
        <f>IFERROR(__xludf.DUMMYFUNCTION("""COMPUTED_VALUE"""),"3.341 €/m2")</f>
        <v>3.341 €/m2</v>
      </c>
      <c r="C195" s="1" t="str">
        <f>IFERROR(__xludf.DUMMYFUNCTION("""COMPUTED_VALUE"""),"- 2,2 %")</f>
        <v>- 2,2 %</v>
      </c>
      <c r="D195" s="1" t="str">
        <f>IFERROR(__xludf.DUMMYFUNCTION("""COMPUTED_VALUE"""),"+ 0,4 %")</f>
        <v>+ 0,4 %</v>
      </c>
      <c r="E195" s="1" t="str">
        <f>IFERROR(__xludf.DUMMYFUNCTION("""COMPUTED_VALUE"""),"- 2,1 %")</f>
        <v>- 2,1 %</v>
      </c>
    </row>
    <row r="196">
      <c r="A196" s="2">
        <f>IFERROR(__xludf.DUMMYFUNCTION("""COMPUTED_VALUE"""),40269.0)</f>
        <v>40269</v>
      </c>
      <c r="B196" s="1" t="str">
        <f>IFERROR(__xludf.DUMMYFUNCTION("""COMPUTED_VALUE"""),"3.417 €/m2")</f>
        <v>3.417 €/m2</v>
      </c>
      <c r="C196" s="1" t="str">
        <f>IFERROR(__xludf.DUMMYFUNCTION("""COMPUTED_VALUE"""),"+ 2,5 %")</f>
        <v>+ 2,5 %</v>
      </c>
      <c r="D196" s="1" t="str">
        <f>IFERROR(__xludf.DUMMYFUNCTION("""COMPUTED_VALUE"""),"+ 4,2 %")</f>
        <v>+ 4,2 %</v>
      </c>
      <c r="E196" s="1" t="str">
        <f>IFERROR(__xludf.DUMMYFUNCTION("""COMPUTED_VALUE"""),"- 0,5 %")</f>
        <v>- 0,5 %</v>
      </c>
    </row>
    <row r="197">
      <c r="A197" s="2">
        <f>IFERROR(__xludf.DUMMYFUNCTION("""COMPUTED_VALUE"""),40238.0)</f>
        <v>40238</v>
      </c>
      <c r="B197" s="1" t="str">
        <f>IFERROR(__xludf.DUMMYFUNCTION("""COMPUTED_VALUE"""),"3.333 €/m2")</f>
        <v>3.333 €/m2</v>
      </c>
      <c r="C197" s="1" t="str">
        <f>IFERROR(__xludf.DUMMYFUNCTION("""COMPUTED_VALUE"""),"+ 0,2 %")</f>
        <v>+ 0,2 %</v>
      </c>
      <c r="D197" s="1" t="str">
        <f>IFERROR(__xludf.DUMMYFUNCTION("""COMPUTED_VALUE"""),"+ 0,7 %")</f>
        <v>+ 0,7 %</v>
      </c>
      <c r="E197" s="1" t="str">
        <f>IFERROR(__xludf.DUMMYFUNCTION("""COMPUTED_VALUE"""),"- 3,0 %")</f>
        <v>- 3,0 %</v>
      </c>
    </row>
    <row r="198">
      <c r="A198" s="2">
        <f>IFERROR(__xludf.DUMMYFUNCTION("""COMPUTED_VALUE"""),40210.0)</f>
        <v>40210</v>
      </c>
      <c r="B198" s="1" t="str">
        <f>IFERROR(__xludf.DUMMYFUNCTION("""COMPUTED_VALUE"""),"3.326 €/m2")</f>
        <v>3.326 €/m2</v>
      </c>
      <c r="C198" s="1" t="str">
        <f>IFERROR(__xludf.DUMMYFUNCTION("""COMPUTED_VALUE"""),"+ 1,5 %")</f>
        <v>+ 1,5 %</v>
      </c>
      <c r="D198" s="1" t="str">
        <f>IFERROR(__xludf.DUMMYFUNCTION("""COMPUTED_VALUE"""),"+ 0,3 %")</f>
        <v>+ 0,3 %</v>
      </c>
      <c r="E198" s="1" t="str">
        <f>IFERROR(__xludf.DUMMYFUNCTION("""COMPUTED_VALUE"""),"- 4,1 %")</f>
        <v>- 4,1 %</v>
      </c>
    </row>
    <row r="199">
      <c r="A199" s="2">
        <f>IFERROR(__xludf.DUMMYFUNCTION("""COMPUTED_VALUE"""),40179.0)</f>
        <v>40179</v>
      </c>
      <c r="B199" s="1" t="str">
        <f>IFERROR(__xludf.DUMMYFUNCTION("""COMPUTED_VALUE"""),"3.278 €/m2")</f>
        <v>3.278 €/m2</v>
      </c>
      <c r="C199" s="1" t="str">
        <f>IFERROR(__xludf.DUMMYFUNCTION("""COMPUTED_VALUE"""),"- 1,0 %")</f>
        <v>- 1,0 %</v>
      </c>
      <c r="D199" s="1" t="str">
        <f>IFERROR(__xludf.DUMMYFUNCTION("""COMPUTED_VALUE"""),"- 1,3 %")</f>
        <v>- 1,3 %</v>
      </c>
      <c r="E199" s="1" t="str">
        <f>IFERROR(__xludf.DUMMYFUNCTION("""COMPUTED_VALUE"""),"- 5,4 %")</f>
        <v>- 5,4 %</v>
      </c>
    </row>
    <row r="200">
      <c r="A200" s="2">
        <f>IFERROR(__xludf.DUMMYFUNCTION("""COMPUTED_VALUE"""),40148.0)</f>
        <v>40148</v>
      </c>
      <c r="B200" s="1" t="str">
        <f>IFERROR(__xludf.DUMMYFUNCTION("""COMPUTED_VALUE"""),"3.311 €/m2")</f>
        <v>3.311 €/m2</v>
      </c>
      <c r="C200" s="1" t="str">
        <f>IFERROR(__xludf.DUMMYFUNCTION("""COMPUTED_VALUE"""),"- 0,2 %")</f>
        <v>- 0,2 %</v>
      </c>
      <c r="D200" s="1" t="str">
        <f>IFERROR(__xludf.DUMMYFUNCTION("""COMPUTED_VALUE"""),"+ 1,0 %")</f>
        <v>+ 1,0 %</v>
      </c>
      <c r="E200" s="1" t="str">
        <f>IFERROR(__xludf.DUMMYFUNCTION("""COMPUTED_VALUE"""),"- 3,9 %")</f>
        <v>- 3,9 %</v>
      </c>
    </row>
    <row r="201">
      <c r="A201" s="2">
        <f>IFERROR(__xludf.DUMMYFUNCTION("""COMPUTED_VALUE"""),40118.0)</f>
        <v>40118</v>
      </c>
      <c r="B201" s="1" t="str">
        <f>IFERROR(__xludf.DUMMYFUNCTION("""COMPUTED_VALUE"""),"3.318 €/m2")</f>
        <v>3.318 €/m2</v>
      </c>
      <c r="C201" s="1" t="str">
        <f>IFERROR(__xludf.DUMMYFUNCTION("""COMPUTED_VALUE"""),"- 0,1 %")</f>
        <v>- 0,1 %</v>
      </c>
      <c r="D201" s="1" t="str">
        <f>IFERROR(__xludf.DUMMYFUNCTION("""COMPUTED_VALUE"""),"+ 1,0 %")</f>
        <v>+ 1,0 %</v>
      </c>
      <c r="E201" s="1" t="str">
        <f>IFERROR(__xludf.DUMMYFUNCTION("""COMPUTED_VALUE"""),"- 4,2 %")</f>
        <v>- 4,2 %</v>
      </c>
    </row>
    <row r="202">
      <c r="A202" s="2">
        <f>IFERROR(__xludf.DUMMYFUNCTION("""COMPUTED_VALUE"""),40087.0)</f>
        <v>40087</v>
      </c>
      <c r="B202" s="1" t="str">
        <f>IFERROR(__xludf.DUMMYFUNCTION("""COMPUTED_VALUE"""),"3.322 €/m2")</f>
        <v>3.322 €/m2</v>
      </c>
      <c r="C202" s="1" t="str">
        <f>IFERROR(__xludf.DUMMYFUNCTION("""COMPUTED_VALUE"""),"+ 1,3 %")</f>
        <v>+ 1,3 %</v>
      </c>
      <c r="D202" s="1" t="str">
        <f>IFERROR(__xludf.DUMMYFUNCTION("""COMPUTED_VALUE"""),"+ 0,2 %")</f>
        <v>+ 0,2 %</v>
      </c>
      <c r="E202" s="1" t="str">
        <f>IFERROR(__xludf.DUMMYFUNCTION("""COMPUTED_VALUE"""),"- 2,8 %")</f>
        <v>- 2,8 %</v>
      </c>
    </row>
    <row r="203">
      <c r="A203" s="2">
        <f>IFERROR(__xludf.DUMMYFUNCTION("""COMPUTED_VALUE"""),40057.0)</f>
        <v>40057</v>
      </c>
      <c r="B203" s="1" t="str">
        <f>IFERROR(__xludf.DUMMYFUNCTION("""COMPUTED_VALUE"""),"3.279 €/m2")</f>
        <v>3.279 €/m2</v>
      </c>
      <c r="C203" s="1" t="str">
        <f>IFERROR(__xludf.DUMMYFUNCTION("""COMPUTED_VALUE"""),"- 0,2 %")</f>
        <v>- 0,2 %</v>
      </c>
      <c r="D203" s="1" t="str">
        <f>IFERROR(__xludf.DUMMYFUNCTION("""COMPUTED_VALUE"""),"- 1,2 %")</f>
        <v>- 1,2 %</v>
      </c>
      <c r="E203" s="1" t="str">
        <f>IFERROR(__xludf.DUMMYFUNCTION("""COMPUTED_VALUE"""),"- 7,1 %")</f>
        <v>- 7,1 %</v>
      </c>
    </row>
    <row r="204">
      <c r="A204" s="2">
        <f>IFERROR(__xludf.DUMMYFUNCTION("""COMPUTED_VALUE"""),40026.0)</f>
        <v>40026</v>
      </c>
      <c r="B204" s="1" t="str">
        <f>IFERROR(__xludf.DUMMYFUNCTION("""COMPUTED_VALUE"""),"3.284 €/m2")</f>
        <v>3.284 €/m2</v>
      </c>
      <c r="C204" s="1" t="str">
        <f>IFERROR(__xludf.DUMMYFUNCTION("""COMPUTED_VALUE"""),"- 1,0 %")</f>
        <v>- 1,0 %</v>
      </c>
      <c r="D204" s="1" t="str">
        <f>IFERROR(__xludf.DUMMYFUNCTION("""COMPUTED_VALUE"""),"- 3,8 %")</f>
        <v>- 3,8 %</v>
      </c>
      <c r="E204" s="1" t="str">
        <f>IFERROR(__xludf.DUMMYFUNCTION("""COMPUTED_VALUE"""),"- 7,1 %")</f>
        <v>- 7,1 %</v>
      </c>
    </row>
    <row r="205">
      <c r="A205" s="2">
        <f>IFERROR(__xludf.DUMMYFUNCTION("""COMPUTED_VALUE"""),39995.0)</f>
        <v>39995</v>
      </c>
      <c r="B205" s="1" t="str">
        <f>IFERROR(__xludf.DUMMYFUNCTION("""COMPUTED_VALUE"""),"3.316 €/m2")</f>
        <v>3.316 €/m2</v>
      </c>
      <c r="C205" s="1" t="str">
        <f>IFERROR(__xludf.DUMMYFUNCTION("""COMPUTED_VALUE"""),"- 0,1 %")</f>
        <v>- 0,1 %</v>
      </c>
      <c r="D205" s="1" t="str">
        <f>IFERROR(__xludf.DUMMYFUNCTION("""COMPUTED_VALUE"""),"- 3,4 %")</f>
        <v>- 3,4 %</v>
      </c>
      <c r="E205" s="1" t="str">
        <f>IFERROR(__xludf.DUMMYFUNCTION("""COMPUTED_VALUE"""),"- 7,9 %")</f>
        <v>- 7,9 %</v>
      </c>
    </row>
    <row r="206">
      <c r="A206" s="2">
        <f>IFERROR(__xludf.DUMMYFUNCTION("""COMPUTED_VALUE"""),39965.0)</f>
        <v>39965</v>
      </c>
      <c r="B206" s="1" t="str">
        <f>IFERROR(__xludf.DUMMYFUNCTION("""COMPUTED_VALUE"""),"3.320 €/m2")</f>
        <v>3.320 €/m2</v>
      </c>
      <c r="C206" s="1" t="str">
        <f>IFERROR(__xludf.DUMMYFUNCTION("""COMPUTED_VALUE"""),"- 2,8 %")</f>
        <v>- 2,8 %</v>
      </c>
      <c r="D206" s="1" t="str">
        <f>IFERROR(__xludf.DUMMYFUNCTION("""COMPUTED_VALUE"""),"- 3,4 %")</f>
        <v>- 3,4 %</v>
      </c>
      <c r="E206" s="1" t="str">
        <f>IFERROR(__xludf.DUMMYFUNCTION("""COMPUTED_VALUE"""),"- 9,9 %")</f>
        <v>- 9,9 %</v>
      </c>
    </row>
    <row r="207">
      <c r="A207" s="2">
        <f>IFERROR(__xludf.DUMMYFUNCTION("""COMPUTED_VALUE"""),39934.0)</f>
        <v>39934</v>
      </c>
      <c r="B207" s="1" t="str">
        <f>IFERROR(__xludf.DUMMYFUNCTION("""COMPUTED_VALUE"""),"3.414 €/m2")</f>
        <v>3.414 €/m2</v>
      </c>
      <c r="C207" s="1" t="str">
        <f>IFERROR(__xludf.DUMMYFUNCTION("""COMPUTED_VALUE"""),"- 0,5 %")</f>
        <v>- 0,5 %</v>
      </c>
      <c r="D207" s="1" t="str">
        <f>IFERROR(__xludf.DUMMYFUNCTION("""COMPUTED_VALUE"""),"- 1,5 %")</f>
        <v>- 1,5 %</v>
      </c>
      <c r="E207" s="1" t="str">
        <f>IFERROR(__xludf.DUMMYFUNCTION("""COMPUTED_VALUE"""),"- 9,1 %")</f>
        <v>- 9,1 %</v>
      </c>
    </row>
    <row r="208">
      <c r="A208" s="2">
        <f>IFERROR(__xludf.DUMMYFUNCTION("""COMPUTED_VALUE"""),39904.0)</f>
        <v>39904</v>
      </c>
      <c r="B208" s="1" t="str">
        <f>IFERROR(__xludf.DUMMYFUNCTION("""COMPUTED_VALUE"""),"3.432 €/m2")</f>
        <v>3.432 €/m2</v>
      </c>
      <c r="C208" s="1" t="str">
        <f>IFERROR(__xludf.DUMMYFUNCTION("""COMPUTED_VALUE"""),"- 0,1 %")</f>
        <v>- 0,1 %</v>
      </c>
      <c r="D208" s="1" t="str">
        <f>IFERROR(__xludf.DUMMYFUNCTION("""COMPUTED_VALUE"""),"- 0,9 %")</f>
        <v>- 0,9 %</v>
      </c>
      <c r="E208" s="1" t="str">
        <f>IFERROR(__xludf.DUMMYFUNCTION("""COMPUTED_VALUE"""),"- 8,7 %")</f>
        <v>- 8,7 %</v>
      </c>
    </row>
    <row r="209">
      <c r="A209" s="2">
        <f>IFERROR(__xludf.DUMMYFUNCTION("""COMPUTED_VALUE"""),39873.0)</f>
        <v>39873</v>
      </c>
      <c r="B209" s="1" t="str">
        <f>IFERROR(__xludf.DUMMYFUNCTION("""COMPUTED_VALUE"""),"3.436 €/m2")</f>
        <v>3.436 €/m2</v>
      </c>
      <c r="C209" s="1" t="str">
        <f>IFERROR(__xludf.DUMMYFUNCTION("""COMPUTED_VALUE"""),"- 0,9 %")</f>
        <v>- 0,9 %</v>
      </c>
      <c r="D209" s="1" t="str">
        <f>IFERROR(__xludf.DUMMYFUNCTION("""COMPUTED_VALUE"""),"- 0,3 %")</f>
        <v>- 0,3 %</v>
      </c>
      <c r="E209" s="1" t="str">
        <f>IFERROR(__xludf.DUMMYFUNCTION("""COMPUTED_VALUE"""),"- 4,0 %")</f>
        <v>- 4,0 %</v>
      </c>
    </row>
    <row r="210">
      <c r="A210" s="2">
        <f>IFERROR(__xludf.DUMMYFUNCTION("""COMPUTED_VALUE"""),39845.0)</f>
        <v>39845</v>
      </c>
      <c r="B210" s="1" t="str">
        <f>IFERROR(__xludf.DUMMYFUNCTION("""COMPUTED_VALUE"""),"3.467 €/m2")</f>
        <v>3.467 €/m2</v>
      </c>
      <c r="C210" s="1" t="str">
        <f>IFERROR(__xludf.DUMMYFUNCTION("""COMPUTED_VALUE"""),"+ 0,1 %")</f>
        <v>+ 0,1 %</v>
      </c>
      <c r="D210" s="1" t="str">
        <f>IFERROR(__xludf.DUMMYFUNCTION("""COMPUTED_VALUE"""),"+ 0,1 %")</f>
        <v>+ 0,1 %</v>
      </c>
      <c r="E210" s="1" t="str">
        <f>IFERROR(__xludf.DUMMYFUNCTION("""COMPUTED_VALUE"""),"+ 1,0 %")</f>
        <v>+ 1,0 %</v>
      </c>
    </row>
    <row r="211">
      <c r="A211" s="2">
        <f>IFERROR(__xludf.DUMMYFUNCTION("""COMPUTED_VALUE"""),39814.0)</f>
        <v>39814</v>
      </c>
      <c r="B211" s="1" t="str">
        <f>IFERROR(__xludf.DUMMYFUNCTION("""COMPUTED_VALUE"""),"3.464 €/m2")</f>
        <v>3.464 €/m2</v>
      </c>
      <c r="C211" s="1" t="str">
        <f>IFERROR(__xludf.DUMMYFUNCTION("""COMPUTED_VALUE"""),"+ 0,5 %")</f>
        <v>+ 0,5 %</v>
      </c>
      <c r="D211" s="1" t="str">
        <f>IFERROR(__xludf.DUMMYFUNCTION("""COMPUTED_VALUE"""),"+ 1,4 %")</f>
        <v>+ 1,4 %</v>
      </c>
      <c r="E211" s="1" t="str">
        <f>IFERROR(__xludf.DUMMYFUNCTION("""COMPUTED_VALUE"""),"+ 1,8 %")</f>
        <v>+ 1,8 %</v>
      </c>
    </row>
    <row r="212">
      <c r="A212" s="2">
        <f>IFERROR(__xludf.DUMMYFUNCTION("""COMPUTED_VALUE"""),39783.0)</f>
        <v>39783</v>
      </c>
      <c r="B212" s="1" t="str">
        <f>IFERROR(__xludf.DUMMYFUNCTION("""COMPUTED_VALUE"""),"3.446 €/m2")</f>
        <v>3.446 €/m2</v>
      </c>
      <c r="C212" s="1" t="str">
        <f>IFERROR(__xludf.DUMMYFUNCTION("""COMPUTED_VALUE"""),"- 0,5 %")</f>
        <v>- 0,5 %</v>
      </c>
      <c r="D212" s="1" t="str">
        <f>IFERROR(__xludf.DUMMYFUNCTION("""COMPUTED_VALUE"""),"- 2,4 %")</f>
        <v>- 2,4 %</v>
      </c>
      <c r="E212" s="1" t="str">
        <f>IFERROR(__xludf.DUMMYFUNCTION("""COMPUTED_VALUE"""),"- 2,5 %")</f>
        <v>- 2,5 %</v>
      </c>
    </row>
    <row r="213">
      <c r="A213" s="2">
        <f>IFERROR(__xludf.DUMMYFUNCTION("""COMPUTED_VALUE"""),39753.0)</f>
        <v>39753</v>
      </c>
      <c r="B213" s="1" t="str">
        <f>IFERROR(__xludf.DUMMYFUNCTION("""COMPUTED_VALUE"""),"3.464 €/m2")</f>
        <v>3.464 €/m2</v>
      </c>
      <c r="C213" s="1" t="str">
        <f>IFERROR(__xludf.DUMMYFUNCTION("""COMPUTED_VALUE"""),"+ 1,4 %")</f>
        <v>+ 1,4 %</v>
      </c>
      <c r="D213" s="1" t="str">
        <f>IFERROR(__xludf.DUMMYFUNCTION("""COMPUTED_VALUE"""),"- 2,0 %")</f>
        <v>- 2,0 %</v>
      </c>
      <c r="E213" s="1" t="str">
        <f>IFERROR(__xludf.DUMMYFUNCTION("""COMPUTED_VALUE"""),"+ 2,0 %")</f>
        <v>+ 2,0 %</v>
      </c>
    </row>
    <row r="214">
      <c r="A214" s="2">
        <f>IFERROR(__xludf.DUMMYFUNCTION("""COMPUTED_VALUE"""),39722.0)</f>
        <v>39722</v>
      </c>
      <c r="B214" s="1" t="str">
        <f>IFERROR(__xludf.DUMMYFUNCTION("""COMPUTED_VALUE"""),"3.417 €/m2")</f>
        <v>3.417 €/m2</v>
      </c>
      <c r="C214" s="1" t="str">
        <f>IFERROR(__xludf.DUMMYFUNCTION("""COMPUTED_VALUE"""),"- 3,2 %")</f>
        <v>- 3,2 %</v>
      </c>
      <c r="D214" s="1" t="str">
        <f>IFERROR(__xludf.DUMMYFUNCTION("""COMPUTED_VALUE"""),"- 5,1 %")</f>
        <v>- 5,1 %</v>
      </c>
      <c r="E214" s="1" t="str">
        <f>IFERROR(__xludf.DUMMYFUNCTION("""COMPUTED_VALUE"""),"- 2,6 %")</f>
        <v>- 2,6 %</v>
      </c>
    </row>
    <row r="215">
      <c r="A215" s="2">
        <f>IFERROR(__xludf.DUMMYFUNCTION("""COMPUTED_VALUE"""),39692.0)</f>
        <v>39692</v>
      </c>
      <c r="B215" s="1" t="str">
        <f>IFERROR(__xludf.DUMMYFUNCTION("""COMPUTED_VALUE"""),"3.530 €/m2")</f>
        <v>3.530 €/m2</v>
      </c>
      <c r="C215" s="1" t="str">
        <f>IFERROR(__xludf.DUMMYFUNCTION("""COMPUTED_VALUE"""),"- 0,2 %")</f>
        <v>- 0,2 %</v>
      </c>
      <c r="D215" s="1" t="str">
        <f>IFERROR(__xludf.DUMMYFUNCTION("""COMPUTED_VALUE"""),"- 4,2 %")</f>
        <v>- 4,2 %</v>
      </c>
      <c r="E215" s="1" t="str">
        <f>IFERROR(__xludf.DUMMYFUNCTION("""COMPUTED_VALUE"""),"+ 2,9 %")</f>
        <v>+ 2,9 %</v>
      </c>
    </row>
    <row r="216">
      <c r="A216" s="2">
        <f>IFERROR(__xludf.DUMMYFUNCTION("""COMPUTED_VALUE"""),39661.0)</f>
        <v>39661</v>
      </c>
      <c r="B216" s="1" t="str">
        <f>IFERROR(__xludf.DUMMYFUNCTION("""COMPUTED_VALUE"""),"3.536 €/m2")</f>
        <v>3.536 €/m2</v>
      </c>
      <c r="C216" s="1" t="str">
        <f>IFERROR(__xludf.DUMMYFUNCTION("""COMPUTED_VALUE"""),"- 1,8 %")</f>
        <v>- 1,8 %</v>
      </c>
      <c r="D216" s="1" t="str">
        <f>IFERROR(__xludf.DUMMYFUNCTION("""COMPUTED_VALUE"""),"- 5,9 %")</f>
        <v>- 5,9 %</v>
      </c>
      <c r="E216" s="1" t="str">
        <f>IFERROR(__xludf.DUMMYFUNCTION("""COMPUTED_VALUE"""),"+ 3,8 %")</f>
        <v>+ 3,8 %</v>
      </c>
    </row>
    <row r="217">
      <c r="A217" s="2">
        <f>IFERROR(__xludf.DUMMYFUNCTION("""COMPUTED_VALUE"""),39630.0)</f>
        <v>39630</v>
      </c>
      <c r="B217" s="1" t="str">
        <f>IFERROR(__xludf.DUMMYFUNCTION("""COMPUTED_VALUE"""),"3.602 €/m2")</f>
        <v>3.602 €/m2</v>
      </c>
      <c r="C217" s="1" t="str">
        <f>IFERROR(__xludf.DUMMYFUNCTION("""COMPUTED_VALUE"""),"- 2,3 %")</f>
        <v>- 2,3 %</v>
      </c>
      <c r="D217" s="1" t="str">
        <f>IFERROR(__xludf.DUMMYFUNCTION("""COMPUTED_VALUE"""),"- 4,2 %")</f>
        <v>- 4,2 %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IFERROR(__xludf.DUMMYFUNCTION("""COMPUTED_VALUE"""),"3.685 €/m2")</f>
        <v>3.685 €/m2</v>
      </c>
      <c r="C218" s="1" t="str">
        <f>IFERROR(__xludf.DUMMYFUNCTION("""COMPUTED_VALUE"""),"- 2,0 %")</f>
        <v>- 2,0 %</v>
      </c>
      <c r="D218" s="1" t="str">
        <f>IFERROR(__xludf.DUMMYFUNCTION("""COMPUTED_VALUE"""),"+ 2,9 %")</f>
        <v>+ 2,9 %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IFERROR(__xludf.DUMMYFUNCTION("""COMPUTED_VALUE"""),"3.758 €/m2")</f>
        <v>3.758 €/m2</v>
      </c>
      <c r="C219" s="1" t="str">
        <f>IFERROR(__xludf.DUMMYFUNCTION("""COMPUTED_VALUE"""),"- 0,1 %")</f>
        <v>- 0,1 %</v>
      </c>
      <c r="D219" s="1" t="str">
        <f>IFERROR(__xludf.DUMMYFUNCTION("""COMPUTED_VALUE"""),"+ 9,5 %")</f>
        <v>+ 9,5 %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IFERROR(__xludf.DUMMYFUNCTION("""COMPUTED_VALUE"""),"3.761 €/m2")</f>
        <v>3.761 €/m2</v>
      </c>
      <c r="C220" s="1" t="str">
        <f>IFERROR(__xludf.DUMMYFUNCTION("""COMPUTED_VALUE"""),"+ 5,1 %")</f>
        <v>+ 5,1 %</v>
      </c>
      <c r="D220" s="1" t="str">
        <f>IFERROR(__xludf.DUMMYFUNCTION("""COMPUTED_VALUE"""),"+ 10,6 %")</f>
        <v>+ 10,6 %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IFERROR(__xludf.DUMMYFUNCTION("""COMPUTED_VALUE"""),"3.580 €/m2")</f>
        <v>3.580 €/m2</v>
      </c>
      <c r="C221" s="1" t="str">
        <f>IFERROR(__xludf.DUMMYFUNCTION("""COMPUTED_VALUE"""),"+ 4,3 %")</f>
        <v>+ 4,3 %</v>
      </c>
      <c r="D221" s="1" t="str">
        <f>IFERROR(__xludf.DUMMYFUNCTION("""COMPUTED_VALUE"""),"+ 1,2 %")</f>
        <v>+ 1,2 %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IFERROR(__xludf.DUMMYFUNCTION("""COMPUTED_VALUE"""),"3.432 €/m2")</f>
        <v>3.432 €/m2</v>
      </c>
      <c r="C222" s="1" t="str">
        <f>IFERROR(__xludf.DUMMYFUNCTION("""COMPUTED_VALUE"""),"+ 0,9 %")</f>
        <v>+ 0,9 %</v>
      </c>
      <c r="D222" s="1" t="str">
        <f>IFERROR(__xludf.DUMMYFUNCTION("""COMPUTED_VALUE"""),"+ 1,1 %")</f>
        <v>+ 1,1 %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IFERROR(__xludf.DUMMYFUNCTION("""COMPUTED_VALUE"""),"3.402 €/m2")</f>
        <v>3.402 €/m2</v>
      </c>
      <c r="C223" s="1" t="str">
        <f>IFERROR(__xludf.DUMMYFUNCTION("""COMPUTED_VALUE"""),"- 3,8 %")</f>
        <v>- 3,8 %</v>
      </c>
      <c r="D223" s="1" t="str">
        <f>IFERROR(__xludf.DUMMYFUNCTION("""COMPUTED_VALUE"""),"- 3,1 %")</f>
        <v>- 3,1 %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IFERROR(__xludf.DUMMYFUNCTION("""COMPUTED_VALUE"""),"3.536 €/m2")</f>
        <v>3.536 €/m2</v>
      </c>
      <c r="C224" s="1" t="str">
        <f>IFERROR(__xludf.DUMMYFUNCTION("""COMPUTED_VALUE"""),"+ 4,1 %")</f>
        <v>+ 4,1 %</v>
      </c>
      <c r="D224" s="1" t="str">
        <f>IFERROR(__xludf.DUMMYFUNCTION("""COMPUTED_VALUE"""),"+ 3,1 %")</f>
        <v>+ 3,1 %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IFERROR(__xludf.DUMMYFUNCTION("""COMPUTED_VALUE"""),"3.396 €/m2")</f>
        <v>3.396 €/m2</v>
      </c>
      <c r="C225" s="1" t="str">
        <f>IFERROR(__xludf.DUMMYFUNCTION("""COMPUTED_VALUE"""),"- 3,2 %")</f>
        <v>- 3,2 %</v>
      </c>
      <c r="D225" s="1" t="str">
        <f>IFERROR(__xludf.DUMMYFUNCTION("""COMPUTED_VALUE"""),"- 0,3 %")</f>
        <v>- 0,3 %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IFERROR(__xludf.DUMMYFUNCTION("""COMPUTED_VALUE"""),"3.509 €/m2")</f>
        <v>3.509 €/m2</v>
      </c>
      <c r="C226" s="1" t="str">
        <f>IFERROR(__xludf.DUMMYFUNCTION("""COMPUTED_VALUE"""),"+ 2,3 %")</f>
        <v>+ 2,3 %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IFERROR(__xludf.DUMMYFUNCTION("""COMPUTED_VALUE"""),"3.429 €/m2")</f>
        <v>3.429 €/m2</v>
      </c>
      <c r="C227" s="1" t="str">
        <f>IFERROR(__xludf.DUMMYFUNCTION("""COMPUTED_VALUE"""),"+ 0,7 %")</f>
        <v>+ 0,7 %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IFERROR(__xludf.DUMMYFUNCTION("""COMPUTED_VALUE"""),"3.407 €/m2")</f>
        <v>3.407 €/m2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IFERROR(__xludf.DUMMYFUNCTION("IMPORTHTML(""https://www.idealista.com/sala-de-prensa/informes-precio-vivienda/venta/madrid-comunidad/madrid-provincia/madrid/hortaleza/historico/"",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IFERROR(__xludf.DUMMYFUNCTION("""COMPUTED_VALUE"""),"5.431 €/m2")</f>
        <v>5.431 €/m2</v>
      </c>
      <c r="C2" s="1" t="str">
        <f>IFERROR(__xludf.DUMMYFUNCTION("""COMPUTED_VALUE"""),"0,0 %")</f>
        <v>0,0 %</v>
      </c>
      <c r="D2" s="1" t="str">
        <f>IFERROR(__xludf.DUMMYFUNCTION("""COMPUTED_VALUE"""),"+ 2,1 %")</f>
        <v>+ 2,1 %</v>
      </c>
      <c r="E2" s="1" t="str">
        <f>IFERROR(__xludf.DUMMYFUNCTION("""COMPUTED_VALUE"""),"+ 8,0 %")</f>
        <v>+ 8,0 %</v>
      </c>
    </row>
    <row r="3">
      <c r="A3" s="2">
        <f>IFERROR(__xludf.DUMMYFUNCTION("""COMPUTED_VALUE"""),46143.0)</f>
        <v>46143</v>
      </c>
      <c r="B3" s="1" t="str">
        <f>IFERROR(__xludf.DUMMYFUNCTION("""COMPUTED_VALUE"""),"5.429 €/m2")</f>
        <v>5.429 €/m2</v>
      </c>
      <c r="C3" s="1" t="str">
        <f>IFERROR(__xludf.DUMMYFUNCTION("""COMPUTED_VALUE"""),"+ 0,3 %")</f>
        <v>+ 0,3 %</v>
      </c>
      <c r="D3" s="1" t="str">
        <f>IFERROR(__xludf.DUMMYFUNCTION("""COMPUTED_VALUE"""),"+ 4,4 %")</f>
        <v>+ 4,4 %</v>
      </c>
      <c r="E3" s="1" t="str">
        <f>IFERROR(__xludf.DUMMYFUNCTION("""COMPUTED_VALUE"""),"+ 9,7 %")</f>
        <v>+ 9,7 %</v>
      </c>
    </row>
    <row r="4">
      <c r="A4" s="2">
        <f>IFERROR(__xludf.DUMMYFUNCTION("""COMPUTED_VALUE"""),46113.0)</f>
        <v>46113</v>
      </c>
      <c r="B4" s="1" t="str">
        <f>IFERROR(__xludf.DUMMYFUNCTION("""COMPUTED_VALUE"""),"5.411 €/m2")</f>
        <v>5.411 €/m2</v>
      </c>
      <c r="C4" s="1" t="str">
        <f>IFERROR(__xludf.DUMMYFUNCTION("""COMPUTED_VALUE"""),"+ 1,7 %")</f>
        <v>+ 1,7 %</v>
      </c>
      <c r="D4" s="1" t="str">
        <f>IFERROR(__xludf.DUMMYFUNCTION("""COMPUTED_VALUE"""),"+ 4,4 %")</f>
        <v>+ 4,4 %</v>
      </c>
      <c r="E4" s="1" t="str">
        <f>IFERROR(__xludf.DUMMYFUNCTION("""COMPUTED_VALUE"""),"+ 12,0 %")</f>
        <v>+ 12,0 %</v>
      </c>
    </row>
    <row r="5">
      <c r="A5" s="2">
        <f>IFERROR(__xludf.DUMMYFUNCTION("""COMPUTED_VALUE"""),46082.0)</f>
        <v>46082</v>
      </c>
      <c r="B5" s="1" t="str">
        <f>IFERROR(__xludf.DUMMYFUNCTION("""COMPUTED_VALUE"""),"5.321 €/m2")</f>
        <v>5.321 €/m2</v>
      </c>
      <c r="C5" s="1" t="str">
        <f>IFERROR(__xludf.DUMMYFUNCTION("""COMPUTED_VALUE"""),"+ 2,3 %")</f>
        <v>+ 2,3 %</v>
      </c>
      <c r="D5" s="1" t="str">
        <f>IFERROR(__xludf.DUMMYFUNCTION("""COMPUTED_VALUE"""),"+ 4,7 %")</f>
        <v>+ 4,7 %</v>
      </c>
      <c r="E5" s="1" t="str">
        <f>IFERROR(__xludf.DUMMYFUNCTION("""COMPUTED_VALUE"""),"+ 12,1 %")</f>
        <v>+ 12,1 %</v>
      </c>
    </row>
    <row r="6">
      <c r="A6" s="2">
        <f>IFERROR(__xludf.DUMMYFUNCTION("""COMPUTED_VALUE"""),46054.0)</f>
        <v>46054</v>
      </c>
      <c r="B6" s="1" t="str">
        <f>IFERROR(__xludf.DUMMYFUNCTION("""COMPUTED_VALUE"""),"5.200 €/m2")</f>
        <v>5.200 €/m2</v>
      </c>
      <c r="C6" s="1" t="str">
        <f>IFERROR(__xludf.DUMMYFUNCTION("""COMPUTED_VALUE"""),"+ 0,3 %")</f>
        <v>+ 0,3 %</v>
      </c>
      <c r="D6" s="1" t="str">
        <f>IFERROR(__xludf.DUMMYFUNCTION("""COMPUTED_VALUE"""),"+ 2,8 %")</f>
        <v>+ 2,8 %</v>
      </c>
      <c r="E6" s="1" t="str">
        <f>IFERROR(__xludf.DUMMYFUNCTION("""COMPUTED_VALUE"""),"+ 11,4 %")</f>
        <v>+ 11,4 %</v>
      </c>
    </row>
    <row r="7">
      <c r="A7" s="2">
        <f>IFERROR(__xludf.DUMMYFUNCTION("""COMPUTED_VALUE"""),46023.0)</f>
        <v>46023</v>
      </c>
      <c r="B7" s="1" t="str">
        <f>IFERROR(__xludf.DUMMYFUNCTION("""COMPUTED_VALUE"""),"5.186 €/m2")</f>
        <v>5.186 €/m2</v>
      </c>
      <c r="C7" s="1" t="str">
        <f>IFERROR(__xludf.DUMMYFUNCTION("""COMPUTED_VALUE"""),"+ 2,1 %")</f>
        <v>+ 2,1 %</v>
      </c>
      <c r="D7" s="1" t="str">
        <f>IFERROR(__xludf.DUMMYFUNCTION("""COMPUTED_VALUE"""),"+ 1,9 %")</f>
        <v>+ 1,9 %</v>
      </c>
      <c r="E7" s="1" t="str">
        <f>IFERROR(__xludf.DUMMYFUNCTION("""COMPUTED_VALUE"""),"+ 13,6 %")</f>
        <v>+ 13,6 %</v>
      </c>
    </row>
    <row r="8">
      <c r="A8" s="2">
        <f>IFERROR(__xludf.DUMMYFUNCTION("""COMPUTED_VALUE"""),45992.0)</f>
        <v>45992</v>
      </c>
      <c r="B8" s="1" t="str">
        <f>IFERROR(__xludf.DUMMYFUNCTION("""COMPUTED_VALUE"""),"5.080 €/m2")</f>
        <v>5.080 €/m2</v>
      </c>
      <c r="C8" s="1" t="str">
        <f>IFERROR(__xludf.DUMMYFUNCTION("""COMPUTED_VALUE"""),"+ 0,4 %")</f>
        <v>+ 0,4 %</v>
      </c>
      <c r="D8" s="1" t="str">
        <f>IFERROR(__xludf.DUMMYFUNCTION("""COMPUTED_VALUE"""),"+ 1,6 %")</f>
        <v>+ 1,6 %</v>
      </c>
      <c r="E8" s="1" t="str">
        <f>IFERROR(__xludf.DUMMYFUNCTION("""COMPUTED_VALUE"""),"+ 11,9 %")</f>
        <v>+ 11,9 %</v>
      </c>
    </row>
    <row r="9">
      <c r="A9" s="2">
        <f>IFERROR(__xludf.DUMMYFUNCTION("""COMPUTED_VALUE"""),45962.0)</f>
        <v>45962</v>
      </c>
      <c r="B9" s="1" t="str">
        <f>IFERROR(__xludf.DUMMYFUNCTION("""COMPUTED_VALUE"""),"5.060 €/m2")</f>
        <v>5.060 €/m2</v>
      </c>
      <c r="C9" s="1" t="str">
        <f>IFERROR(__xludf.DUMMYFUNCTION("""COMPUTED_VALUE"""),"- 0,6 %")</f>
        <v>- 0,6 %</v>
      </c>
      <c r="D9" s="1" t="str">
        <f>IFERROR(__xludf.DUMMYFUNCTION("""COMPUTED_VALUE"""),"+ 0,2 %")</f>
        <v>+ 0,2 %</v>
      </c>
      <c r="E9" s="1" t="str">
        <f>IFERROR(__xludf.DUMMYFUNCTION("""COMPUTED_VALUE"""),"+ 12,7 %")</f>
        <v>+ 12,7 %</v>
      </c>
    </row>
    <row r="10">
      <c r="A10" s="2">
        <f>IFERROR(__xludf.DUMMYFUNCTION("""COMPUTED_VALUE"""),45931.0)</f>
        <v>45931</v>
      </c>
      <c r="B10" s="1" t="str">
        <f>IFERROR(__xludf.DUMMYFUNCTION("""COMPUTED_VALUE"""),"5.091 €/m2")</f>
        <v>5.091 €/m2</v>
      </c>
      <c r="C10" s="1" t="str">
        <f>IFERROR(__xludf.DUMMYFUNCTION("""COMPUTED_VALUE"""),"+ 1,8 %")</f>
        <v>+ 1,8 %</v>
      </c>
      <c r="D10" s="1" t="str">
        <f>IFERROR(__xludf.DUMMYFUNCTION("""COMPUTED_VALUE"""),"- 0,5 %")</f>
        <v>- 0,5 %</v>
      </c>
      <c r="E10" s="1" t="str">
        <f>IFERROR(__xludf.DUMMYFUNCTION("""COMPUTED_VALUE"""),"+ 15,1 %")</f>
        <v>+ 15,1 %</v>
      </c>
    </row>
    <row r="11">
      <c r="A11" s="2">
        <f>IFERROR(__xludf.DUMMYFUNCTION("""COMPUTED_VALUE"""),45901.0)</f>
        <v>45901</v>
      </c>
      <c r="B11" s="1" t="str">
        <f>IFERROR(__xludf.DUMMYFUNCTION("""COMPUTED_VALUE"""),"5.000 €/m2")</f>
        <v>5.000 €/m2</v>
      </c>
      <c r="C11" s="1" t="str">
        <f>IFERROR(__xludf.DUMMYFUNCTION("""COMPUTED_VALUE"""),"- 1,0 %")</f>
        <v>- 1,0 %</v>
      </c>
      <c r="D11" s="1" t="str">
        <f>IFERROR(__xludf.DUMMYFUNCTION("""COMPUTED_VALUE"""),"- 0,6 %")</f>
        <v>- 0,6 %</v>
      </c>
      <c r="E11" s="1" t="str">
        <f>IFERROR(__xludf.DUMMYFUNCTION("""COMPUTED_VALUE"""),"+ 13,7 %")</f>
        <v>+ 13,7 %</v>
      </c>
    </row>
    <row r="12">
      <c r="A12" s="2">
        <f>IFERROR(__xludf.DUMMYFUNCTION("""COMPUTED_VALUE"""),45870.0)</f>
        <v>45870</v>
      </c>
      <c r="B12" s="1" t="str">
        <f>IFERROR(__xludf.DUMMYFUNCTION("""COMPUTED_VALUE"""),"5.049 €/m2")</f>
        <v>5.049 €/m2</v>
      </c>
      <c r="C12" s="1" t="str">
        <f>IFERROR(__xludf.DUMMYFUNCTION("""COMPUTED_VALUE"""),"- 1,3 %")</f>
        <v>- 1,3 %</v>
      </c>
      <c r="D12" s="1" t="str">
        <f>IFERROR(__xludf.DUMMYFUNCTION("""COMPUTED_VALUE"""),"+ 2,0 %")</f>
        <v>+ 2,0 %</v>
      </c>
      <c r="E12" s="1" t="str">
        <f>IFERROR(__xludf.DUMMYFUNCTION("""COMPUTED_VALUE"""),"+ 14,3 %")</f>
        <v>+ 14,3 %</v>
      </c>
    </row>
    <row r="13">
      <c r="A13" s="2">
        <f>IFERROR(__xludf.DUMMYFUNCTION("""COMPUTED_VALUE"""),45839.0)</f>
        <v>45839</v>
      </c>
      <c r="B13" s="1" t="str">
        <f>IFERROR(__xludf.DUMMYFUNCTION("""COMPUTED_VALUE"""),"5.117 €/m2")</f>
        <v>5.117 €/m2</v>
      </c>
      <c r="C13" s="1" t="str">
        <f>IFERROR(__xludf.DUMMYFUNCTION("""COMPUTED_VALUE"""),"+ 1,7 %")</f>
        <v>+ 1,7 %</v>
      </c>
      <c r="D13" s="1" t="str">
        <f>IFERROR(__xludf.DUMMYFUNCTION("""COMPUTED_VALUE"""),"+ 5,9 %")</f>
        <v>+ 5,9 %</v>
      </c>
      <c r="E13" s="1" t="str">
        <f>IFERROR(__xludf.DUMMYFUNCTION("""COMPUTED_VALUE"""),"+ 15,8 %")</f>
        <v>+ 15,8 %</v>
      </c>
    </row>
    <row r="14">
      <c r="A14" s="2">
        <f>IFERROR(__xludf.DUMMYFUNCTION("""COMPUTED_VALUE"""),45809.0)</f>
        <v>45809</v>
      </c>
      <c r="B14" s="1" t="str">
        <f>IFERROR(__xludf.DUMMYFUNCTION("""COMPUTED_VALUE"""),"5.031 €/m2")</f>
        <v>5.031 €/m2</v>
      </c>
      <c r="C14" s="1" t="str">
        <f>IFERROR(__xludf.DUMMYFUNCTION("""COMPUTED_VALUE"""),"+ 1,6 %")</f>
        <v>+ 1,6 %</v>
      </c>
      <c r="D14" s="1" t="str">
        <f>IFERROR(__xludf.DUMMYFUNCTION("""COMPUTED_VALUE"""),"+ 6,0 %")</f>
        <v>+ 6,0 %</v>
      </c>
      <c r="E14" s="1" t="str">
        <f>IFERROR(__xludf.DUMMYFUNCTION("""COMPUTED_VALUE"""),"+ 15,2 %")</f>
        <v>+ 15,2 %</v>
      </c>
    </row>
    <row r="15">
      <c r="A15" s="2">
        <f>IFERROR(__xludf.DUMMYFUNCTION("""COMPUTED_VALUE"""),45778.0)</f>
        <v>45778</v>
      </c>
      <c r="B15" s="1" t="str">
        <f>IFERROR(__xludf.DUMMYFUNCTION("""COMPUTED_VALUE"""),"4.950 €/m2")</f>
        <v>4.950 €/m2</v>
      </c>
      <c r="C15" s="1" t="str">
        <f>IFERROR(__xludf.DUMMYFUNCTION("""COMPUTED_VALUE"""),"+ 2,4 %")</f>
        <v>+ 2,4 %</v>
      </c>
      <c r="D15" s="1" t="str">
        <f>IFERROR(__xludf.DUMMYFUNCTION("""COMPUTED_VALUE"""),"+ 6,0 %")</f>
        <v>+ 6,0 %</v>
      </c>
      <c r="E15" s="1" t="str">
        <f>IFERROR(__xludf.DUMMYFUNCTION("""COMPUTED_VALUE"""),"+ 14,2 %")</f>
        <v>+ 14,2 %</v>
      </c>
    </row>
    <row r="16">
      <c r="A16" s="2">
        <f>IFERROR(__xludf.DUMMYFUNCTION("""COMPUTED_VALUE"""),45748.0)</f>
        <v>45748</v>
      </c>
      <c r="B16" s="1" t="str">
        <f>IFERROR(__xludf.DUMMYFUNCTION("""COMPUTED_VALUE"""),"4.833 €/m2")</f>
        <v>4.833 €/m2</v>
      </c>
      <c r="C16" s="1" t="str">
        <f>IFERROR(__xludf.DUMMYFUNCTION("""COMPUTED_VALUE"""),"+ 1,8 %")</f>
        <v>+ 1,8 %</v>
      </c>
      <c r="D16" s="1" t="str">
        <f>IFERROR(__xludf.DUMMYFUNCTION("""COMPUTED_VALUE"""),"+ 5,9 %")</f>
        <v>+ 5,9 %</v>
      </c>
      <c r="E16" s="1" t="str">
        <f>IFERROR(__xludf.DUMMYFUNCTION("""COMPUTED_VALUE"""),"+ 15,5 %")</f>
        <v>+ 15,5 %</v>
      </c>
    </row>
    <row r="17">
      <c r="A17" s="2">
        <f>IFERROR(__xludf.DUMMYFUNCTION("""COMPUTED_VALUE"""),45717.0)</f>
        <v>45717</v>
      </c>
      <c r="B17" s="1" t="str">
        <f>IFERROR(__xludf.DUMMYFUNCTION("""COMPUTED_VALUE"""),"4.745 €/m2")</f>
        <v>4.745 €/m2</v>
      </c>
      <c r="C17" s="1" t="str">
        <f>IFERROR(__xludf.DUMMYFUNCTION("""COMPUTED_VALUE"""),"+ 1,6 %")</f>
        <v>+ 1,6 %</v>
      </c>
      <c r="D17" s="1" t="str">
        <f>IFERROR(__xludf.DUMMYFUNCTION("""COMPUTED_VALUE"""),"+ 4,5 %")</f>
        <v>+ 4,5 %</v>
      </c>
      <c r="E17" s="1" t="str">
        <f>IFERROR(__xludf.DUMMYFUNCTION("""COMPUTED_VALUE"""),"+ 14,8 %")</f>
        <v>+ 14,8 %</v>
      </c>
    </row>
    <row r="18">
      <c r="A18" s="2">
        <f>IFERROR(__xludf.DUMMYFUNCTION("""COMPUTED_VALUE"""),45689.0)</f>
        <v>45689</v>
      </c>
      <c r="B18" s="1" t="str">
        <f>IFERROR(__xludf.DUMMYFUNCTION("""COMPUTED_VALUE"""),"4.669 €/m2")</f>
        <v>4.669 €/m2</v>
      </c>
      <c r="C18" s="1" t="str">
        <f>IFERROR(__xludf.DUMMYFUNCTION("""COMPUTED_VALUE"""),"+ 2,3 %")</f>
        <v>+ 2,3 %</v>
      </c>
      <c r="D18" s="1" t="str">
        <f>IFERROR(__xludf.DUMMYFUNCTION("""COMPUTED_VALUE"""),"+ 4,0 %")</f>
        <v>+ 4,0 %</v>
      </c>
      <c r="E18" s="1" t="str">
        <f>IFERROR(__xludf.DUMMYFUNCTION("""COMPUTED_VALUE"""),"+ 13,1 %")</f>
        <v>+ 13,1 %</v>
      </c>
    </row>
    <row r="19">
      <c r="A19" s="2">
        <f>IFERROR(__xludf.DUMMYFUNCTION("""COMPUTED_VALUE"""),45658.0)</f>
        <v>45658</v>
      </c>
      <c r="B19" s="1" t="str">
        <f>IFERROR(__xludf.DUMMYFUNCTION("""COMPUTED_VALUE"""),"4.564 €/m2")</f>
        <v>4.564 €/m2</v>
      </c>
      <c r="C19" s="1" t="str">
        <f>IFERROR(__xludf.DUMMYFUNCTION("""COMPUTED_VALUE"""),"+ 0,5 %")</f>
        <v>+ 0,5 %</v>
      </c>
      <c r="D19" s="1" t="str">
        <f>IFERROR(__xludf.DUMMYFUNCTION("""COMPUTED_VALUE"""),"+ 3,2 %")</f>
        <v>+ 3,2 %</v>
      </c>
      <c r="E19" s="1" t="str">
        <f>IFERROR(__xludf.DUMMYFUNCTION("""COMPUTED_VALUE"""),"+ 11,3 %")</f>
        <v>+ 11,3 %</v>
      </c>
    </row>
    <row r="20">
      <c r="A20" s="2">
        <f>IFERROR(__xludf.DUMMYFUNCTION("""COMPUTED_VALUE"""),45627.0)</f>
        <v>45627</v>
      </c>
      <c r="B20" s="1" t="str">
        <f>IFERROR(__xludf.DUMMYFUNCTION("""COMPUTED_VALUE"""),"4.541 €/m2")</f>
        <v>4.541 €/m2</v>
      </c>
      <c r="C20" s="1" t="str">
        <f>IFERROR(__xludf.DUMMYFUNCTION("""COMPUTED_VALUE"""),"+ 1,1 %")</f>
        <v>+ 1,1 %</v>
      </c>
      <c r="D20" s="1" t="str">
        <f>IFERROR(__xludf.DUMMYFUNCTION("""COMPUTED_VALUE"""),"+ 3,2 %")</f>
        <v>+ 3,2 %</v>
      </c>
      <c r="E20" s="1" t="str">
        <f>IFERROR(__xludf.DUMMYFUNCTION("""COMPUTED_VALUE"""),"+ 11,7 %")</f>
        <v>+ 11,7 %</v>
      </c>
    </row>
    <row r="21">
      <c r="A21" s="2">
        <f>IFERROR(__xludf.DUMMYFUNCTION("""COMPUTED_VALUE"""),45597.0)</f>
        <v>45597</v>
      </c>
      <c r="B21" s="1" t="str">
        <f>IFERROR(__xludf.DUMMYFUNCTION("""COMPUTED_VALUE"""),"4.490 €/m2")</f>
        <v>4.490 €/m2</v>
      </c>
      <c r="C21" s="1" t="str">
        <f>IFERROR(__xludf.DUMMYFUNCTION("""COMPUTED_VALUE"""),"+ 1,5 %")</f>
        <v>+ 1,5 %</v>
      </c>
      <c r="D21" s="1" t="str">
        <f>IFERROR(__xludf.DUMMYFUNCTION("""COMPUTED_VALUE"""),"+ 1,6 %")</f>
        <v>+ 1,6 %</v>
      </c>
      <c r="E21" s="1" t="str">
        <f>IFERROR(__xludf.DUMMYFUNCTION("""COMPUTED_VALUE"""),"+ 11,1 %")</f>
        <v>+ 11,1 %</v>
      </c>
    </row>
    <row r="22">
      <c r="A22" s="2">
        <f>IFERROR(__xludf.DUMMYFUNCTION("""COMPUTED_VALUE"""),45566.0)</f>
        <v>45566</v>
      </c>
      <c r="B22" s="1" t="str">
        <f>IFERROR(__xludf.DUMMYFUNCTION("""COMPUTED_VALUE"""),"4.423 €/m2")</f>
        <v>4.423 €/m2</v>
      </c>
      <c r="C22" s="1" t="str">
        <f>IFERROR(__xludf.DUMMYFUNCTION("""COMPUTED_VALUE"""),"+ 0,5 %")</f>
        <v>+ 0,5 %</v>
      </c>
      <c r="D22" s="1" t="str">
        <f>IFERROR(__xludf.DUMMYFUNCTION("""COMPUTED_VALUE"""),"+ 0,1 %")</f>
        <v>+ 0,1 %</v>
      </c>
      <c r="E22" s="1" t="str">
        <f>IFERROR(__xludf.DUMMYFUNCTION("""COMPUTED_VALUE"""),"+ 8,9 %")</f>
        <v>+ 8,9 %</v>
      </c>
    </row>
    <row r="23">
      <c r="A23" s="2">
        <f>IFERROR(__xludf.DUMMYFUNCTION("""COMPUTED_VALUE"""),45536.0)</f>
        <v>45536</v>
      </c>
      <c r="B23" s="1" t="str">
        <f>IFERROR(__xludf.DUMMYFUNCTION("""COMPUTED_VALUE"""),"4.399 €/m2")</f>
        <v>4.399 €/m2</v>
      </c>
      <c r="C23" s="1" t="str">
        <f>IFERROR(__xludf.DUMMYFUNCTION("""COMPUTED_VALUE"""),"- 0,4 %")</f>
        <v>- 0,4 %</v>
      </c>
      <c r="D23" s="1" t="str">
        <f>IFERROR(__xludf.DUMMYFUNCTION("""COMPUTED_VALUE"""),"+ 0,7 %")</f>
        <v>+ 0,7 %</v>
      </c>
      <c r="E23" s="1" t="str">
        <f>IFERROR(__xludf.DUMMYFUNCTION("""COMPUTED_VALUE"""),"+ 10,1 %")</f>
        <v>+ 10,1 %</v>
      </c>
    </row>
    <row r="24">
      <c r="A24" s="2">
        <f>IFERROR(__xludf.DUMMYFUNCTION("""COMPUTED_VALUE"""),45505.0)</f>
        <v>45505</v>
      </c>
      <c r="B24" s="1" t="str">
        <f>IFERROR(__xludf.DUMMYFUNCTION("""COMPUTED_VALUE"""),"4.418 €/m2")</f>
        <v>4.418 €/m2</v>
      </c>
      <c r="C24" s="1" t="str">
        <f>IFERROR(__xludf.DUMMYFUNCTION("""COMPUTED_VALUE"""),"0,0 %")</f>
        <v>0,0 %</v>
      </c>
      <c r="D24" s="1" t="str">
        <f>IFERROR(__xludf.DUMMYFUNCTION("""COMPUTED_VALUE"""),"+ 1,9 %")</f>
        <v>+ 1,9 %</v>
      </c>
      <c r="E24" s="1" t="str">
        <f>IFERROR(__xludf.DUMMYFUNCTION("""COMPUTED_VALUE"""),"+ 11,7 %")</f>
        <v>+ 11,7 %</v>
      </c>
    </row>
    <row r="25">
      <c r="A25" s="2">
        <f>IFERROR(__xludf.DUMMYFUNCTION("""COMPUTED_VALUE"""),45474.0)</f>
        <v>45474</v>
      </c>
      <c r="B25" s="1" t="str">
        <f>IFERROR(__xludf.DUMMYFUNCTION("""COMPUTED_VALUE"""),"4.420 €/m2")</f>
        <v>4.420 €/m2</v>
      </c>
      <c r="C25" s="1" t="str">
        <f>IFERROR(__xludf.DUMMYFUNCTION("""COMPUTED_VALUE"""),"+ 1,2 %")</f>
        <v>+ 1,2 %</v>
      </c>
      <c r="D25" s="1" t="str">
        <f>IFERROR(__xludf.DUMMYFUNCTION("""COMPUTED_VALUE"""),"+ 5,6 %")</f>
        <v>+ 5,6 %</v>
      </c>
      <c r="E25" s="1" t="str">
        <f>IFERROR(__xludf.DUMMYFUNCTION("""COMPUTED_VALUE"""),"+ 11,3 %")</f>
        <v>+ 11,3 %</v>
      </c>
    </row>
    <row r="26">
      <c r="A26" s="2">
        <f>IFERROR(__xludf.DUMMYFUNCTION("""COMPUTED_VALUE"""),45444.0)</f>
        <v>45444</v>
      </c>
      <c r="B26" s="1" t="str">
        <f>IFERROR(__xludf.DUMMYFUNCTION("""COMPUTED_VALUE"""),"4.368 €/m2")</f>
        <v>4.368 €/m2</v>
      </c>
      <c r="C26" s="1" t="str">
        <f>IFERROR(__xludf.DUMMYFUNCTION("""COMPUTED_VALUE"""),"+ 0,8 %")</f>
        <v>+ 0,8 %</v>
      </c>
      <c r="D26" s="1" t="str">
        <f>IFERROR(__xludf.DUMMYFUNCTION("""COMPUTED_VALUE"""),"+ 5,7 %")</f>
        <v>+ 5,7 %</v>
      </c>
      <c r="E26" s="1" t="str">
        <f>IFERROR(__xludf.DUMMYFUNCTION("""COMPUTED_VALUE"""),"+ 9,6 %")</f>
        <v>+ 9,6 %</v>
      </c>
    </row>
    <row r="27">
      <c r="A27" s="2">
        <f>IFERROR(__xludf.DUMMYFUNCTION("""COMPUTED_VALUE"""),45413.0)</f>
        <v>45413</v>
      </c>
      <c r="B27" s="1" t="str">
        <f>IFERROR(__xludf.DUMMYFUNCTION("""COMPUTED_VALUE"""),"4.334 €/m2")</f>
        <v>4.334 €/m2</v>
      </c>
      <c r="C27" s="1" t="str">
        <f>IFERROR(__xludf.DUMMYFUNCTION("""COMPUTED_VALUE"""),"+ 3,6 %")</f>
        <v>+ 3,6 %</v>
      </c>
      <c r="D27" s="1" t="str">
        <f>IFERROR(__xludf.DUMMYFUNCTION("""COMPUTED_VALUE"""),"+ 5,0 %")</f>
        <v>+ 5,0 %</v>
      </c>
      <c r="E27" s="1" t="str">
        <f>IFERROR(__xludf.DUMMYFUNCTION("""COMPUTED_VALUE"""),"+ 11,1 %")</f>
        <v>+ 11,1 %</v>
      </c>
    </row>
    <row r="28">
      <c r="A28" s="2">
        <f>IFERROR(__xludf.DUMMYFUNCTION("""COMPUTED_VALUE"""),45383.0)</f>
        <v>45383</v>
      </c>
      <c r="B28" s="1" t="str">
        <f>IFERROR(__xludf.DUMMYFUNCTION("""COMPUTED_VALUE"""),"4.184 €/m2")</f>
        <v>4.184 €/m2</v>
      </c>
      <c r="C28" s="1" t="str">
        <f>IFERROR(__xludf.DUMMYFUNCTION("""COMPUTED_VALUE"""),"+ 1,2 %")</f>
        <v>+ 1,2 %</v>
      </c>
      <c r="D28" s="1" t="str">
        <f>IFERROR(__xludf.DUMMYFUNCTION("""COMPUTED_VALUE"""),"+ 2,1 %")</f>
        <v>+ 2,1 %</v>
      </c>
      <c r="E28" s="1" t="str">
        <f>IFERROR(__xludf.DUMMYFUNCTION("""COMPUTED_VALUE"""),"+ 8,3 %")</f>
        <v>+ 8,3 %</v>
      </c>
    </row>
    <row r="29">
      <c r="A29" s="2">
        <f>IFERROR(__xludf.DUMMYFUNCTION("""COMPUTED_VALUE"""),45352.0)</f>
        <v>45352</v>
      </c>
      <c r="B29" s="1" t="str">
        <f>IFERROR(__xludf.DUMMYFUNCTION("""COMPUTED_VALUE"""),"4.133 €/m2")</f>
        <v>4.133 €/m2</v>
      </c>
      <c r="C29" s="1" t="str">
        <f>IFERROR(__xludf.DUMMYFUNCTION("""COMPUTED_VALUE"""),"+ 0,1 %")</f>
        <v>+ 0,1 %</v>
      </c>
      <c r="D29" s="1" t="str">
        <f>IFERROR(__xludf.DUMMYFUNCTION("""COMPUTED_VALUE"""),"+ 1,6 %")</f>
        <v>+ 1,6 %</v>
      </c>
      <c r="E29" s="1" t="str">
        <f>IFERROR(__xludf.DUMMYFUNCTION("""COMPUTED_VALUE"""),"+ 8,3 %")</f>
        <v>+ 8,3 %</v>
      </c>
    </row>
    <row r="30">
      <c r="A30" s="2">
        <f>IFERROR(__xludf.DUMMYFUNCTION("""COMPUTED_VALUE"""),45323.0)</f>
        <v>45323</v>
      </c>
      <c r="B30" s="1" t="str">
        <f>IFERROR(__xludf.DUMMYFUNCTION("""COMPUTED_VALUE"""),"4.129 €/m2")</f>
        <v>4.129 €/m2</v>
      </c>
      <c r="C30" s="1" t="str">
        <f>IFERROR(__xludf.DUMMYFUNCTION("""COMPUTED_VALUE"""),"+ 0,7 %")</f>
        <v>+ 0,7 %</v>
      </c>
      <c r="D30" s="1" t="str">
        <f>IFERROR(__xludf.DUMMYFUNCTION("""COMPUTED_VALUE"""),"+ 2,2 %")</f>
        <v>+ 2,2 %</v>
      </c>
      <c r="E30" s="1" t="str">
        <f>IFERROR(__xludf.DUMMYFUNCTION("""COMPUTED_VALUE"""),"+ 7,7 %")</f>
        <v>+ 7,7 %</v>
      </c>
    </row>
    <row r="31">
      <c r="A31" s="2">
        <f>IFERROR(__xludf.DUMMYFUNCTION("""COMPUTED_VALUE"""),45292.0)</f>
        <v>45292</v>
      </c>
      <c r="B31" s="1" t="str">
        <f>IFERROR(__xludf.DUMMYFUNCTION("""COMPUTED_VALUE"""),"4.100 €/m2")</f>
        <v>4.100 €/m2</v>
      </c>
      <c r="C31" s="1" t="str">
        <f>IFERROR(__xludf.DUMMYFUNCTION("""COMPUTED_VALUE"""),"+ 0,8 %")</f>
        <v>+ 0,8 %</v>
      </c>
      <c r="D31" s="1" t="str">
        <f>IFERROR(__xludf.DUMMYFUNCTION("""COMPUTED_VALUE"""),"+ 0,9 %")</f>
        <v>+ 0,9 %</v>
      </c>
      <c r="E31" s="1" t="str">
        <f>IFERROR(__xludf.DUMMYFUNCTION("""COMPUTED_VALUE"""),"+ 8,0 %")</f>
        <v>+ 8,0 %</v>
      </c>
    </row>
    <row r="32">
      <c r="A32" s="2">
        <f>IFERROR(__xludf.DUMMYFUNCTION("""COMPUTED_VALUE"""),45261.0)</f>
        <v>45261</v>
      </c>
      <c r="B32" s="1" t="str">
        <f>IFERROR(__xludf.DUMMYFUNCTION("""COMPUTED_VALUE"""),"4.067 €/m2")</f>
        <v>4.067 €/m2</v>
      </c>
      <c r="C32" s="1" t="str">
        <f>IFERROR(__xludf.DUMMYFUNCTION("""COMPUTED_VALUE"""),"+ 0,7 %")</f>
        <v>+ 0,7 %</v>
      </c>
      <c r="D32" s="1" t="str">
        <f>IFERROR(__xludf.DUMMYFUNCTION("""COMPUTED_VALUE"""),"+ 1,8 %")</f>
        <v>+ 1,8 %</v>
      </c>
      <c r="E32" s="1" t="str">
        <f>IFERROR(__xludf.DUMMYFUNCTION("""COMPUTED_VALUE"""),"+ 5,6 %")</f>
        <v>+ 5,6 %</v>
      </c>
    </row>
    <row r="33">
      <c r="A33" s="2">
        <f>IFERROR(__xludf.DUMMYFUNCTION("""COMPUTED_VALUE"""),45231.0)</f>
        <v>45231</v>
      </c>
      <c r="B33" s="1" t="str">
        <f>IFERROR(__xludf.DUMMYFUNCTION("""COMPUTED_VALUE"""),"4.041 €/m2")</f>
        <v>4.041 €/m2</v>
      </c>
      <c r="C33" s="1" t="str">
        <f>IFERROR(__xludf.DUMMYFUNCTION("""COMPUTED_VALUE"""),"- 0,6 %")</f>
        <v>- 0,6 %</v>
      </c>
      <c r="D33" s="1" t="str">
        <f>IFERROR(__xludf.DUMMYFUNCTION("""COMPUTED_VALUE"""),"+ 2,2 %")</f>
        <v>+ 2,2 %</v>
      </c>
      <c r="E33" s="1" t="str">
        <f>IFERROR(__xludf.DUMMYFUNCTION("""COMPUTED_VALUE"""),"+ 3,5 %")</f>
        <v>+ 3,5 %</v>
      </c>
    </row>
    <row r="34">
      <c r="A34" s="2">
        <f>IFERROR(__xludf.DUMMYFUNCTION("""COMPUTED_VALUE"""),45200.0)</f>
        <v>45200</v>
      </c>
      <c r="B34" s="1" t="str">
        <f>IFERROR(__xludf.DUMMYFUNCTION("""COMPUTED_VALUE"""),"4.064 €/m2")</f>
        <v>4.064 €/m2</v>
      </c>
      <c r="C34" s="1" t="str">
        <f>IFERROR(__xludf.DUMMYFUNCTION("""COMPUTED_VALUE"""),"+ 1,7 %")</f>
        <v>+ 1,7 %</v>
      </c>
      <c r="D34" s="1" t="str">
        <f>IFERROR(__xludf.DUMMYFUNCTION("""COMPUTED_VALUE"""),"+ 2,3 %")</f>
        <v>+ 2,3 %</v>
      </c>
      <c r="E34" s="1" t="str">
        <f>IFERROR(__xludf.DUMMYFUNCTION("""COMPUTED_VALUE"""),"+ 3,6 %")</f>
        <v>+ 3,6 %</v>
      </c>
    </row>
    <row r="35">
      <c r="A35" s="2">
        <f>IFERROR(__xludf.DUMMYFUNCTION("""COMPUTED_VALUE"""),45170.0)</f>
        <v>45170</v>
      </c>
      <c r="B35" s="1" t="str">
        <f>IFERROR(__xludf.DUMMYFUNCTION("""COMPUTED_VALUE"""),"3.994 €/m2")</f>
        <v>3.994 €/m2</v>
      </c>
      <c r="C35" s="1" t="str">
        <f>IFERROR(__xludf.DUMMYFUNCTION("""COMPUTED_VALUE"""),"+ 1,0 %")</f>
        <v>+ 1,0 %</v>
      </c>
      <c r="D35" s="1" t="str">
        <f>IFERROR(__xludf.DUMMYFUNCTION("""COMPUTED_VALUE"""),"+ 0,3 %")</f>
        <v>+ 0,3 %</v>
      </c>
      <c r="E35" s="1" t="str">
        <f>IFERROR(__xludf.DUMMYFUNCTION("""COMPUTED_VALUE"""),"+ 1,7 %")</f>
        <v>+ 1,7 %</v>
      </c>
    </row>
    <row r="36">
      <c r="A36" s="2">
        <f>IFERROR(__xludf.DUMMYFUNCTION("""COMPUTED_VALUE"""),45139.0)</f>
        <v>45139</v>
      </c>
      <c r="B36" s="1" t="str">
        <f>IFERROR(__xludf.DUMMYFUNCTION("""COMPUTED_VALUE"""),"3.954 €/m2")</f>
        <v>3.954 €/m2</v>
      </c>
      <c r="C36" s="1" t="str">
        <f>IFERROR(__xludf.DUMMYFUNCTION("""COMPUTED_VALUE"""),"- 0,4 %")</f>
        <v>- 0,4 %</v>
      </c>
      <c r="D36" s="1" t="str">
        <f>IFERROR(__xludf.DUMMYFUNCTION("""COMPUTED_VALUE"""),"+ 1,4 %")</f>
        <v>+ 1,4 %</v>
      </c>
      <c r="E36" s="1" t="str">
        <f>IFERROR(__xludf.DUMMYFUNCTION("""COMPUTED_VALUE"""),"+ 0,2 %")</f>
        <v>+ 0,2 %</v>
      </c>
    </row>
    <row r="37">
      <c r="A37" s="2">
        <f>IFERROR(__xludf.DUMMYFUNCTION("""COMPUTED_VALUE"""),45108.0)</f>
        <v>45108</v>
      </c>
      <c r="B37" s="1" t="str">
        <f>IFERROR(__xludf.DUMMYFUNCTION("""COMPUTED_VALUE"""),"3.971 €/m2")</f>
        <v>3.971 €/m2</v>
      </c>
      <c r="C37" s="1" t="str">
        <f>IFERROR(__xludf.DUMMYFUNCTION("""COMPUTED_VALUE"""),"- 0,3 %")</f>
        <v>- 0,3 %</v>
      </c>
      <c r="D37" s="1" t="str">
        <f>IFERROR(__xludf.DUMMYFUNCTION("""COMPUTED_VALUE"""),"+ 2,8 %")</f>
        <v>+ 2,8 %</v>
      </c>
      <c r="E37" s="1" t="str">
        <f>IFERROR(__xludf.DUMMYFUNCTION("""COMPUTED_VALUE"""),"+ 0,1 %")</f>
        <v>+ 0,1 %</v>
      </c>
    </row>
    <row r="38">
      <c r="A38" s="2">
        <f>IFERROR(__xludf.DUMMYFUNCTION("""COMPUTED_VALUE"""),45078.0)</f>
        <v>45078</v>
      </c>
      <c r="B38" s="1" t="str">
        <f>IFERROR(__xludf.DUMMYFUNCTION("""COMPUTED_VALUE"""),"3.984 €/m2")</f>
        <v>3.984 €/m2</v>
      </c>
      <c r="C38" s="1" t="str">
        <f>IFERROR(__xludf.DUMMYFUNCTION("""COMPUTED_VALUE"""),"+ 2,1 %")</f>
        <v>+ 2,1 %</v>
      </c>
      <c r="D38" s="1" t="str">
        <f>IFERROR(__xludf.DUMMYFUNCTION("""COMPUTED_VALUE"""),"+ 4,4 %")</f>
        <v>+ 4,4 %</v>
      </c>
      <c r="E38" s="1" t="str">
        <f>IFERROR(__xludf.DUMMYFUNCTION("""COMPUTED_VALUE"""),"+ 1,0 %")</f>
        <v>+ 1,0 %</v>
      </c>
    </row>
    <row r="39">
      <c r="A39" s="2">
        <f>IFERROR(__xludf.DUMMYFUNCTION("""COMPUTED_VALUE"""),45047.0)</f>
        <v>45047</v>
      </c>
      <c r="B39" s="1" t="str">
        <f>IFERROR(__xludf.DUMMYFUNCTION("""COMPUTED_VALUE"""),"3.900 €/m2")</f>
        <v>3.900 €/m2</v>
      </c>
      <c r="C39" s="1" t="str">
        <f>IFERROR(__xludf.DUMMYFUNCTION("""COMPUTED_VALUE"""),"+ 0,9 %")</f>
        <v>+ 0,9 %</v>
      </c>
      <c r="D39" s="1" t="str">
        <f>IFERROR(__xludf.DUMMYFUNCTION("""COMPUTED_VALUE"""),"+ 1,8 %")</f>
        <v>+ 1,8 %</v>
      </c>
      <c r="E39" s="1" t="str">
        <f>IFERROR(__xludf.DUMMYFUNCTION("""COMPUTED_VALUE"""),"- 1,0 %")</f>
        <v>- 1,0 %</v>
      </c>
    </row>
    <row r="40">
      <c r="A40" s="2">
        <f>IFERROR(__xludf.DUMMYFUNCTION("""COMPUTED_VALUE"""),45017.0)</f>
        <v>45017</v>
      </c>
      <c r="B40" s="1" t="str">
        <f>IFERROR(__xludf.DUMMYFUNCTION("""COMPUTED_VALUE"""),"3.865 €/m2")</f>
        <v>3.865 €/m2</v>
      </c>
      <c r="C40" s="1" t="str">
        <f>IFERROR(__xludf.DUMMYFUNCTION("""COMPUTED_VALUE"""),"+ 1,3 %")</f>
        <v>+ 1,3 %</v>
      </c>
      <c r="D40" s="1" t="str">
        <f>IFERROR(__xludf.DUMMYFUNCTION("""COMPUTED_VALUE"""),"+ 1,8 %")</f>
        <v>+ 1,8 %</v>
      </c>
      <c r="E40" s="1" t="str">
        <f>IFERROR(__xludf.DUMMYFUNCTION("""COMPUTED_VALUE"""),"- 2,2 %")</f>
        <v>- 2,2 %</v>
      </c>
    </row>
    <row r="41">
      <c r="A41" s="2">
        <f>IFERROR(__xludf.DUMMYFUNCTION("""COMPUTED_VALUE"""),44986.0)</f>
        <v>44986</v>
      </c>
      <c r="B41" s="1" t="str">
        <f>IFERROR(__xludf.DUMMYFUNCTION("""COMPUTED_VALUE"""),"3.816 €/m2")</f>
        <v>3.816 €/m2</v>
      </c>
      <c r="C41" s="1" t="str">
        <f>IFERROR(__xludf.DUMMYFUNCTION("""COMPUTED_VALUE"""),"- 0,4 %")</f>
        <v>- 0,4 %</v>
      </c>
      <c r="D41" s="1" t="str">
        <f>IFERROR(__xludf.DUMMYFUNCTION("""COMPUTED_VALUE"""),"- 0,9 %")</f>
        <v>- 0,9 %</v>
      </c>
      <c r="E41" s="1" t="str">
        <f>IFERROR(__xludf.DUMMYFUNCTION("""COMPUTED_VALUE"""),"- 3,3 %")</f>
        <v>- 3,3 %</v>
      </c>
    </row>
    <row r="42">
      <c r="A42" s="2">
        <f>IFERROR(__xludf.DUMMYFUNCTION("""COMPUTED_VALUE"""),44958.0)</f>
        <v>44958</v>
      </c>
      <c r="B42" s="1" t="str">
        <f>IFERROR(__xludf.DUMMYFUNCTION("""COMPUTED_VALUE"""),"3.832 €/m2")</f>
        <v>3.832 €/m2</v>
      </c>
      <c r="C42" s="1" t="str">
        <f>IFERROR(__xludf.DUMMYFUNCTION("""COMPUTED_VALUE"""),"+ 0,9 %")</f>
        <v>+ 0,9 %</v>
      </c>
      <c r="D42" s="1" t="str">
        <f>IFERROR(__xludf.DUMMYFUNCTION("""COMPUTED_VALUE"""),"- 1,9 %")</f>
        <v>- 1,9 %</v>
      </c>
      <c r="E42" s="1" t="str">
        <f>IFERROR(__xludf.DUMMYFUNCTION("""COMPUTED_VALUE"""),"- 0,8 %")</f>
        <v>- 0,8 %</v>
      </c>
    </row>
    <row r="43">
      <c r="A43" s="2">
        <f>IFERROR(__xludf.DUMMYFUNCTION("""COMPUTED_VALUE"""),44927.0)</f>
        <v>44927</v>
      </c>
      <c r="B43" s="1" t="str">
        <f>IFERROR(__xludf.DUMMYFUNCTION("""COMPUTED_VALUE"""),"3.797 €/m2")</f>
        <v>3.797 €/m2</v>
      </c>
      <c r="C43" s="1" t="str">
        <f>IFERROR(__xludf.DUMMYFUNCTION("""COMPUTED_VALUE"""),"- 1,4 %")</f>
        <v>- 1,4 %</v>
      </c>
      <c r="D43" s="1" t="str">
        <f>IFERROR(__xludf.DUMMYFUNCTION("""COMPUTED_VALUE"""),"- 3,2 %")</f>
        <v>- 3,2 %</v>
      </c>
      <c r="E43" s="1" t="str">
        <f>IFERROR(__xludf.DUMMYFUNCTION("""COMPUTED_VALUE"""),"- 0,4 %")</f>
        <v>- 0,4 %</v>
      </c>
    </row>
    <row r="44">
      <c r="A44" s="2">
        <f>IFERROR(__xludf.DUMMYFUNCTION("""COMPUTED_VALUE"""),44896.0)</f>
        <v>44896</v>
      </c>
      <c r="B44" s="1" t="str">
        <f>IFERROR(__xludf.DUMMYFUNCTION("""COMPUTED_VALUE"""),"3.850 €/m2")</f>
        <v>3.850 €/m2</v>
      </c>
      <c r="C44" s="1" t="str">
        <f>IFERROR(__xludf.DUMMYFUNCTION("""COMPUTED_VALUE"""),"- 1,4 %")</f>
        <v>- 1,4 %</v>
      </c>
      <c r="D44" s="1" t="str">
        <f>IFERROR(__xludf.DUMMYFUNCTION("""COMPUTED_VALUE"""),"- 2,0 %")</f>
        <v>- 2,0 %</v>
      </c>
      <c r="E44" s="1" t="str">
        <f>IFERROR(__xludf.DUMMYFUNCTION("""COMPUTED_VALUE"""),"+ 1,6 %")</f>
        <v>+ 1,6 %</v>
      </c>
    </row>
    <row r="45">
      <c r="A45" s="2">
        <f>IFERROR(__xludf.DUMMYFUNCTION("""COMPUTED_VALUE"""),44866.0)</f>
        <v>44866</v>
      </c>
      <c r="B45" s="1" t="str">
        <f>IFERROR(__xludf.DUMMYFUNCTION("""COMPUTED_VALUE"""),"3.905 €/m2")</f>
        <v>3.905 €/m2</v>
      </c>
      <c r="C45" s="1" t="str">
        <f>IFERROR(__xludf.DUMMYFUNCTION("""COMPUTED_VALUE"""),"- 0,5 %")</f>
        <v>- 0,5 %</v>
      </c>
      <c r="D45" s="1" t="str">
        <f>IFERROR(__xludf.DUMMYFUNCTION("""COMPUTED_VALUE"""),"- 1,0 %")</f>
        <v>- 1,0 %</v>
      </c>
      <c r="E45" s="1" t="str">
        <f>IFERROR(__xludf.DUMMYFUNCTION("""COMPUTED_VALUE"""),"+ 2,7 %")</f>
        <v>+ 2,7 %</v>
      </c>
    </row>
    <row r="46">
      <c r="A46" s="2">
        <f>IFERROR(__xludf.DUMMYFUNCTION("""COMPUTED_VALUE"""),44835.0)</f>
        <v>44835</v>
      </c>
      <c r="B46" s="1" t="str">
        <f>IFERROR(__xludf.DUMMYFUNCTION("""COMPUTED_VALUE"""),"3.923 €/m2")</f>
        <v>3.923 €/m2</v>
      </c>
      <c r="C46" s="1" t="str">
        <f>IFERROR(__xludf.DUMMYFUNCTION("""COMPUTED_VALUE"""),"- 0,1 %")</f>
        <v>- 0,1 %</v>
      </c>
      <c r="D46" s="1" t="str">
        <f>IFERROR(__xludf.DUMMYFUNCTION("""COMPUTED_VALUE"""),"- 1,1 %")</f>
        <v>- 1,1 %</v>
      </c>
      <c r="E46" s="1" t="str">
        <f>IFERROR(__xludf.DUMMYFUNCTION("""COMPUTED_VALUE"""),"+ 1,9 %")</f>
        <v>+ 1,9 %</v>
      </c>
    </row>
    <row r="47">
      <c r="A47" s="2">
        <f>IFERROR(__xludf.DUMMYFUNCTION("""COMPUTED_VALUE"""),44805.0)</f>
        <v>44805</v>
      </c>
      <c r="B47" s="1" t="str">
        <f>IFERROR(__xludf.DUMMYFUNCTION("""COMPUTED_VALUE"""),"3.927 €/m2")</f>
        <v>3.927 €/m2</v>
      </c>
      <c r="C47" s="1" t="str">
        <f>IFERROR(__xludf.DUMMYFUNCTION("""COMPUTED_VALUE"""),"- 0,4 %")</f>
        <v>- 0,4 %</v>
      </c>
      <c r="D47" s="1" t="str">
        <f>IFERROR(__xludf.DUMMYFUNCTION("""COMPUTED_VALUE"""),"- 0,4 %")</f>
        <v>- 0,4 %</v>
      </c>
      <c r="E47" s="1" t="str">
        <f>IFERROR(__xludf.DUMMYFUNCTION("""COMPUTED_VALUE"""),"+ 1,6 %")</f>
        <v>+ 1,6 %</v>
      </c>
    </row>
    <row r="48">
      <c r="A48" s="2">
        <f>IFERROR(__xludf.DUMMYFUNCTION("""COMPUTED_VALUE"""),44774.0)</f>
        <v>44774</v>
      </c>
      <c r="B48" s="1" t="str">
        <f>IFERROR(__xludf.DUMMYFUNCTION("""COMPUTED_VALUE"""),"3.944 €/m2")</f>
        <v>3.944 €/m2</v>
      </c>
      <c r="C48" s="1" t="str">
        <f>IFERROR(__xludf.DUMMYFUNCTION("""COMPUTED_VALUE"""),"- 0,6 %")</f>
        <v>- 0,6 %</v>
      </c>
      <c r="D48" s="1" t="str">
        <f>IFERROR(__xludf.DUMMYFUNCTION("""COMPUTED_VALUE"""),"+ 0,1 %")</f>
        <v>+ 0,1 %</v>
      </c>
      <c r="E48" s="1" t="str">
        <f>IFERROR(__xludf.DUMMYFUNCTION("""COMPUTED_VALUE"""),"+ 3,2 %")</f>
        <v>+ 3,2 %</v>
      </c>
    </row>
    <row r="49">
      <c r="A49" s="2">
        <f>IFERROR(__xludf.DUMMYFUNCTION("""COMPUTED_VALUE"""),44743.0)</f>
        <v>44743</v>
      </c>
      <c r="B49" s="1" t="str">
        <f>IFERROR(__xludf.DUMMYFUNCTION("""COMPUTED_VALUE"""),"3.967 €/m2")</f>
        <v>3.967 €/m2</v>
      </c>
      <c r="C49" s="1" t="str">
        <f>IFERROR(__xludf.DUMMYFUNCTION("""COMPUTED_VALUE"""),"+ 0,6 %")</f>
        <v>+ 0,6 %</v>
      </c>
      <c r="D49" s="1" t="str">
        <f>IFERROR(__xludf.DUMMYFUNCTION("""COMPUTED_VALUE"""),"+ 0,4 %")</f>
        <v>+ 0,4 %</v>
      </c>
      <c r="E49" s="1" t="str">
        <f>IFERROR(__xludf.DUMMYFUNCTION("""COMPUTED_VALUE"""),"+ 4,5 %")</f>
        <v>+ 4,5 %</v>
      </c>
    </row>
    <row r="50">
      <c r="A50" s="2">
        <f>IFERROR(__xludf.DUMMYFUNCTION("""COMPUTED_VALUE"""),44713.0)</f>
        <v>44713</v>
      </c>
      <c r="B50" s="1" t="str">
        <f>IFERROR(__xludf.DUMMYFUNCTION("""COMPUTED_VALUE"""),"3.944 €/m2")</f>
        <v>3.944 €/m2</v>
      </c>
      <c r="C50" s="1" t="str">
        <f>IFERROR(__xludf.DUMMYFUNCTION("""COMPUTED_VALUE"""),"+ 0,1 %")</f>
        <v>+ 0,1 %</v>
      </c>
      <c r="D50" s="1" t="str">
        <f>IFERROR(__xludf.DUMMYFUNCTION("""COMPUTED_VALUE"""),"0,0 %")</f>
        <v>0,0 %</v>
      </c>
      <c r="E50" s="1" t="str">
        <f>IFERROR(__xludf.DUMMYFUNCTION("""COMPUTED_VALUE"""),"+ 5,1 %")</f>
        <v>+ 5,1 %</v>
      </c>
    </row>
    <row r="51">
      <c r="A51" s="2">
        <f>IFERROR(__xludf.DUMMYFUNCTION("""COMPUTED_VALUE"""),44682.0)</f>
        <v>44682</v>
      </c>
      <c r="B51" s="1" t="str">
        <f>IFERROR(__xludf.DUMMYFUNCTION("""COMPUTED_VALUE"""),"3.939 €/m2")</f>
        <v>3.939 €/m2</v>
      </c>
      <c r="C51" s="1" t="str">
        <f>IFERROR(__xludf.DUMMYFUNCTION("""COMPUTED_VALUE"""),"- 0,3 %")</f>
        <v>- 0,3 %</v>
      </c>
      <c r="D51" s="1" t="str">
        <f>IFERROR(__xludf.DUMMYFUNCTION("""COMPUTED_VALUE"""),"+ 2,0 %")</f>
        <v>+ 2,0 %</v>
      </c>
      <c r="E51" s="1" t="str">
        <f>IFERROR(__xludf.DUMMYFUNCTION("""COMPUTED_VALUE"""),"+ 5,3 %")</f>
        <v>+ 5,3 %</v>
      </c>
    </row>
    <row r="52">
      <c r="A52" s="2">
        <f>IFERROR(__xludf.DUMMYFUNCTION("""COMPUTED_VALUE"""),44652.0)</f>
        <v>44652</v>
      </c>
      <c r="B52" s="1" t="str">
        <f>IFERROR(__xludf.DUMMYFUNCTION("""COMPUTED_VALUE"""),"3.950 €/m2")</f>
        <v>3.950 €/m2</v>
      </c>
      <c r="C52" s="1" t="str">
        <f>IFERROR(__xludf.DUMMYFUNCTION("""COMPUTED_VALUE"""),"+ 0,1 %")</f>
        <v>+ 0,1 %</v>
      </c>
      <c r="D52" s="1" t="str">
        <f>IFERROR(__xludf.DUMMYFUNCTION("""COMPUTED_VALUE"""),"+ 3,6 %")</f>
        <v>+ 3,6 %</v>
      </c>
      <c r="E52" s="1" t="str">
        <f>IFERROR(__xludf.DUMMYFUNCTION("""COMPUTED_VALUE"""),"+ 7,3 %")</f>
        <v>+ 7,3 %</v>
      </c>
    </row>
    <row r="53">
      <c r="A53" s="2">
        <f>IFERROR(__xludf.DUMMYFUNCTION("""COMPUTED_VALUE"""),44621.0)</f>
        <v>44621</v>
      </c>
      <c r="B53" s="1" t="str">
        <f>IFERROR(__xludf.DUMMYFUNCTION("""COMPUTED_VALUE"""),"3.946 €/m2")</f>
        <v>3.946 €/m2</v>
      </c>
      <c r="C53" s="1" t="str">
        <f>IFERROR(__xludf.DUMMYFUNCTION("""COMPUTED_VALUE"""),"+ 2,1 %")</f>
        <v>+ 2,1 %</v>
      </c>
      <c r="D53" s="1" t="str">
        <f>IFERROR(__xludf.DUMMYFUNCTION("""COMPUTED_VALUE"""),"+ 4,2 %")</f>
        <v>+ 4,2 %</v>
      </c>
      <c r="E53" s="1" t="str">
        <f>IFERROR(__xludf.DUMMYFUNCTION("""COMPUTED_VALUE"""),"+ 8,9 %")</f>
        <v>+ 8,9 %</v>
      </c>
    </row>
    <row r="54">
      <c r="A54" s="2">
        <f>IFERROR(__xludf.DUMMYFUNCTION("""COMPUTED_VALUE"""),44593.0)</f>
        <v>44593</v>
      </c>
      <c r="B54" s="1" t="str">
        <f>IFERROR(__xludf.DUMMYFUNCTION("""COMPUTED_VALUE"""),"3.863 €/m2")</f>
        <v>3.863 €/m2</v>
      </c>
      <c r="C54" s="1" t="str">
        <f>IFERROR(__xludf.DUMMYFUNCTION("""COMPUTED_VALUE"""),"+ 1,3 %")</f>
        <v>+ 1,3 %</v>
      </c>
      <c r="D54" s="1" t="str">
        <f>IFERROR(__xludf.DUMMYFUNCTION("""COMPUTED_VALUE"""),"+ 1,6 %")</f>
        <v>+ 1,6 %</v>
      </c>
      <c r="E54" s="1" t="str">
        <f>IFERROR(__xludf.DUMMYFUNCTION("""COMPUTED_VALUE"""),"+ 6,0 %")</f>
        <v>+ 6,0 %</v>
      </c>
    </row>
    <row r="55">
      <c r="A55" s="2">
        <f>IFERROR(__xludf.DUMMYFUNCTION("""COMPUTED_VALUE"""),44562.0)</f>
        <v>44562</v>
      </c>
      <c r="B55" s="1" t="str">
        <f>IFERROR(__xludf.DUMMYFUNCTION("""COMPUTED_VALUE"""),"3.814 €/m2")</f>
        <v>3.814 €/m2</v>
      </c>
      <c r="C55" s="1" t="str">
        <f>IFERROR(__xludf.DUMMYFUNCTION("""COMPUTED_VALUE"""),"+ 0,7 %")</f>
        <v>+ 0,7 %</v>
      </c>
      <c r="D55" s="1" t="str">
        <f>IFERROR(__xludf.DUMMYFUNCTION("""COMPUTED_VALUE"""),"- 0,9 %")</f>
        <v>- 0,9 %</v>
      </c>
      <c r="E55" s="1" t="str">
        <f>IFERROR(__xludf.DUMMYFUNCTION("""COMPUTED_VALUE"""),"+ 4,7 %")</f>
        <v>+ 4,7 %</v>
      </c>
    </row>
    <row r="56">
      <c r="A56" s="2">
        <f>IFERROR(__xludf.DUMMYFUNCTION("""COMPUTED_VALUE"""),44531.0)</f>
        <v>44531</v>
      </c>
      <c r="B56" s="1" t="str">
        <f>IFERROR(__xludf.DUMMYFUNCTION("""COMPUTED_VALUE"""),"3.788 €/m2")</f>
        <v>3.788 €/m2</v>
      </c>
      <c r="C56" s="1" t="str">
        <f>IFERROR(__xludf.DUMMYFUNCTION("""COMPUTED_VALUE"""),"- 0,4 %")</f>
        <v>- 0,4 %</v>
      </c>
      <c r="D56" s="1" t="str">
        <f>IFERROR(__xludf.DUMMYFUNCTION("""COMPUTED_VALUE"""),"- 2,0 %")</f>
        <v>- 2,0 %</v>
      </c>
      <c r="E56" s="1" t="str">
        <f>IFERROR(__xludf.DUMMYFUNCTION("""COMPUTED_VALUE"""),"+ 2,9 %")</f>
        <v>+ 2,9 %</v>
      </c>
    </row>
    <row r="57">
      <c r="A57" s="2">
        <f>IFERROR(__xludf.DUMMYFUNCTION("""COMPUTED_VALUE"""),44501.0)</f>
        <v>44501</v>
      </c>
      <c r="B57" s="1" t="str">
        <f>IFERROR(__xludf.DUMMYFUNCTION("""COMPUTED_VALUE"""),"3.803 €/m2")</f>
        <v>3.803 €/m2</v>
      </c>
      <c r="C57" s="1" t="str">
        <f>IFERROR(__xludf.DUMMYFUNCTION("""COMPUTED_VALUE"""),"- 1,2 %")</f>
        <v>- 1,2 %</v>
      </c>
      <c r="D57" s="1" t="str">
        <f>IFERROR(__xludf.DUMMYFUNCTION("""COMPUTED_VALUE"""),"- 0,5 %")</f>
        <v>- 0,5 %</v>
      </c>
      <c r="E57" s="1" t="str">
        <f>IFERROR(__xludf.DUMMYFUNCTION("""COMPUTED_VALUE"""),"+ 3,8 %")</f>
        <v>+ 3,8 %</v>
      </c>
    </row>
    <row r="58">
      <c r="A58" s="2">
        <f>IFERROR(__xludf.DUMMYFUNCTION("""COMPUTED_VALUE"""),44470.0)</f>
        <v>44470</v>
      </c>
      <c r="B58" s="1" t="str">
        <f>IFERROR(__xludf.DUMMYFUNCTION("""COMPUTED_VALUE"""),"3.849 €/m2")</f>
        <v>3.849 €/m2</v>
      </c>
      <c r="C58" s="1" t="str">
        <f>IFERROR(__xludf.DUMMYFUNCTION("""COMPUTED_VALUE"""),"- 0,4 %")</f>
        <v>- 0,4 %</v>
      </c>
      <c r="D58" s="1" t="str">
        <f>IFERROR(__xludf.DUMMYFUNCTION("""COMPUTED_VALUE"""),"+ 1,4 %")</f>
        <v>+ 1,4 %</v>
      </c>
      <c r="E58" s="1" t="str">
        <f>IFERROR(__xludf.DUMMYFUNCTION("""COMPUTED_VALUE"""),"+ 5,8 %")</f>
        <v>+ 5,8 %</v>
      </c>
    </row>
    <row r="59">
      <c r="A59" s="2">
        <f>IFERROR(__xludf.DUMMYFUNCTION("""COMPUTED_VALUE"""),44440.0)</f>
        <v>44440</v>
      </c>
      <c r="B59" s="1" t="str">
        <f>IFERROR(__xludf.DUMMYFUNCTION("""COMPUTED_VALUE"""),"3.864 €/m2")</f>
        <v>3.864 €/m2</v>
      </c>
      <c r="C59" s="1" t="str">
        <f>IFERROR(__xludf.DUMMYFUNCTION("""COMPUTED_VALUE"""),"+ 1,1 %")</f>
        <v>+ 1,1 %</v>
      </c>
      <c r="D59" s="1" t="str">
        <f>IFERROR(__xludf.DUMMYFUNCTION("""COMPUTED_VALUE"""),"+ 3,0 %")</f>
        <v>+ 3,0 %</v>
      </c>
      <c r="E59" s="1" t="str">
        <f>IFERROR(__xludf.DUMMYFUNCTION("""COMPUTED_VALUE"""),"+ 5,8 %")</f>
        <v>+ 5,8 %</v>
      </c>
    </row>
    <row r="60">
      <c r="A60" s="2">
        <f>IFERROR(__xludf.DUMMYFUNCTION("""COMPUTED_VALUE"""),44409.0)</f>
        <v>44409</v>
      </c>
      <c r="B60" s="1" t="str">
        <f>IFERROR(__xludf.DUMMYFUNCTION("""COMPUTED_VALUE"""),"3.823 €/m2")</f>
        <v>3.823 €/m2</v>
      </c>
      <c r="C60" s="1" t="str">
        <f>IFERROR(__xludf.DUMMYFUNCTION("""COMPUTED_VALUE"""),"+ 0,7 %")</f>
        <v>+ 0,7 %</v>
      </c>
      <c r="D60" s="1" t="str">
        <f>IFERROR(__xludf.DUMMYFUNCTION("""COMPUTED_VALUE"""),"+ 2,2 %")</f>
        <v>+ 2,2 %</v>
      </c>
      <c r="E60" s="1" t="str">
        <f>IFERROR(__xludf.DUMMYFUNCTION("""COMPUTED_VALUE"""),"+ 3,9 %")</f>
        <v>+ 3,9 %</v>
      </c>
    </row>
    <row r="61">
      <c r="A61" s="2">
        <f>IFERROR(__xludf.DUMMYFUNCTION("""COMPUTED_VALUE"""),44378.0)</f>
        <v>44378</v>
      </c>
      <c r="B61" s="1" t="str">
        <f>IFERROR(__xludf.DUMMYFUNCTION("""COMPUTED_VALUE"""),"3.797 €/m2")</f>
        <v>3.797 €/m2</v>
      </c>
      <c r="C61" s="1" t="str">
        <f>IFERROR(__xludf.DUMMYFUNCTION("""COMPUTED_VALUE"""),"+ 1,2 %")</f>
        <v>+ 1,2 %</v>
      </c>
      <c r="D61" s="1" t="str">
        <f>IFERROR(__xludf.DUMMYFUNCTION("""COMPUTED_VALUE"""),"+ 3,1 %")</f>
        <v>+ 3,1 %</v>
      </c>
      <c r="E61" s="1" t="str">
        <f>IFERROR(__xludf.DUMMYFUNCTION("""COMPUTED_VALUE"""),"+ 1,7 %")</f>
        <v>+ 1,7 %</v>
      </c>
    </row>
    <row r="62">
      <c r="A62" s="2">
        <f>IFERROR(__xludf.DUMMYFUNCTION("""COMPUTED_VALUE"""),44348.0)</f>
        <v>44348</v>
      </c>
      <c r="B62" s="1" t="str">
        <f>IFERROR(__xludf.DUMMYFUNCTION("""COMPUTED_VALUE"""),"3.752 €/m2")</f>
        <v>3.752 €/m2</v>
      </c>
      <c r="C62" s="1" t="str">
        <f>IFERROR(__xludf.DUMMYFUNCTION("""COMPUTED_VALUE"""),"+ 0,4 %")</f>
        <v>+ 0,4 %</v>
      </c>
      <c r="D62" s="1" t="str">
        <f>IFERROR(__xludf.DUMMYFUNCTION("""COMPUTED_VALUE"""),"+ 3,6 %")</f>
        <v>+ 3,6 %</v>
      </c>
      <c r="E62" s="1" t="str">
        <f>IFERROR(__xludf.DUMMYFUNCTION("""COMPUTED_VALUE"""),"+ 0,7 %")</f>
        <v>+ 0,7 %</v>
      </c>
    </row>
    <row r="63">
      <c r="A63" s="2">
        <f>IFERROR(__xludf.DUMMYFUNCTION("""COMPUTED_VALUE"""),44317.0)</f>
        <v>44317</v>
      </c>
      <c r="B63" s="1" t="str">
        <f>IFERROR(__xludf.DUMMYFUNCTION("""COMPUTED_VALUE"""),"3.739 €/m2")</f>
        <v>3.739 €/m2</v>
      </c>
      <c r="C63" s="1" t="str">
        <f>IFERROR(__xludf.DUMMYFUNCTION("""COMPUTED_VALUE"""),"+ 1,6 %")</f>
        <v>+ 1,6 %</v>
      </c>
      <c r="D63" s="1" t="str">
        <f>IFERROR(__xludf.DUMMYFUNCTION("""COMPUTED_VALUE"""),"+ 2,6 %")</f>
        <v>+ 2,6 %</v>
      </c>
      <c r="E63" s="1" t="str">
        <f>IFERROR(__xludf.DUMMYFUNCTION("""COMPUTED_VALUE"""),"+ 0,7 %")</f>
        <v>+ 0,7 %</v>
      </c>
    </row>
    <row r="64">
      <c r="A64" s="2">
        <f>IFERROR(__xludf.DUMMYFUNCTION("""COMPUTED_VALUE"""),44287.0)</f>
        <v>44287</v>
      </c>
      <c r="B64" s="1" t="str">
        <f>IFERROR(__xludf.DUMMYFUNCTION("""COMPUTED_VALUE"""),"3.681 €/m2")</f>
        <v>3.681 €/m2</v>
      </c>
      <c r="C64" s="1" t="str">
        <f>IFERROR(__xludf.DUMMYFUNCTION("""COMPUTED_VALUE"""),"+ 1,6 %")</f>
        <v>+ 1,6 %</v>
      </c>
      <c r="D64" s="1" t="str">
        <f>IFERROR(__xludf.DUMMYFUNCTION("""COMPUTED_VALUE"""),"+ 1,1 %")</f>
        <v>+ 1,1 %</v>
      </c>
      <c r="E64" s="1" t="str">
        <f>IFERROR(__xludf.DUMMYFUNCTION("""COMPUTED_VALUE"""),"- 2,0 %")</f>
        <v>- 2,0 %</v>
      </c>
    </row>
    <row r="65">
      <c r="A65" s="2">
        <f>IFERROR(__xludf.DUMMYFUNCTION("""COMPUTED_VALUE"""),44256.0)</f>
        <v>44256</v>
      </c>
      <c r="B65" s="1" t="str">
        <f>IFERROR(__xludf.DUMMYFUNCTION("""COMPUTED_VALUE"""),"3.623 €/m2")</f>
        <v>3.623 €/m2</v>
      </c>
      <c r="C65" s="1" t="str">
        <f>IFERROR(__xludf.DUMMYFUNCTION("""COMPUTED_VALUE"""),"- 0,6 %")</f>
        <v>- 0,6 %</v>
      </c>
      <c r="D65" s="1" t="str">
        <f>IFERROR(__xludf.DUMMYFUNCTION("""COMPUTED_VALUE"""),"- 1,6 %")</f>
        <v>- 1,6 %</v>
      </c>
      <c r="E65" s="1" t="str">
        <f>IFERROR(__xludf.DUMMYFUNCTION("""COMPUTED_VALUE"""),"- 3,3 %")</f>
        <v>- 3,3 %</v>
      </c>
    </row>
    <row r="66">
      <c r="A66" s="2">
        <f>IFERROR(__xludf.DUMMYFUNCTION("""COMPUTED_VALUE"""),44228.0)</f>
        <v>44228</v>
      </c>
      <c r="B66" s="1" t="str">
        <f>IFERROR(__xludf.DUMMYFUNCTION("""COMPUTED_VALUE"""),"3.646 €/m2")</f>
        <v>3.646 €/m2</v>
      </c>
      <c r="C66" s="1" t="str">
        <f>IFERROR(__xludf.DUMMYFUNCTION("""COMPUTED_VALUE"""),"+ 0,1 %")</f>
        <v>+ 0,1 %</v>
      </c>
      <c r="D66" s="1" t="str">
        <f>IFERROR(__xludf.DUMMYFUNCTION("""COMPUTED_VALUE"""),"- 0,5 %")</f>
        <v>- 0,5 %</v>
      </c>
      <c r="E66" s="1" t="str">
        <f>IFERROR(__xludf.DUMMYFUNCTION("""COMPUTED_VALUE"""),"- 2,7 %")</f>
        <v>- 2,7 %</v>
      </c>
    </row>
    <row r="67">
      <c r="A67" s="2">
        <f>IFERROR(__xludf.DUMMYFUNCTION("""COMPUTED_VALUE"""),44197.0)</f>
        <v>44197</v>
      </c>
      <c r="B67" s="1" t="str">
        <f>IFERROR(__xludf.DUMMYFUNCTION("""COMPUTED_VALUE"""),"3.641 €/m2")</f>
        <v>3.641 €/m2</v>
      </c>
      <c r="C67" s="1" t="str">
        <f>IFERROR(__xludf.DUMMYFUNCTION("""COMPUTED_VALUE"""),"- 1,1 %")</f>
        <v>- 1,1 %</v>
      </c>
      <c r="D67" s="1" t="str">
        <f>IFERROR(__xludf.DUMMYFUNCTION("""COMPUTED_VALUE"""),"+ 0,1 %")</f>
        <v>+ 0,1 %</v>
      </c>
      <c r="E67" s="1" t="str">
        <f>IFERROR(__xludf.DUMMYFUNCTION("""COMPUTED_VALUE"""),"- 1,4 %")</f>
        <v>- 1,4 %</v>
      </c>
    </row>
    <row r="68">
      <c r="A68" s="2">
        <f>IFERROR(__xludf.DUMMYFUNCTION("""COMPUTED_VALUE"""),44166.0)</f>
        <v>44166</v>
      </c>
      <c r="B68" s="1" t="str">
        <f>IFERROR(__xludf.DUMMYFUNCTION("""COMPUTED_VALUE"""),"3.683 €/m2")</f>
        <v>3.683 €/m2</v>
      </c>
      <c r="C68" s="1" t="str">
        <f>IFERROR(__xludf.DUMMYFUNCTION("""COMPUTED_VALUE"""),"+ 0,5 %")</f>
        <v>+ 0,5 %</v>
      </c>
      <c r="D68" s="1" t="str">
        <f>IFERROR(__xludf.DUMMYFUNCTION("""COMPUTED_VALUE"""),"+ 0,8 %")</f>
        <v>+ 0,8 %</v>
      </c>
      <c r="E68" s="1" t="str">
        <f>IFERROR(__xludf.DUMMYFUNCTION("""COMPUTED_VALUE"""),"+ 1,5 %")</f>
        <v>+ 1,5 %</v>
      </c>
    </row>
    <row r="69">
      <c r="A69" s="2">
        <f>IFERROR(__xludf.DUMMYFUNCTION("""COMPUTED_VALUE"""),44136.0)</f>
        <v>44136</v>
      </c>
      <c r="B69" s="1" t="str">
        <f>IFERROR(__xludf.DUMMYFUNCTION("""COMPUTED_VALUE"""),"3.664 €/m2")</f>
        <v>3.664 €/m2</v>
      </c>
      <c r="C69" s="1" t="str">
        <f>IFERROR(__xludf.DUMMYFUNCTION("""COMPUTED_VALUE"""),"+ 0,7 %")</f>
        <v>+ 0,7 %</v>
      </c>
      <c r="D69" s="1" t="str">
        <f>IFERROR(__xludf.DUMMYFUNCTION("""COMPUTED_VALUE"""),"- 0,4 %")</f>
        <v>- 0,4 %</v>
      </c>
      <c r="E69" s="1" t="str">
        <f>IFERROR(__xludf.DUMMYFUNCTION("""COMPUTED_VALUE"""),"+ 0,9 %")</f>
        <v>+ 0,9 %</v>
      </c>
    </row>
    <row r="70">
      <c r="A70" s="2">
        <f>IFERROR(__xludf.DUMMYFUNCTION("""COMPUTED_VALUE"""),44105.0)</f>
        <v>44105</v>
      </c>
      <c r="B70" s="1" t="str">
        <f>IFERROR(__xludf.DUMMYFUNCTION("""COMPUTED_VALUE"""),"3.637 €/m2")</f>
        <v>3.637 €/m2</v>
      </c>
      <c r="C70" s="1" t="str">
        <f>IFERROR(__xludf.DUMMYFUNCTION("""COMPUTED_VALUE"""),"- 0,4 %")</f>
        <v>- 0,4 %</v>
      </c>
      <c r="D70" s="1" t="str">
        <f>IFERROR(__xludf.DUMMYFUNCTION("""COMPUTED_VALUE"""),"- 2,5 %")</f>
        <v>- 2,5 %</v>
      </c>
      <c r="E70" s="1" t="str">
        <f>IFERROR(__xludf.DUMMYFUNCTION("""COMPUTED_VALUE"""),"- 0,9 %")</f>
        <v>- 0,9 %</v>
      </c>
    </row>
    <row r="71">
      <c r="A71" s="2">
        <f>IFERROR(__xludf.DUMMYFUNCTION("""COMPUTED_VALUE"""),44075.0)</f>
        <v>44075</v>
      </c>
      <c r="B71" s="1" t="str">
        <f>IFERROR(__xludf.DUMMYFUNCTION("""COMPUTED_VALUE"""),"3.652 €/m2")</f>
        <v>3.652 €/m2</v>
      </c>
      <c r="C71" s="1" t="str">
        <f>IFERROR(__xludf.DUMMYFUNCTION("""COMPUTED_VALUE"""),"- 0,7 %")</f>
        <v>- 0,7 %</v>
      </c>
      <c r="D71" s="1" t="str">
        <f>IFERROR(__xludf.DUMMYFUNCTION("""COMPUTED_VALUE"""),"- 2,0 %")</f>
        <v>- 2,0 %</v>
      </c>
      <c r="E71" s="1" t="str">
        <f>IFERROR(__xludf.DUMMYFUNCTION("""COMPUTED_VALUE"""),"0,0 %")</f>
        <v>0,0 %</v>
      </c>
    </row>
    <row r="72">
      <c r="A72" s="2">
        <f>IFERROR(__xludf.DUMMYFUNCTION("""COMPUTED_VALUE"""),44044.0)</f>
        <v>44044</v>
      </c>
      <c r="B72" s="1" t="str">
        <f>IFERROR(__xludf.DUMMYFUNCTION("""COMPUTED_VALUE"""),"3.678 €/m2")</f>
        <v>3.678 €/m2</v>
      </c>
      <c r="C72" s="1" t="str">
        <f>IFERROR(__xludf.DUMMYFUNCTION("""COMPUTED_VALUE"""),"- 1,4 %")</f>
        <v>- 1,4 %</v>
      </c>
      <c r="D72" s="1" t="str">
        <f>IFERROR(__xludf.DUMMYFUNCTION("""COMPUTED_VALUE"""),"- 1,0 %")</f>
        <v>- 1,0 %</v>
      </c>
      <c r="E72" s="1" t="str">
        <f>IFERROR(__xludf.DUMMYFUNCTION("""COMPUTED_VALUE"""),"+ 0,8 %")</f>
        <v>+ 0,8 %</v>
      </c>
    </row>
    <row r="73">
      <c r="A73" s="2">
        <f>IFERROR(__xludf.DUMMYFUNCTION("""COMPUTED_VALUE"""),44013.0)</f>
        <v>44013</v>
      </c>
      <c r="B73" s="1" t="str">
        <f>IFERROR(__xludf.DUMMYFUNCTION("""COMPUTED_VALUE"""),"3.732 €/m2")</f>
        <v>3.732 €/m2</v>
      </c>
      <c r="C73" s="1" t="str">
        <f>IFERROR(__xludf.DUMMYFUNCTION("""COMPUTED_VALUE"""),"+ 0,1 %")</f>
        <v>+ 0,1 %</v>
      </c>
      <c r="D73" s="1" t="str">
        <f>IFERROR(__xludf.DUMMYFUNCTION("""COMPUTED_VALUE"""),"- 0,7 %")</f>
        <v>- 0,7 %</v>
      </c>
      <c r="E73" s="1" t="str">
        <f>IFERROR(__xludf.DUMMYFUNCTION("""COMPUTED_VALUE"""),"+ 1,1 %")</f>
        <v>+ 1,1 %</v>
      </c>
    </row>
    <row r="74">
      <c r="A74" s="2">
        <f>IFERROR(__xludf.DUMMYFUNCTION("""COMPUTED_VALUE"""),43983.0)</f>
        <v>43983</v>
      </c>
      <c r="B74" s="1" t="str">
        <f>IFERROR(__xludf.DUMMYFUNCTION("""COMPUTED_VALUE"""),"3.728 €/m2")</f>
        <v>3.728 €/m2</v>
      </c>
      <c r="C74" s="1" t="str">
        <f>IFERROR(__xludf.DUMMYFUNCTION("""COMPUTED_VALUE"""),"+ 0,3 %")</f>
        <v>+ 0,3 %</v>
      </c>
      <c r="D74" s="1" t="str">
        <f>IFERROR(__xludf.DUMMYFUNCTION("""COMPUTED_VALUE"""),"- 0,5 %")</f>
        <v>- 0,5 %</v>
      </c>
      <c r="E74" s="1" t="str">
        <f>IFERROR(__xludf.DUMMYFUNCTION("""COMPUTED_VALUE"""),"+ 0,4 %")</f>
        <v>+ 0,4 %</v>
      </c>
    </row>
    <row r="75">
      <c r="A75" s="2">
        <f>IFERROR(__xludf.DUMMYFUNCTION("""COMPUTED_VALUE"""),43952.0)</f>
        <v>43952</v>
      </c>
      <c r="B75" s="1" t="str">
        <f>IFERROR(__xludf.DUMMYFUNCTION("""COMPUTED_VALUE"""),"3.715 €/m2")</f>
        <v>3.715 €/m2</v>
      </c>
      <c r="C75" s="1" t="str">
        <f>IFERROR(__xludf.DUMMYFUNCTION("""COMPUTED_VALUE"""),"- 1,1 %")</f>
        <v>- 1,1 %</v>
      </c>
      <c r="D75" s="1" t="str">
        <f>IFERROR(__xludf.DUMMYFUNCTION("""COMPUTED_VALUE"""),"- 0,8 %")</f>
        <v>- 0,8 %</v>
      </c>
      <c r="E75" s="1" t="str">
        <f>IFERROR(__xludf.DUMMYFUNCTION("""COMPUTED_VALUE"""),"+ 1,2 %")</f>
        <v>+ 1,2 %</v>
      </c>
    </row>
    <row r="76">
      <c r="A76" s="2">
        <f>IFERROR(__xludf.DUMMYFUNCTION("""COMPUTED_VALUE"""),43922.0)</f>
        <v>43922</v>
      </c>
      <c r="B76" s="1" t="str">
        <f>IFERROR(__xludf.DUMMYFUNCTION("""COMPUTED_VALUE"""),"3.757 €/m2")</f>
        <v>3.757 €/m2</v>
      </c>
      <c r="C76" s="1" t="str">
        <f>IFERROR(__xludf.DUMMYFUNCTION("""COMPUTED_VALUE"""),"+ 0,3 %")</f>
        <v>+ 0,3 %</v>
      </c>
      <c r="D76" s="1" t="str">
        <f>IFERROR(__xludf.DUMMYFUNCTION("""COMPUTED_VALUE"""),"+ 1,7 %")</f>
        <v>+ 1,7 %</v>
      </c>
      <c r="E76" s="1" t="str">
        <f>IFERROR(__xludf.DUMMYFUNCTION("""COMPUTED_VALUE"""),"+ 2,0 %")</f>
        <v>+ 2,0 %</v>
      </c>
    </row>
    <row r="77">
      <c r="A77" s="2">
        <f>IFERROR(__xludf.DUMMYFUNCTION("""COMPUTED_VALUE"""),43891.0)</f>
        <v>43891</v>
      </c>
      <c r="B77" s="1" t="str">
        <f>IFERROR(__xludf.DUMMYFUNCTION("""COMPUTED_VALUE"""),"3.745 €/m2")</f>
        <v>3.745 €/m2</v>
      </c>
      <c r="C77" s="1" t="str">
        <f>IFERROR(__xludf.DUMMYFUNCTION("""COMPUTED_VALUE"""),"0,0 %")</f>
        <v>0,0 %</v>
      </c>
      <c r="D77" s="1" t="str">
        <f>IFERROR(__xludf.DUMMYFUNCTION("""COMPUTED_VALUE"""),"+ 3,2 %")</f>
        <v>+ 3,2 %</v>
      </c>
      <c r="E77" s="1" t="str">
        <f>IFERROR(__xludf.DUMMYFUNCTION("""COMPUTED_VALUE"""),"+ 0,7 %")</f>
        <v>+ 0,7 %</v>
      </c>
    </row>
    <row r="78">
      <c r="A78" s="2">
        <f>IFERROR(__xludf.DUMMYFUNCTION("""COMPUTED_VALUE"""),43862.0)</f>
        <v>43862</v>
      </c>
      <c r="B78" s="1" t="str">
        <f>IFERROR(__xludf.DUMMYFUNCTION("""COMPUTED_VALUE"""),"3.746 €/m2")</f>
        <v>3.746 €/m2</v>
      </c>
      <c r="C78" s="1" t="str">
        <f>IFERROR(__xludf.DUMMYFUNCTION("""COMPUTED_VALUE"""),"+ 1,4 %")</f>
        <v>+ 1,4 %</v>
      </c>
      <c r="D78" s="1" t="str">
        <f>IFERROR(__xludf.DUMMYFUNCTION("""COMPUTED_VALUE"""),"+ 3,1 %")</f>
        <v>+ 3,1 %</v>
      </c>
      <c r="E78" s="1" t="str">
        <f>IFERROR(__xludf.DUMMYFUNCTION("""COMPUTED_VALUE"""),"+ 0,7 %")</f>
        <v>+ 0,7 %</v>
      </c>
    </row>
    <row r="79">
      <c r="A79" s="2">
        <f>IFERROR(__xludf.DUMMYFUNCTION("""COMPUTED_VALUE"""),43831.0)</f>
        <v>43831</v>
      </c>
      <c r="B79" s="1" t="str">
        <f>IFERROR(__xludf.DUMMYFUNCTION("""COMPUTED_VALUE"""),"3.694 €/m2")</f>
        <v>3.694 €/m2</v>
      </c>
      <c r="C79" s="1" t="str">
        <f>IFERROR(__xludf.DUMMYFUNCTION("""COMPUTED_VALUE"""),"+ 1,8 %")</f>
        <v>+ 1,8 %</v>
      </c>
      <c r="D79" s="1" t="str">
        <f>IFERROR(__xludf.DUMMYFUNCTION("""COMPUTED_VALUE"""),"+ 0,7 %")</f>
        <v>+ 0,7 %</v>
      </c>
      <c r="E79" s="1" t="str">
        <f>IFERROR(__xludf.DUMMYFUNCTION("""COMPUTED_VALUE"""),"- 0,9 %")</f>
        <v>- 0,9 %</v>
      </c>
    </row>
    <row r="80">
      <c r="A80" s="2">
        <f>IFERROR(__xludf.DUMMYFUNCTION("""COMPUTED_VALUE"""),43800.0)</f>
        <v>43800</v>
      </c>
      <c r="B80" s="1" t="str">
        <f>IFERROR(__xludf.DUMMYFUNCTION("""COMPUTED_VALUE"""),"3.629 €/m2")</f>
        <v>3.629 €/m2</v>
      </c>
      <c r="C80" s="1" t="str">
        <f>IFERROR(__xludf.DUMMYFUNCTION("""COMPUTED_VALUE"""),"- 0,1 %")</f>
        <v>- 0,1 %</v>
      </c>
      <c r="D80" s="1" t="str">
        <f>IFERROR(__xludf.DUMMYFUNCTION("""COMPUTED_VALUE"""),"- 0,7 %")</f>
        <v>- 0,7 %</v>
      </c>
      <c r="E80" s="1" t="str">
        <f>IFERROR(__xludf.DUMMYFUNCTION("""COMPUTED_VALUE"""),"- 0,8 %")</f>
        <v>- 0,8 %</v>
      </c>
    </row>
    <row r="81">
      <c r="A81" s="2">
        <f>IFERROR(__xludf.DUMMYFUNCTION("""COMPUTED_VALUE"""),43770.0)</f>
        <v>43770</v>
      </c>
      <c r="B81" s="1" t="str">
        <f>IFERROR(__xludf.DUMMYFUNCTION("""COMPUTED_VALUE"""),"3.633 €/m2")</f>
        <v>3.633 €/m2</v>
      </c>
      <c r="C81" s="1" t="str">
        <f>IFERROR(__xludf.DUMMYFUNCTION("""COMPUTED_VALUE"""),"- 1,0 %")</f>
        <v>- 1,0 %</v>
      </c>
      <c r="D81" s="1" t="str">
        <f>IFERROR(__xludf.DUMMYFUNCTION("""COMPUTED_VALUE"""),"- 0,4 %")</f>
        <v>- 0,4 %</v>
      </c>
      <c r="E81" s="1" t="str">
        <f>IFERROR(__xludf.DUMMYFUNCTION("""COMPUTED_VALUE"""),"- 0,9 %")</f>
        <v>- 0,9 %</v>
      </c>
    </row>
    <row r="82">
      <c r="A82" s="2">
        <f>IFERROR(__xludf.DUMMYFUNCTION("""COMPUTED_VALUE"""),43739.0)</f>
        <v>43739</v>
      </c>
      <c r="B82" s="1" t="str">
        <f>IFERROR(__xludf.DUMMYFUNCTION("""COMPUTED_VALUE"""),"3.669 €/m2")</f>
        <v>3.669 €/m2</v>
      </c>
      <c r="C82" s="1" t="str">
        <f>IFERROR(__xludf.DUMMYFUNCTION("""COMPUTED_VALUE"""),"+ 0,4 %")</f>
        <v>+ 0,4 %</v>
      </c>
      <c r="D82" s="1" t="str">
        <f>IFERROR(__xludf.DUMMYFUNCTION("""COMPUTED_VALUE"""),"- 0,6 %")</f>
        <v>- 0,6 %</v>
      </c>
      <c r="E82" s="1" t="str">
        <f>IFERROR(__xludf.DUMMYFUNCTION("""COMPUTED_VALUE"""),"- 0,6 %")</f>
        <v>- 0,6 %</v>
      </c>
    </row>
    <row r="83">
      <c r="A83" s="2">
        <f>IFERROR(__xludf.DUMMYFUNCTION("""COMPUTED_VALUE"""),43709.0)</f>
        <v>43709</v>
      </c>
      <c r="B83" s="1" t="str">
        <f>IFERROR(__xludf.DUMMYFUNCTION("""COMPUTED_VALUE"""),"3.653 €/m2")</f>
        <v>3.653 €/m2</v>
      </c>
      <c r="C83" s="1" t="str">
        <f>IFERROR(__xludf.DUMMYFUNCTION("""COMPUTED_VALUE"""),"+ 0,1 %")</f>
        <v>+ 0,1 %</v>
      </c>
      <c r="D83" s="1" t="str">
        <f>IFERROR(__xludf.DUMMYFUNCTION("""COMPUTED_VALUE"""),"- 1,6 %")</f>
        <v>- 1,6 %</v>
      </c>
      <c r="E83" s="1" t="str">
        <f>IFERROR(__xludf.DUMMYFUNCTION("""COMPUTED_VALUE"""),"- 0,5 %")</f>
        <v>- 0,5 %</v>
      </c>
    </row>
    <row r="84">
      <c r="A84" s="2">
        <f>IFERROR(__xludf.DUMMYFUNCTION("""COMPUTED_VALUE"""),43678.0)</f>
        <v>43678</v>
      </c>
      <c r="B84" s="1" t="str">
        <f>IFERROR(__xludf.DUMMYFUNCTION("""COMPUTED_VALUE"""),"3.649 €/m2")</f>
        <v>3.649 €/m2</v>
      </c>
      <c r="C84" s="1" t="str">
        <f>IFERROR(__xludf.DUMMYFUNCTION("""COMPUTED_VALUE"""),"- 1,2 %")</f>
        <v>- 1,2 %</v>
      </c>
      <c r="D84" s="1" t="str">
        <f>IFERROR(__xludf.DUMMYFUNCTION("""COMPUTED_VALUE"""),"- 0,6 %")</f>
        <v>- 0,6 %</v>
      </c>
      <c r="E84" s="1" t="str">
        <f>IFERROR(__xludf.DUMMYFUNCTION("""COMPUTED_VALUE"""),"- 0,3 %")</f>
        <v>- 0,3 %</v>
      </c>
    </row>
    <row r="85">
      <c r="A85" s="2">
        <f>IFERROR(__xludf.DUMMYFUNCTION("""COMPUTED_VALUE"""),43647.0)</f>
        <v>43647</v>
      </c>
      <c r="B85" s="1" t="str">
        <f>IFERROR(__xludf.DUMMYFUNCTION("""COMPUTED_VALUE"""),"3.693 €/m2")</f>
        <v>3.693 €/m2</v>
      </c>
      <c r="C85" s="1" t="str">
        <f>IFERROR(__xludf.DUMMYFUNCTION("""COMPUTED_VALUE"""),"- 0,5 %")</f>
        <v>- 0,5 %</v>
      </c>
      <c r="D85" s="1" t="str">
        <f>IFERROR(__xludf.DUMMYFUNCTION("""COMPUTED_VALUE"""),"+ 0,2 %")</f>
        <v>+ 0,2 %</v>
      </c>
      <c r="E85" s="1" t="str">
        <f>IFERROR(__xludf.DUMMYFUNCTION("""COMPUTED_VALUE"""),"+ 3,1 %")</f>
        <v>+ 3,1 %</v>
      </c>
    </row>
    <row r="86">
      <c r="A86" s="2">
        <f>IFERROR(__xludf.DUMMYFUNCTION("""COMPUTED_VALUE"""),43617.0)</f>
        <v>43617</v>
      </c>
      <c r="B86" s="1" t="str">
        <f>IFERROR(__xludf.DUMMYFUNCTION("""COMPUTED_VALUE"""),"3.713 €/m2")</f>
        <v>3.713 €/m2</v>
      </c>
      <c r="C86" s="1" t="str">
        <f>IFERROR(__xludf.DUMMYFUNCTION("""COMPUTED_VALUE"""),"+ 1,1 %")</f>
        <v>+ 1,1 %</v>
      </c>
      <c r="D86" s="1" t="str">
        <f>IFERROR(__xludf.DUMMYFUNCTION("""COMPUTED_VALUE"""),"- 0,2 %")</f>
        <v>- 0,2 %</v>
      </c>
      <c r="E86" s="1" t="str">
        <f>IFERROR(__xludf.DUMMYFUNCTION("""COMPUTED_VALUE"""),"+ 7,8 %")</f>
        <v>+ 7,8 %</v>
      </c>
    </row>
    <row r="87">
      <c r="A87" s="2">
        <f>IFERROR(__xludf.DUMMYFUNCTION("""COMPUTED_VALUE"""),43586.0)</f>
        <v>43586</v>
      </c>
      <c r="B87" s="1" t="str">
        <f>IFERROR(__xludf.DUMMYFUNCTION("""COMPUTED_VALUE"""),"3.672 €/m2")</f>
        <v>3.672 €/m2</v>
      </c>
      <c r="C87" s="1" t="str">
        <f>IFERROR(__xludf.DUMMYFUNCTION("""COMPUTED_VALUE"""),"- 0,3 %")</f>
        <v>- 0,3 %</v>
      </c>
      <c r="D87" s="1" t="str">
        <f>IFERROR(__xludf.DUMMYFUNCTION("""COMPUTED_VALUE"""),"- 1,3 %")</f>
        <v>- 1,3 %</v>
      </c>
      <c r="E87" s="1" t="str">
        <f>IFERROR(__xludf.DUMMYFUNCTION("""COMPUTED_VALUE"""),"+ 6,3 %")</f>
        <v>+ 6,3 %</v>
      </c>
    </row>
    <row r="88">
      <c r="A88" s="2">
        <f>IFERROR(__xludf.DUMMYFUNCTION("""COMPUTED_VALUE"""),43556.0)</f>
        <v>43556</v>
      </c>
      <c r="B88" s="1" t="str">
        <f>IFERROR(__xludf.DUMMYFUNCTION("""COMPUTED_VALUE"""),"3.684 €/m2")</f>
        <v>3.684 €/m2</v>
      </c>
      <c r="C88" s="1" t="str">
        <f>IFERROR(__xludf.DUMMYFUNCTION("""COMPUTED_VALUE"""),"- 1,0 %")</f>
        <v>- 1,0 %</v>
      </c>
      <c r="D88" s="1" t="str">
        <f>IFERROR(__xludf.DUMMYFUNCTION("""COMPUTED_VALUE"""),"- 1,2 %")</f>
        <v>- 1,2 %</v>
      </c>
      <c r="E88" s="1" t="str">
        <f>IFERROR(__xludf.DUMMYFUNCTION("""COMPUTED_VALUE"""),"+ 8,7 %")</f>
        <v>+ 8,7 %</v>
      </c>
    </row>
    <row r="89">
      <c r="A89" s="2">
        <f>IFERROR(__xludf.DUMMYFUNCTION("""COMPUTED_VALUE"""),43525.0)</f>
        <v>43525</v>
      </c>
      <c r="B89" s="1" t="str">
        <f>IFERROR(__xludf.DUMMYFUNCTION("""COMPUTED_VALUE"""),"3.720 €/m2")</f>
        <v>3.720 €/m2</v>
      </c>
      <c r="C89" s="1" t="str">
        <f>IFERROR(__xludf.DUMMYFUNCTION("""COMPUTED_VALUE"""),"0,0 %")</f>
        <v>0,0 %</v>
      </c>
      <c r="D89" s="1" t="str">
        <f>IFERROR(__xludf.DUMMYFUNCTION("""COMPUTED_VALUE"""),"+ 1,7 %")</f>
        <v>+ 1,7 %</v>
      </c>
      <c r="E89" s="1" t="str">
        <f>IFERROR(__xludf.DUMMYFUNCTION("""COMPUTED_VALUE"""),"+ 12,1 %")</f>
        <v>+ 12,1 %</v>
      </c>
    </row>
    <row r="90">
      <c r="A90" s="2">
        <f>IFERROR(__xludf.DUMMYFUNCTION("""COMPUTED_VALUE"""),43497.0)</f>
        <v>43497</v>
      </c>
      <c r="B90" s="1" t="str">
        <f>IFERROR(__xludf.DUMMYFUNCTION("""COMPUTED_VALUE"""),"3.721 €/m2")</f>
        <v>3.721 €/m2</v>
      </c>
      <c r="C90" s="1" t="str">
        <f>IFERROR(__xludf.DUMMYFUNCTION("""COMPUTED_VALUE"""),"- 0,2 %")</f>
        <v>- 0,2 %</v>
      </c>
      <c r="D90" s="1" t="str">
        <f>IFERROR(__xludf.DUMMYFUNCTION("""COMPUTED_VALUE"""),"+ 1,5 %")</f>
        <v>+ 1,5 %</v>
      </c>
      <c r="E90" s="1" t="str">
        <f>IFERROR(__xludf.DUMMYFUNCTION("""COMPUTED_VALUE"""),"+ 13,0 %")</f>
        <v>+ 13,0 %</v>
      </c>
    </row>
    <row r="91">
      <c r="A91" s="2">
        <f>IFERROR(__xludf.DUMMYFUNCTION("""COMPUTED_VALUE"""),43466.0)</f>
        <v>43466</v>
      </c>
      <c r="B91" s="1" t="str">
        <f>IFERROR(__xludf.DUMMYFUNCTION("""COMPUTED_VALUE"""),"3.729 €/m2")</f>
        <v>3.729 €/m2</v>
      </c>
      <c r="C91" s="1" t="str">
        <f>IFERROR(__xludf.DUMMYFUNCTION("""COMPUTED_VALUE"""),"+ 1,9 %")</f>
        <v>+ 1,9 %</v>
      </c>
      <c r="D91" s="1" t="str">
        <f>IFERROR(__xludf.DUMMYFUNCTION("""COMPUTED_VALUE"""),"+ 1,0 %")</f>
        <v>+ 1,0 %</v>
      </c>
      <c r="E91" s="1" t="str">
        <f>IFERROR(__xludf.DUMMYFUNCTION("""COMPUTED_VALUE"""),"+ 15,0 %")</f>
        <v>+ 15,0 %</v>
      </c>
    </row>
    <row r="92">
      <c r="A92" s="2">
        <f>IFERROR(__xludf.DUMMYFUNCTION("""COMPUTED_VALUE"""),43435.0)</f>
        <v>43435</v>
      </c>
      <c r="B92" s="1" t="str">
        <f>IFERROR(__xludf.DUMMYFUNCTION("""COMPUTED_VALUE"""),"3.659 €/m2")</f>
        <v>3.659 €/m2</v>
      </c>
      <c r="C92" s="1" t="str">
        <f>IFERROR(__xludf.DUMMYFUNCTION("""COMPUTED_VALUE"""),"- 0,2 %")</f>
        <v>- 0,2 %</v>
      </c>
      <c r="D92" s="1" t="str">
        <f>IFERROR(__xludf.DUMMYFUNCTION("""COMPUTED_VALUE"""),"- 0,4 %")</f>
        <v>- 0,4 %</v>
      </c>
      <c r="E92" s="1" t="str">
        <f>IFERROR(__xludf.DUMMYFUNCTION("""COMPUTED_VALUE"""),"+ 15,2 %")</f>
        <v>+ 15,2 %</v>
      </c>
    </row>
    <row r="93">
      <c r="A93" s="2">
        <f>IFERROR(__xludf.DUMMYFUNCTION("""COMPUTED_VALUE"""),43405.0)</f>
        <v>43405</v>
      </c>
      <c r="B93" s="1" t="str">
        <f>IFERROR(__xludf.DUMMYFUNCTION("""COMPUTED_VALUE"""),"3.666 €/m2")</f>
        <v>3.666 €/m2</v>
      </c>
      <c r="C93" s="1" t="str">
        <f>IFERROR(__xludf.DUMMYFUNCTION("""COMPUTED_VALUE"""),"- 0,7 %")</f>
        <v>- 0,7 %</v>
      </c>
      <c r="D93" s="1" t="str">
        <f>IFERROR(__xludf.DUMMYFUNCTION("""COMPUTED_VALUE"""),"+ 0,2 %")</f>
        <v>+ 0,2 %</v>
      </c>
      <c r="E93" s="1" t="str">
        <f>IFERROR(__xludf.DUMMYFUNCTION("""COMPUTED_VALUE"""),"+ 16,5 %")</f>
        <v>+ 16,5 %</v>
      </c>
    </row>
    <row r="94">
      <c r="A94" s="2">
        <f>IFERROR(__xludf.DUMMYFUNCTION("""COMPUTED_VALUE"""),43374.0)</f>
        <v>43374</v>
      </c>
      <c r="B94" s="1" t="str">
        <f>IFERROR(__xludf.DUMMYFUNCTION("""COMPUTED_VALUE"""),"3.693 €/m2")</f>
        <v>3.693 €/m2</v>
      </c>
      <c r="C94" s="1" t="str">
        <f>IFERROR(__xludf.DUMMYFUNCTION("""COMPUTED_VALUE"""),"+ 0,5 %")</f>
        <v>+ 0,5 %</v>
      </c>
      <c r="D94" s="1" t="str">
        <f>IFERROR(__xludf.DUMMYFUNCTION("""COMPUTED_VALUE"""),"+ 3,1 %")</f>
        <v>+ 3,1 %</v>
      </c>
      <c r="E94" s="1" t="str">
        <f>IFERROR(__xludf.DUMMYFUNCTION("""COMPUTED_VALUE"""),"+ 17,8 %")</f>
        <v>+ 17,8 %</v>
      </c>
    </row>
    <row r="95">
      <c r="A95" s="2">
        <f>IFERROR(__xludf.DUMMYFUNCTION("""COMPUTED_VALUE"""),43344.0)</f>
        <v>43344</v>
      </c>
      <c r="B95" s="1" t="str">
        <f>IFERROR(__xludf.DUMMYFUNCTION("""COMPUTED_VALUE"""),"3.673 €/m2")</f>
        <v>3.673 €/m2</v>
      </c>
      <c r="C95" s="1" t="str">
        <f>IFERROR(__xludf.DUMMYFUNCTION("""COMPUTED_VALUE"""),"+ 0,4 %")</f>
        <v>+ 0,4 %</v>
      </c>
      <c r="D95" s="1" t="str">
        <f>IFERROR(__xludf.DUMMYFUNCTION("""COMPUTED_VALUE"""),"+ 6,6 %")</f>
        <v>+ 6,6 %</v>
      </c>
      <c r="E95" s="1" t="str">
        <f>IFERROR(__xludf.DUMMYFUNCTION("""COMPUTED_VALUE"""),"+ 18,8 %")</f>
        <v>+ 18,8 %</v>
      </c>
    </row>
    <row r="96">
      <c r="A96" s="2">
        <f>IFERROR(__xludf.DUMMYFUNCTION("""COMPUTED_VALUE"""),43313.0)</f>
        <v>43313</v>
      </c>
      <c r="B96" s="1" t="str">
        <f>IFERROR(__xludf.DUMMYFUNCTION("""COMPUTED_VALUE"""),"3.658 €/m2")</f>
        <v>3.658 €/m2</v>
      </c>
      <c r="C96" s="1" t="str">
        <f>IFERROR(__xludf.DUMMYFUNCTION("""COMPUTED_VALUE"""),"+ 2,2 %")</f>
        <v>+ 2,2 %</v>
      </c>
      <c r="D96" s="1" t="str">
        <f>IFERROR(__xludf.DUMMYFUNCTION("""COMPUTED_VALUE"""),"+ 5,9 %")</f>
        <v>+ 5,9 %</v>
      </c>
      <c r="E96" s="1" t="str">
        <f>IFERROR(__xludf.DUMMYFUNCTION("""COMPUTED_VALUE"""),"+ 19,2 %")</f>
        <v>+ 19,2 %</v>
      </c>
    </row>
    <row r="97">
      <c r="A97" s="2">
        <f>IFERROR(__xludf.DUMMYFUNCTION("""COMPUTED_VALUE"""),43282.0)</f>
        <v>43282</v>
      </c>
      <c r="B97" s="1" t="str">
        <f>IFERROR(__xludf.DUMMYFUNCTION("""COMPUTED_VALUE"""),"3.580 €/m2")</f>
        <v>3.580 €/m2</v>
      </c>
      <c r="C97" s="1" t="str">
        <f>IFERROR(__xludf.DUMMYFUNCTION("""COMPUTED_VALUE"""),"+ 3,9 %")</f>
        <v>+ 3,9 %</v>
      </c>
      <c r="D97" s="1" t="str">
        <f>IFERROR(__xludf.DUMMYFUNCTION("""COMPUTED_VALUE"""),"+ 5,6 %")</f>
        <v>+ 5,6 %</v>
      </c>
      <c r="E97" s="1" t="str">
        <f>IFERROR(__xludf.DUMMYFUNCTION("""COMPUTED_VALUE"""),"+ 17,9 %")</f>
        <v>+ 17,9 %</v>
      </c>
    </row>
    <row r="98">
      <c r="A98" s="2">
        <f>IFERROR(__xludf.DUMMYFUNCTION("""COMPUTED_VALUE"""),43252.0)</f>
        <v>43252</v>
      </c>
      <c r="B98" s="1" t="str">
        <f>IFERROR(__xludf.DUMMYFUNCTION("""COMPUTED_VALUE"""),"3.446 €/m2")</f>
        <v>3.446 €/m2</v>
      </c>
      <c r="C98" s="1" t="str">
        <f>IFERROR(__xludf.DUMMYFUNCTION("""COMPUTED_VALUE"""),"- 0,2 %")</f>
        <v>- 0,2 %</v>
      </c>
      <c r="D98" s="1" t="str">
        <f>IFERROR(__xludf.DUMMYFUNCTION("""COMPUTED_VALUE"""),"+ 3,8 %")</f>
        <v>+ 3,8 %</v>
      </c>
      <c r="E98" s="1" t="str">
        <f>IFERROR(__xludf.DUMMYFUNCTION("""COMPUTED_VALUE"""),"+ 14,4 %")</f>
        <v>+ 14,4 %</v>
      </c>
    </row>
    <row r="99">
      <c r="A99" s="2">
        <f>IFERROR(__xludf.DUMMYFUNCTION("""COMPUTED_VALUE"""),43221.0)</f>
        <v>43221</v>
      </c>
      <c r="B99" s="1" t="str">
        <f>IFERROR(__xludf.DUMMYFUNCTION("""COMPUTED_VALUE"""),"3.454 €/m2")</f>
        <v>3.454 €/m2</v>
      </c>
      <c r="C99" s="1" t="str">
        <f>IFERROR(__xludf.DUMMYFUNCTION("""COMPUTED_VALUE"""),"+ 1,9 %")</f>
        <v>+ 1,9 %</v>
      </c>
      <c r="D99" s="1" t="str">
        <f>IFERROR(__xludf.DUMMYFUNCTION("""COMPUTED_VALUE"""),"+ 4,9 %")</f>
        <v>+ 4,9 %</v>
      </c>
      <c r="E99" s="1" t="str">
        <f>IFERROR(__xludf.DUMMYFUNCTION("""COMPUTED_VALUE"""),"+ 15,9 %")</f>
        <v>+ 15,9 %</v>
      </c>
    </row>
    <row r="100">
      <c r="A100" s="2">
        <f>IFERROR(__xludf.DUMMYFUNCTION("""COMPUTED_VALUE"""),43191.0)</f>
        <v>43191</v>
      </c>
      <c r="B100" s="1" t="str">
        <f>IFERROR(__xludf.DUMMYFUNCTION("""COMPUTED_VALUE"""),"3.391 €/m2")</f>
        <v>3.391 €/m2</v>
      </c>
      <c r="C100" s="1" t="str">
        <f>IFERROR(__xludf.DUMMYFUNCTION("""COMPUTED_VALUE"""),"+ 2,2 %")</f>
        <v>+ 2,2 %</v>
      </c>
      <c r="D100" s="1" t="str">
        <f>IFERROR(__xludf.DUMMYFUNCTION("""COMPUTED_VALUE"""),"+ 4,6 %")</f>
        <v>+ 4,6 %</v>
      </c>
      <c r="E100" s="1" t="str">
        <f>IFERROR(__xludf.DUMMYFUNCTION("""COMPUTED_VALUE"""),"+ 14,2 %")</f>
        <v>+ 14,2 %</v>
      </c>
    </row>
    <row r="101">
      <c r="A101" s="2">
        <f>IFERROR(__xludf.DUMMYFUNCTION("""COMPUTED_VALUE"""),43160.0)</f>
        <v>43160</v>
      </c>
      <c r="B101" s="1" t="str">
        <f>IFERROR(__xludf.DUMMYFUNCTION("""COMPUTED_VALUE"""),"3.318 €/m2")</f>
        <v>3.318 €/m2</v>
      </c>
      <c r="C101" s="1" t="str">
        <f>IFERROR(__xludf.DUMMYFUNCTION("""COMPUTED_VALUE"""),"+ 0,8 %")</f>
        <v>+ 0,8 %</v>
      </c>
      <c r="D101" s="1" t="str">
        <f>IFERROR(__xludf.DUMMYFUNCTION("""COMPUTED_VALUE"""),"+ 4,5 %")</f>
        <v>+ 4,5 %</v>
      </c>
      <c r="E101" s="1" t="str">
        <f>IFERROR(__xludf.DUMMYFUNCTION("""COMPUTED_VALUE"""),"+ 11,6 %")</f>
        <v>+ 11,6 %</v>
      </c>
    </row>
    <row r="102">
      <c r="A102" s="2">
        <f>IFERROR(__xludf.DUMMYFUNCTION("""COMPUTED_VALUE"""),43132.0)</f>
        <v>43132</v>
      </c>
      <c r="B102" s="1" t="str">
        <f>IFERROR(__xludf.DUMMYFUNCTION("""COMPUTED_VALUE"""),"3.293 €/m2")</f>
        <v>3.293 €/m2</v>
      </c>
      <c r="C102" s="1" t="str">
        <f>IFERROR(__xludf.DUMMYFUNCTION("""COMPUTED_VALUE"""),"+ 1,6 %")</f>
        <v>+ 1,6 %</v>
      </c>
      <c r="D102" s="1" t="str">
        <f>IFERROR(__xludf.DUMMYFUNCTION("""COMPUTED_VALUE"""),"+ 4,6 %")</f>
        <v>+ 4,6 %</v>
      </c>
      <c r="E102" s="1" t="str">
        <f>IFERROR(__xludf.DUMMYFUNCTION("""COMPUTED_VALUE"""),"+ 11,8 %")</f>
        <v>+ 11,8 %</v>
      </c>
    </row>
    <row r="103">
      <c r="A103" s="2">
        <f>IFERROR(__xludf.DUMMYFUNCTION("""COMPUTED_VALUE"""),43101.0)</f>
        <v>43101</v>
      </c>
      <c r="B103" s="1" t="str">
        <f>IFERROR(__xludf.DUMMYFUNCTION("""COMPUTED_VALUE"""),"3.241 €/m2")</f>
        <v>3.241 €/m2</v>
      </c>
      <c r="C103" s="1" t="str">
        <f>IFERROR(__xludf.DUMMYFUNCTION("""COMPUTED_VALUE"""),"+ 2,0 %")</f>
        <v>+ 2,0 %</v>
      </c>
      <c r="D103" s="1" t="str">
        <f>IFERROR(__xludf.DUMMYFUNCTION("""COMPUTED_VALUE"""),"+ 3,4 %")</f>
        <v>+ 3,4 %</v>
      </c>
      <c r="E103" s="1" t="str">
        <f>IFERROR(__xludf.DUMMYFUNCTION("""COMPUTED_VALUE"""),"+ 11,5 %")</f>
        <v>+ 11,5 %</v>
      </c>
    </row>
    <row r="104">
      <c r="A104" s="2">
        <f>IFERROR(__xludf.DUMMYFUNCTION("""COMPUTED_VALUE"""),43070.0)</f>
        <v>43070</v>
      </c>
      <c r="B104" s="1" t="str">
        <f>IFERROR(__xludf.DUMMYFUNCTION("""COMPUTED_VALUE"""),"3.177 €/m2")</f>
        <v>3.177 €/m2</v>
      </c>
      <c r="C104" s="1" t="str">
        <f>IFERROR(__xludf.DUMMYFUNCTION("""COMPUTED_VALUE"""),"+ 0,9 %")</f>
        <v>+ 0,9 %</v>
      </c>
      <c r="D104" s="1" t="str">
        <f>IFERROR(__xludf.DUMMYFUNCTION("""COMPUTED_VALUE"""),"+ 2,7 %")</f>
        <v>+ 2,7 %</v>
      </c>
      <c r="E104" s="1" t="str">
        <f>IFERROR(__xludf.DUMMYFUNCTION("""COMPUTED_VALUE"""),"+ 9,1 %")</f>
        <v>+ 9,1 %</v>
      </c>
    </row>
    <row r="105">
      <c r="A105" s="2">
        <f>IFERROR(__xludf.DUMMYFUNCTION("""COMPUTED_VALUE"""),43040.0)</f>
        <v>43040</v>
      </c>
      <c r="B105" s="1" t="str">
        <f>IFERROR(__xludf.DUMMYFUNCTION("""COMPUTED_VALUE"""),"3.148 €/m2")</f>
        <v>3.148 €/m2</v>
      </c>
      <c r="C105" s="1" t="str">
        <f>IFERROR(__xludf.DUMMYFUNCTION("""COMPUTED_VALUE"""),"+ 0,4 %")</f>
        <v>+ 0,4 %</v>
      </c>
      <c r="D105" s="1" t="str">
        <f>IFERROR(__xludf.DUMMYFUNCTION("""COMPUTED_VALUE"""),"+ 2,5 %")</f>
        <v>+ 2,5 %</v>
      </c>
      <c r="E105" s="1" t="str">
        <f>IFERROR(__xludf.DUMMYFUNCTION("""COMPUTED_VALUE"""),"+ 8,1 %")</f>
        <v>+ 8,1 %</v>
      </c>
    </row>
    <row r="106">
      <c r="A106" s="2">
        <f>IFERROR(__xludf.DUMMYFUNCTION("""COMPUTED_VALUE"""),43009.0)</f>
        <v>43009</v>
      </c>
      <c r="B106" s="1" t="str">
        <f>IFERROR(__xludf.DUMMYFUNCTION("""COMPUTED_VALUE"""),"3.136 €/m2")</f>
        <v>3.136 €/m2</v>
      </c>
      <c r="C106" s="1" t="str">
        <f>IFERROR(__xludf.DUMMYFUNCTION("""COMPUTED_VALUE"""),"+ 1,4 %")</f>
        <v>+ 1,4 %</v>
      </c>
      <c r="D106" s="1" t="str">
        <f>IFERROR(__xludf.DUMMYFUNCTION("""COMPUTED_VALUE"""),"+ 3,3 %")</f>
        <v>+ 3,3 %</v>
      </c>
      <c r="E106" s="1" t="str">
        <f>IFERROR(__xludf.DUMMYFUNCTION("""COMPUTED_VALUE"""),"+ 7,5 %")</f>
        <v>+ 7,5 %</v>
      </c>
    </row>
    <row r="107">
      <c r="A107" s="2">
        <f>IFERROR(__xludf.DUMMYFUNCTION("""COMPUTED_VALUE"""),42979.0)</f>
        <v>42979</v>
      </c>
      <c r="B107" s="1" t="str">
        <f>IFERROR(__xludf.DUMMYFUNCTION("""COMPUTED_VALUE"""),"3.092 €/m2")</f>
        <v>3.092 €/m2</v>
      </c>
      <c r="C107" s="1" t="str">
        <f>IFERROR(__xludf.DUMMYFUNCTION("""COMPUTED_VALUE"""),"+ 0,7 %")</f>
        <v>+ 0,7 %</v>
      </c>
      <c r="D107" s="1" t="str">
        <f>IFERROR(__xludf.DUMMYFUNCTION("""COMPUTED_VALUE"""),"+ 2,6 %")</f>
        <v>+ 2,6 %</v>
      </c>
      <c r="E107" s="1" t="str">
        <f>IFERROR(__xludf.DUMMYFUNCTION("""COMPUTED_VALUE"""),"+ 6,1 %")</f>
        <v>+ 6,1 %</v>
      </c>
    </row>
    <row r="108">
      <c r="A108" s="2">
        <f>IFERROR(__xludf.DUMMYFUNCTION("""COMPUTED_VALUE"""),42948.0)</f>
        <v>42948</v>
      </c>
      <c r="B108" s="1" t="str">
        <f>IFERROR(__xludf.DUMMYFUNCTION("""COMPUTED_VALUE"""),"3.070 €/m2")</f>
        <v>3.070 €/m2</v>
      </c>
      <c r="C108" s="1" t="str">
        <f>IFERROR(__xludf.DUMMYFUNCTION("""COMPUTED_VALUE"""),"+ 1,1 %")</f>
        <v>+ 1,1 %</v>
      </c>
      <c r="D108" s="1" t="str">
        <f>IFERROR(__xludf.DUMMYFUNCTION("""COMPUTED_VALUE"""),"+ 3,0 %")</f>
        <v>+ 3,0 %</v>
      </c>
      <c r="E108" s="1" t="str">
        <f>IFERROR(__xludf.DUMMYFUNCTION("""COMPUTED_VALUE"""),"+ 5,5 %")</f>
        <v>+ 5,5 %</v>
      </c>
    </row>
    <row r="109">
      <c r="A109" s="2">
        <f>IFERROR(__xludf.DUMMYFUNCTION("""COMPUTED_VALUE"""),42917.0)</f>
        <v>42917</v>
      </c>
      <c r="B109" s="1" t="str">
        <f>IFERROR(__xludf.DUMMYFUNCTION("""COMPUTED_VALUE"""),"3.037 €/m2")</f>
        <v>3.037 €/m2</v>
      </c>
      <c r="C109" s="1" t="str">
        <f>IFERROR(__xludf.DUMMYFUNCTION("""COMPUTED_VALUE"""),"+ 0,8 %")</f>
        <v>+ 0,8 %</v>
      </c>
      <c r="D109" s="1" t="str">
        <f>IFERROR(__xludf.DUMMYFUNCTION("""COMPUTED_VALUE"""),"+ 2,3 %")</f>
        <v>+ 2,3 %</v>
      </c>
      <c r="E109" s="1" t="str">
        <f>IFERROR(__xludf.DUMMYFUNCTION("""COMPUTED_VALUE"""),"+ 4,3 %")</f>
        <v>+ 4,3 %</v>
      </c>
    </row>
    <row r="110">
      <c r="A110" s="2">
        <f>IFERROR(__xludf.DUMMYFUNCTION("""COMPUTED_VALUE"""),42887.0)</f>
        <v>42887</v>
      </c>
      <c r="B110" s="1" t="str">
        <f>IFERROR(__xludf.DUMMYFUNCTION("""COMPUTED_VALUE"""),"3.012 €/m2")</f>
        <v>3.012 €/m2</v>
      </c>
      <c r="C110" s="1" t="str">
        <f>IFERROR(__xludf.DUMMYFUNCTION("""COMPUTED_VALUE"""),"+ 1,1 %")</f>
        <v>+ 1,1 %</v>
      </c>
      <c r="D110" s="1" t="str">
        <f>IFERROR(__xludf.DUMMYFUNCTION("""COMPUTED_VALUE"""),"+ 1,3 %")</f>
        <v>+ 1,3 %</v>
      </c>
      <c r="E110" s="1" t="str">
        <f>IFERROR(__xludf.DUMMYFUNCTION("""COMPUTED_VALUE"""),"+ 3,5 %")</f>
        <v>+ 3,5 %</v>
      </c>
    </row>
    <row r="111">
      <c r="A111" s="2">
        <f>IFERROR(__xludf.DUMMYFUNCTION("""COMPUTED_VALUE"""),42856.0)</f>
        <v>42856</v>
      </c>
      <c r="B111" s="1" t="str">
        <f>IFERROR(__xludf.DUMMYFUNCTION("""COMPUTED_VALUE"""),"2.980 €/m2")</f>
        <v>2.980 €/m2</v>
      </c>
      <c r="C111" s="1" t="str">
        <f>IFERROR(__xludf.DUMMYFUNCTION("""COMPUTED_VALUE"""),"+ 0,4 %")</f>
        <v>+ 0,4 %</v>
      </c>
      <c r="D111" s="1" t="str">
        <f>IFERROR(__xludf.DUMMYFUNCTION("""COMPUTED_VALUE"""),"+ 1,2 %")</f>
        <v>+ 1,2 %</v>
      </c>
      <c r="E111" s="1" t="str">
        <f>IFERROR(__xludf.DUMMYFUNCTION("""COMPUTED_VALUE"""),"+ 2,7 %")</f>
        <v>+ 2,7 %</v>
      </c>
    </row>
    <row r="112">
      <c r="A112" s="2">
        <f>IFERROR(__xludf.DUMMYFUNCTION("""COMPUTED_VALUE"""),42826.0)</f>
        <v>42826</v>
      </c>
      <c r="B112" s="1" t="str">
        <f>IFERROR(__xludf.DUMMYFUNCTION("""COMPUTED_VALUE"""),"2.968 €/m2")</f>
        <v>2.968 €/m2</v>
      </c>
      <c r="C112" s="1" t="str">
        <f>IFERROR(__xludf.DUMMYFUNCTION("""COMPUTED_VALUE"""),"- 0,1 %")</f>
        <v>- 0,1 %</v>
      </c>
      <c r="D112" s="1" t="str">
        <f>IFERROR(__xludf.DUMMYFUNCTION("""COMPUTED_VALUE"""),"+ 2,1 %")</f>
        <v>+ 2,1 %</v>
      </c>
      <c r="E112" s="1" t="str">
        <f>IFERROR(__xludf.DUMMYFUNCTION("""COMPUTED_VALUE"""),"+ 1,7 %")</f>
        <v>+ 1,7 %</v>
      </c>
    </row>
    <row r="113">
      <c r="A113" s="2">
        <f>IFERROR(__xludf.DUMMYFUNCTION("""COMPUTED_VALUE"""),42795.0)</f>
        <v>42795</v>
      </c>
      <c r="B113" s="1" t="str">
        <f>IFERROR(__xludf.DUMMYFUNCTION("""COMPUTED_VALUE"""),"2.972 €/m2")</f>
        <v>2.972 €/m2</v>
      </c>
      <c r="C113" s="1" t="str">
        <f>IFERROR(__xludf.DUMMYFUNCTION("""COMPUTED_VALUE"""),"+ 0,9 %")</f>
        <v>+ 0,9 %</v>
      </c>
      <c r="D113" s="1" t="str">
        <f>IFERROR(__xludf.DUMMYFUNCTION("""COMPUTED_VALUE"""),"+ 2,0 %")</f>
        <v>+ 2,0 %</v>
      </c>
      <c r="E113" s="1" t="str">
        <f>IFERROR(__xludf.DUMMYFUNCTION("""COMPUTED_VALUE"""),"+ 3,4 %")</f>
        <v>+ 3,4 %</v>
      </c>
    </row>
    <row r="114">
      <c r="A114" s="2">
        <f>IFERROR(__xludf.DUMMYFUNCTION("""COMPUTED_VALUE"""),42767.0)</f>
        <v>42767</v>
      </c>
      <c r="B114" s="1" t="str">
        <f>IFERROR(__xludf.DUMMYFUNCTION("""COMPUTED_VALUE"""),"2.946 €/m2")</f>
        <v>2.946 €/m2</v>
      </c>
      <c r="C114" s="1" t="str">
        <f>IFERROR(__xludf.DUMMYFUNCTION("""COMPUTED_VALUE"""),"+ 1,3 %")</f>
        <v>+ 1,3 %</v>
      </c>
      <c r="D114" s="1" t="str">
        <f>IFERROR(__xludf.DUMMYFUNCTION("""COMPUTED_VALUE"""),"+ 1,1 %")</f>
        <v>+ 1,1 %</v>
      </c>
      <c r="E114" s="1" t="str">
        <f>IFERROR(__xludf.DUMMYFUNCTION("""COMPUTED_VALUE"""),"+ 3,4 %")</f>
        <v>+ 3,4 %</v>
      </c>
    </row>
    <row r="115">
      <c r="A115" s="2">
        <f>IFERROR(__xludf.DUMMYFUNCTION("""COMPUTED_VALUE"""),42736.0)</f>
        <v>42736</v>
      </c>
      <c r="B115" s="1" t="str">
        <f>IFERROR(__xludf.DUMMYFUNCTION("""COMPUTED_VALUE"""),"2.907 €/m2")</f>
        <v>2.907 €/m2</v>
      </c>
      <c r="C115" s="1" t="str">
        <f>IFERROR(__xludf.DUMMYFUNCTION("""COMPUTED_VALUE"""),"- 0,2 %")</f>
        <v>- 0,2 %</v>
      </c>
      <c r="D115" s="1" t="str">
        <f>IFERROR(__xludf.DUMMYFUNCTION("""COMPUTED_VALUE"""),"- 0,4 %")</f>
        <v>- 0,4 %</v>
      </c>
      <c r="E115" s="1" t="str">
        <f>IFERROR(__xludf.DUMMYFUNCTION("""COMPUTED_VALUE"""),"+ 3,2 %")</f>
        <v>+ 3,2 %</v>
      </c>
    </row>
    <row r="116">
      <c r="A116" s="2">
        <f>IFERROR(__xludf.DUMMYFUNCTION("""COMPUTED_VALUE"""),42705.0)</f>
        <v>42705</v>
      </c>
      <c r="B116" s="1" t="str">
        <f>IFERROR(__xludf.DUMMYFUNCTION("""COMPUTED_VALUE"""),"2.913 €/m2")</f>
        <v>2.913 €/m2</v>
      </c>
      <c r="C116" s="1" t="str">
        <f>IFERROR(__xludf.DUMMYFUNCTION("""COMPUTED_VALUE"""),"0,0 %")</f>
        <v>0,0 %</v>
      </c>
      <c r="D116" s="1" t="str">
        <f>IFERROR(__xludf.DUMMYFUNCTION("""COMPUTED_VALUE"""),"0,0 %")</f>
        <v>0,0 %</v>
      </c>
      <c r="E116" s="1" t="str">
        <f>IFERROR(__xludf.DUMMYFUNCTION("""COMPUTED_VALUE"""),"+ 3,9 %")</f>
        <v>+ 3,9 %</v>
      </c>
    </row>
    <row r="117">
      <c r="A117" s="2">
        <f>IFERROR(__xludf.DUMMYFUNCTION("""COMPUTED_VALUE"""),42675.0)</f>
        <v>42675</v>
      </c>
      <c r="B117" s="1" t="str">
        <f>IFERROR(__xludf.DUMMYFUNCTION("""COMPUTED_VALUE"""),"2.913 €/m2")</f>
        <v>2.913 €/m2</v>
      </c>
      <c r="C117" s="1" t="str">
        <f>IFERROR(__xludf.DUMMYFUNCTION("""COMPUTED_VALUE"""),"- 0,2 %")</f>
        <v>- 0,2 %</v>
      </c>
      <c r="D117" s="1" t="str">
        <f>IFERROR(__xludf.DUMMYFUNCTION("""COMPUTED_VALUE"""),"+ 0,1 %")</f>
        <v>+ 0,1 %</v>
      </c>
      <c r="E117" s="1" t="str">
        <f>IFERROR(__xludf.DUMMYFUNCTION("""COMPUTED_VALUE"""),"+ 4,3 %")</f>
        <v>+ 4,3 %</v>
      </c>
    </row>
    <row r="118">
      <c r="A118" s="2">
        <f>IFERROR(__xludf.DUMMYFUNCTION("""COMPUTED_VALUE"""),42644.0)</f>
        <v>42644</v>
      </c>
      <c r="B118" s="1" t="str">
        <f>IFERROR(__xludf.DUMMYFUNCTION("""COMPUTED_VALUE"""),"2.918 €/m2")</f>
        <v>2.918 €/m2</v>
      </c>
      <c r="C118" s="1" t="str">
        <f>IFERROR(__xludf.DUMMYFUNCTION("""COMPUTED_VALUE"""),"+ 0,2 %")</f>
        <v>+ 0,2 %</v>
      </c>
      <c r="D118" s="1" t="str">
        <f>IFERROR(__xludf.DUMMYFUNCTION("""COMPUTED_VALUE"""),"+ 0,3 %")</f>
        <v>+ 0,3 %</v>
      </c>
      <c r="E118" s="1" t="str">
        <f>IFERROR(__xludf.DUMMYFUNCTION("""COMPUTED_VALUE"""),"+ 5,5 %")</f>
        <v>+ 5,5 %</v>
      </c>
    </row>
    <row r="119">
      <c r="A119" s="2">
        <f>IFERROR(__xludf.DUMMYFUNCTION("""COMPUTED_VALUE"""),42614.0)</f>
        <v>42614</v>
      </c>
      <c r="B119" s="1" t="str">
        <f>IFERROR(__xludf.DUMMYFUNCTION("""COMPUTED_VALUE"""),"2.913 €/m2")</f>
        <v>2.913 €/m2</v>
      </c>
      <c r="C119" s="1" t="str">
        <f>IFERROR(__xludf.DUMMYFUNCTION("""COMPUTED_VALUE"""),"+ 0,1 %")</f>
        <v>+ 0,1 %</v>
      </c>
      <c r="D119" s="1" t="str">
        <f>IFERROR(__xludf.DUMMYFUNCTION("""COMPUTED_VALUE"""),"+ 0,1 %")</f>
        <v>+ 0,1 %</v>
      </c>
      <c r="E119" s="1" t="str">
        <f>IFERROR(__xludf.DUMMYFUNCTION("""COMPUTED_VALUE"""),"+ 6,3 %")</f>
        <v>+ 6,3 %</v>
      </c>
    </row>
    <row r="120">
      <c r="A120" s="2">
        <f>IFERROR(__xludf.DUMMYFUNCTION("""COMPUTED_VALUE"""),42583.0)</f>
        <v>42583</v>
      </c>
      <c r="B120" s="1" t="str">
        <f>IFERROR(__xludf.DUMMYFUNCTION("""COMPUTED_VALUE"""),"2.911 €/m2")</f>
        <v>2.911 €/m2</v>
      </c>
      <c r="C120" s="1" t="str">
        <f>IFERROR(__xludf.DUMMYFUNCTION("""COMPUTED_VALUE"""),"0,0 %")</f>
        <v>0,0 %</v>
      </c>
      <c r="D120" s="1" t="str">
        <f>IFERROR(__xludf.DUMMYFUNCTION("""COMPUTED_VALUE"""),"+ 0,3 %")</f>
        <v>+ 0,3 %</v>
      </c>
      <c r="E120" s="1" t="str">
        <f>IFERROR(__xludf.DUMMYFUNCTION("""COMPUTED_VALUE"""),"+ 5,5 %")</f>
        <v>+ 5,5 %</v>
      </c>
    </row>
    <row r="121">
      <c r="A121" s="2">
        <f>IFERROR(__xludf.DUMMYFUNCTION("""COMPUTED_VALUE"""),42552.0)</f>
        <v>42552</v>
      </c>
      <c r="B121" s="1" t="str">
        <f>IFERROR(__xludf.DUMMYFUNCTION("""COMPUTED_VALUE"""),"2.911 €/m2")</f>
        <v>2.911 €/m2</v>
      </c>
      <c r="C121" s="1" t="str">
        <f>IFERROR(__xludf.DUMMYFUNCTION("""COMPUTED_VALUE"""),"0,0 %")</f>
        <v>0,0 %</v>
      </c>
      <c r="D121" s="1" t="str">
        <f>IFERROR(__xludf.DUMMYFUNCTION("""COMPUTED_VALUE"""),"- 0,2 %")</f>
        <v>- 0,2 %</v>
      </c>
      <c r="E121" s="1" t="str">
        <f>IFERROR(__xludf.DUMMYFUNCTION("""COMPUTED_VALUE"""),"+ 4,8 %")</f>
        <v>+ 4,8 %</v>
      </c>
    </row>
    <row r="122">
      <c r="A122" s="2">
        <f>IFERROR(__xludf.DUMMYFUNCTION("""COMPUTED_VALUE"""),42522.0)</f>
        <v>42522</v>
      </c>
      <c r="B122" s="1" t="str">
        <f>IFERROR(__xludf.DUMMYFUNCTION("""COMPUTED_VALUE"""),"2.910 €/m2")</f>
        <v>2.910 €/m2</v>
      </c>
      <c r="C122" s="1" t="str">
        <f>IFERROR(__xludf.DUMMYFUNCTION("""COMPUTED_VALUE"""),"+ 0,3 %")</f>
        <v>+ 0,3 %</v>
      </c>
      <c r="D122" s="1" t="str">
        <f>IFERROR(__xludf.DUMMYFUNCTION("""COMPUTED_VALUE"""),"+ 1,3 %")</f>
        <v>+ 1,3 %</v>
      </c>
      <c r="E122" s="1" t="str">
        <f>IFERROR(__xludf.DUMMYFUNCTION("""COMPUTED_VALUE"""),"+ 3,1 %")</f>
        <v>+ 3,1 %</v>
      </c>
    </row>
    <row r="123">
      <c r="A123" s="2">
        <f>IFERROR(__xludf.DUMMYFUNCTION("""COMPUTED_VALUE"""),42491.0)</f>
        <v>42491</v>
      </c>
      <c r="B123" s="1" t="str">
        <f>IFERROR(__xludf.DUMMYFUNCTION("""COMPUTED_VALUE"""),"2.901 €/m2")</f>
        <v>2.901 €/m2</v>
      </c>
      <c r="C123" s="1" t="str">
        <f>IFERROR(__xludf.DUMMYFUNCTION("""COMPUTED_VALUE"""),"- 0,6 %")</f>
        <v>- 0,6 %</v>
      </c>
      <c r="D123" s="1" t="str">
        <f>IFERROR(__xludf.DUMMYFUNCTION("""COMPUTED_VALUE"""),"+ 1,8 %")</f>
        <v>+ 1,8 %</v>
      </c>
      <c r="E123" s="1" t="str">
        <f>IFERROR(__xludf.DUMMYFUNCTION("""COMPUTED_VALUE"""),"+ 3,4 %")</f>
        <v>+ 3,4 %</v>
      </c>
    </row>
    <row r="124">
      <c r="A124" s="2">
        <f>IFERROR(__xludf.DUMMYFUNCTION("""COMPUTED_VALUE"""),42461.0)</f>
        <v>42461</v>
      </c>
      <c r="B124" s="1" t="str">
        <f>IFERROR(__xludf.DUMMYFUNCTION("""COMPUTED_VALUE"""),"2.917 €/m2")</f>
        <v>2.917 €/m2</v>
      </c>
      <c r="C124" s="1" t="str">
        <f>IFERROR(__xludf.DUMMYFUNCTION("""COMPUTED_VALUE"""),"+ 1,5 %")</f>
        <v>+ 1,5 %</v>
      </c>
      <c r="D124" s="1" t="str">
        <f>IFERROR(__xludf.DUMMYFUNCTION("""COMPUTED_VALUE"""),"+ 3,6 %")</f>
        <v>+ 3,6 %</v>
      </c>
      <c r="E124" s="1" t="str">
        <f>IFERROR(__xludf.DUMMYFUNCTION("""COMPUTED_VALUE"""),"+ 6,5 %")</f>
        <v>+ 6,5 %</v>
      </c>
    </row>
    <row r="125">
      <c r="A125" s="2">
        <f>IFERROR(__xludf.DUMMYFUNCTION("""COMPUTED_VALUE"""),42430.0)</f>
        <v>42430</v>
      </c>
      <c r="B125" s="1" t="str">
        <f>IFERROR(__xludf.DUMMYFUNCTION("""COMPUTED_VALUE"""),"2.874 €/m2")</f>
        <v>2.874 €/m2</v>
      </c>
      <c r="C125" s="1" t="str">
        <f>IFERROR(__xludf.DUMMYFUNCTION("""COMPUTED_VALUE"""),"+ 0,8 %")</f>
        <v>+ 0,8 %</v>
      </c>
      <c r="D125" s="1" t="str">
        <f>IFERROR(__xludf.DUMMYFUNCTION("""COMPUTED_VALUE"""),"+ 2,5 %")</f>
        <v>+ 2,5 %</v>
      </c>
      <c r="E125" s="1" t="str">
        <f>IFERROR(__xludf.DUMMYFUNCTION("""COMPUTED_VALUE"""),"+ 3,8 %")</f>
        <v>+ 3,8 %</v>
      </c>
    </row>
    <row r="126">
      <c r="A126" s="2">
        <f>IFERROR(__xludf.DUMMYFUNCTION("""COMPUTED_VALUE"""),42401.0)</f>
        <v>42401</v>
      </c>
      <c r="B126" s="1" t="str">
        <f>IFERROR(__xludf.DUMMYFUNCTION("""COMPUTED_VALUE"""),"2.850 €/m2")</f>
        <v>2.850 €/m2</v>
      </c>
      <c r="C126" s="1" t="str">
        <f>IFERROR(__xludf.DUMMYFUNCTION("""COMPUTED_VALUE"""),"+ 1,2 %")</f>
        <v>+ 1,2 %</v>
      </c>
      <c r="D126" s="1" t="str">
        <f>IFERROR(__xludf.DUMMYFUNCTION("""COMPUTED_VALUE"""),"+ 2,1 %")</f>
        <v>+ 2,1 %</v>
      </c>
      <c r="E126" s="1" t="str">
        <f>IFERROR(__xludf.DUMMYFUNCTION("""COMPUTED_VALUE"""),"+ 1,5 %")</f>
        <v>+ 1,5 %</v>
      </c>
    </row>
    <row r="127">
      <c r="A127" s="2">
        <f>IFERROR(__xludf.DUMMYFUNCTION("""COMPUTED_VALUE"""),42370.0)</f>
        <v>42370</v>
      </c>
      <c r="B127" s="1" t="str">
        <f>IFERROR(__xludf.DUMMYFUNCTION("""COMPUTED_VALUE"""),"2.816 €/m2")</f>
        <v>2.816 €/m2</v>
      </c>
      <c r="C127" s="1" t="str">
        <f>IFERROR(__xludf.DUMMYFUNCTION("""COMPUTED_VALUE"""),"+ 0,4 %")</f>
        <v>+ 0,4 %</v>
      </c>
      <c r="D127" s="1" t="str">
        <f>IFERROR(__xludf.DUMMYFUNCTION("""COMPUTED_VALUE"""),"+ 1,8 %")</f>
        <v>+ 1,8 %</v>
      </c>
      <c r="E127" s="1" t="str">
        <f>IFERROR(__xludf.DUMMYFUNCTION("""COMPUTED_VALUE"""),"- 0,5 %")</f>
        <v>- 0,5 %</v>
      </c>
    </row>
    <row r="128">
      <c r="A128" s="2">
        <f>IFERROR(__xludf.DUMMYFUNCTION("""COMPUTED_VALUE"""),42339.0)</f>
        <v>42339</v>
      </c>
      <c r="B128" s="1" t="str">
        <f>IFERROR(__xludf.DUMMYFUNCTION("""COMPUTED_VALUE"""),"2.804 €/m2")</f>
        <v>2.804 €/m2</v>
      </c>
      <c r="C128" s="1" t="str">
        <f>IFERROR(__xludf.DUMMYFUNCTION("""COMPUTED_VALUE"""),"+ 0,4 %")</f>
        <v>+ 0,4 %</v>
      </c>
      <c r="D128" s="1" t="str">
        <f>IFERROR(__xludf.DUMMYFUNCTION("""COMPUTED_VALUE"""),"+ 2,3 %")</f>
        <v>+ 2,3 %</v>
      </c>
      <c r="E128" s="1" t="str">
        <f>IFERROR(__xludf.DUMMYFUNCTION("""COMPUTED_VALUE"""),"- 0,7 %")</f>
        <v>- 0,7 %</v>
      </c>
    </row>
    <row r="129">
      <c r="A129" s="2">
        <f>IFERROR(__xludf.DUMMYFUNCTION("""COMPUTED_VALUE"""),42309.0)</f>
        <v>42309</v>
      </c>
      <c r="B129" s="1" t="str">
        <f>IFERROR(__xludf.DUMMYFUNCTION("""COMPUTED_VALUE"""),"2.793 €/m2")</f>
        <v>2.793 €/m2</v>
      </c>
      <c r="C129" s="1" t="str">
        <f>IFERROR(__xludf.DUMMYFUNCTION("""COMPUTED_VALUE"""),"+ 0,9 %")</f>
        <v>+ 0,9 %</v>
      </c>
      <c r="D129" s="1" t="str">
        <f>IFERROR(__xludf.DUMMYFUNCTION("""COMPUTED_VALUE"""),"+ 1,2 %")</f>
        <v>+ 1,2 %</v>
      </c>
      <c r="E129" s="1" t="str">
        <f>IFERROR(__xludf.DUMMYFUNCTION("""COMPUTED_VALUE"""),"- 1,4 %")</f>
        <v>- 1,4 %</v>
      </c>
    </row>
    <row r="130">
      <c r="A130" s="2">
        <f>IFERROR(__xludf.DUMMYFUNCTION("""COMPUTED_VALUE"""),42278.0)</f>
        <v>42278</v>
      </c>
      <c r="B130" s="1" t="str">
        <f>IFERROR(__xludf.DUMMYFUNCTION("""COMPUTED_VALUE"""),"2.767 €/m2")</f>
        <v>2.767 €/m2</v>
      </c>
      <c r="C130" s="1" t="str">
        <f>IFERROR(__xludf.DUMMYFUNCTION("""COMPUTED_VALUE"""),"+ 0,9 %")</f>
        <v>+ 0,9 %</v>
      </c>
      <c r="D130" s="1" t="str">
        <f>IFERROR(__xludf.DUMMYFUNCTION("""COMPUTED_VALUE"""),"- 0,4 %")</f>
        <v>- 0,4 %</v>
      </c>
      <c r="E130" s="1" t="str">
        <f>IFERROR(__xludf.DUMMYFUNCTION("""COMPUTED_VALUE"""),"- 2,3 %")</f>
        <v>- 2,3 %</v>
      </c>
    </row>
    <row r="131">
      <c r="A131" s="2">
        <f>IFERROR(__xludf.DUMMYFUNCTION("""COMPUTED_VALUE"""),42248.0)</f>
        <v>42248</v>
      </c>
      <c r="B131" s="1" t="str">
        <f>IFERROR(__xludf.DUMMYFUNCTION("""COMPUTED_VALUE"""),"2.742 €/m2")</f>
        <v>2.742 €/m2</v>
      </c>
      <c r="C131" s="1" t="str">
        <f>IFERROR(__xludf.DUMMYFUNCTION("""COMPUTED_VALUE"""),"- 0,6 %")</f>
        <v>- 0,6 %</v>
      </c>
      <c r="D131" s="1" t="str">
        <f>IFERROR(__xludf.DUMMYFUNCTION("""COMPUTED_VALUE"""),"- 2,8 %")</f>
        <v>- 2,8 %</v>
      </c>
      <c r="E131" s="1" t="str">
        <f>IFERROR(__xludf.DUMMYFUNCTION("""COMPUTED_VALUE"""),"- 3,2 %")</f>
        <v>- 3,2 %</v>
      </c>
    </row>
    <row r="132">
      <c r="A132" s="2">
        <f>IFERROR(__xludf.DUMMYFUNCTION("""COMPUTED_VALUE"""),42217.0)</f>
        <v>42217</v>
      </c>
      <c r="B132" s="1" t="str">
        <f>IFERROR(__xludf.DUMMYFUNCTION("""COMPUTED_VALUE"""),"2.759 €/m2")</f>
        <v>2.759 €/m2</v>
      </c>
      <c r="C132" s="1" t="str">
        <f>IFERROR(__xludf.DUMMYFUNCTION("""COMPUTED_VALUE"""),"- 0,7 %")</f>
        <v>- 0,7 %</v>
      </c>
      <c r="D132" s="1" t="str">
        <f>IFERROR(__xludf.DUMMYFUNCTION("""COMPUTED_VALUE"""),"- 1,7 %")</f>
        <v>- 1,7 %</v>
      </c>
      <c r="E132" s="1" t="str">
        <f>IFERROR(__xludf.DUMMYFUNCTION("""COMPUTED_VALUE"""),"- 2,4 %")</f>
        <v>- 2,4 %</v>
      </c>
    </row>
    <row r="133">
      <c r="A133" s="2">
        <f>IFERROR(__xludf.DUMMYFUNCTION("""COMPUTED_VALUE"""),42186.0)</f>
        <v>42186</v>
      </c>
      <c r="B133" s="1" t="str">
        <f>IFERROR(__xludf.DUMMYFUNCTION("""COMPUTED_VALUE"""),"2.777 €/m2")</f>
        <v>2.777 €/m2</v>
      </c>
      <c r="C133" s="1" t="str">
        <f>IFERROR(__xludf.DUMMYFUNCTION("""COMPUTED_VALUE"""),"- 1,6 %")</f>
        <v>- 1,6 %</v>
      </c>
      <c r="D133" s="1" t="str">
        <f>IFERROR(__xludf.DUMMYFUNCTION("""COMPUTED_VALUE"""),"+ 1,4 %")</f>
        <v>+ 1,4 %</v>
      </c>
      <c r="E133" s="1" t="str">
        <f>IFERROR(__xludf.DUMMYFUNCTION("""COMPUTED_VALUE"""),"- 2,2 %")</f>
        <v>- 2,2 %</v>
      </c>
    </row>
    <row r="134">
      <c r="A134" s="2">
        <f>IFERROR(__xludf.DUMMYFUNCTION("""COMPUTED_VALUE"""),42156.0)</f>
        <v>42156</v>
      </c>
      <c r="B134" s="1" t="str">
        <f>IFERROR(__xludf.DUMMYFUNCTION("""COMPUTED_VALUE"""),"2.821 €/m2")</f>
        <v>2.821 €/m2</v>
      </c>
      <c r="C134" s="1" t="str">
        <f>IFERROR(__xludf.DUMMYFUNCTION("""COMPUTED_VALUE"""),"+ 0,5 %")</f>
        <v>+ 0,5 %</v>
      </c>
      <c r="D134" s="1" t="str">
        <f>IFERROR(__xludf.DUMMYFUNCTION("""COMPUTED_VALUE"""),"+ 1,9 %")</f>
        <v>+ 1,9 %</v>
      </c>
      <c r="E134" s="1" t="str">
        <f>IFERROR(__xludf.DUMMYFUNCTION("""COMPUTED_VALUE"""),"- 0,4 %")</f>
        <v>- 0,4 %</v>
      </c>
    </row>
    <row r="135">
      <c r="A135" s="2">
        <f>IFERROR(__xludf.DUMMYFUNCTION("""COMPUTED_VALUE"""),42125.0)</f>
        <v>42125</v>
      </c>
      <c r="B135" s="1" t="str">
        <f>IFERROR(__xludf.DUMMYFUNCTION("""COMPUTED_VALUE"""),"2.807 €/m2")</f>
        <v>2.807 €/m2</v>
      </c>
      <c r="C135" s="1" t="str">
        <f>IFERROR(__xludf.DUMMYFUNCTION("""COMPUTED_VALUE"""),"+ 2,5 %")</f>
        <v>+ 2,5 %</v>
      </c>
      <c r="D135" s="1" t="str">
        <f>IFERROR(__xludf.DUMMYFUNCTION("""COMPUTED_VALUE"""),"0,0 %")</f>
        <v>0,0 %</v>
      </c>
      <c r="E135" s="1" t="str">
        <f>IFERROR(__xludf.DUMMYFUNCTION("""COMPUTED_VALUE"""),"- 1,3 %")</f>
        <v>- 1,3 %</v>
      </c>
    </row>
    <row r="136">
      <c r="A136" s="2">
        <f>IFERROR(__xludf.DUMMYFUNCTION("""COMPUTED_VALUE"""),42095.0)</f>
        <v>42095</v>
      </c>
      <c r="B136" s="1" t="str">
        <f>IFERROR(__xludf.DUMMYFUNCTION("""COMPUTED_VALUE"""),"2.739 €/m2")</f>
        <v>2.739 €/m2</v>
      </c>
      <c r="C136" s="1" t="str">
        <f>IFERROR(__xludf.DUMMYFUNCTION("""COMPUTED_VALUE"""),"- 1,1 %")</f>
        <v>- 1,1 %</v>
      </c>
      <c r="D136" s="1" t="str">
        <f>IFERROR(__xludf.DUMMYFUNCTION("""COMPUTED_VALUE"""),"- 3,3 %")</f>
        <v>- 3,3 %</v>
      </c>
      <c r="E136" s="1" t="str">
        <f>IFERROR(__xludf.DUMMYFUNCTION("""COMPUTED_VALUE"""),"- 3,5 %")</f>
        <v>- 3,5 %</v>
      </c>
    </row>
    <row r="137">
      <c r="A137" s="2">
        <f>IFERROR(__xludf.DUMMYFUNCTION("""COMPUTED_VALUE"""),42064.0)</f>
        <v>42064</v>
      </c>
      <c r="B137" s="1" t="str">
        <f>IFERROR(__xludf.DUMMYFUNCTION("""COMPUTED_VALUE"""),"2.769 €/m2")</f>
        <v>2.769 €/m2</v>
      </c>
      <c r="C137" s="1" t="str">
        <f>IFERROR(__xludf.DUMMYFUNCTION("""COMPUTED_VALUE"""),"- 1,4 %")</f>
        <v>- 1,4 %</v>
      </c>
      <c r="D137" s="1" t="str">
        <f>IFERROR(__xludf.DUMMYFUNCTION("""COMPUTED_VALUE"""),"- 1,9 %")</f>
        <v>- 1,9 %</v>
      </c>
      <c r="E137" s="1" t="str">
        <f>IFERROR(__xludf.DUMMYFUNCTION("""COMPUTED_VALUE"""),"- 2,4 %")</f>
        <v>- 2,4 %</v>
      </c>
    </row>
    <row r="138">
      <c r="A138" s="2">
        <f>IFERROR(__xludf.DUMMYFUNCTION("""COMPUTED_VALUE"""),42036.0)</f>
        <v>42036</v>
      </c>
      <c r="B138" s="1" t="str">
        <f>IFERROR(__xludf.DUMMYFUNCTION("""COMPUTED_VALUE"""),"2.807 €/m2")</f>
        <v>2.807 €/m2</v>
      </c>
      <c r="C138" s="1" t="str">
        <f>IFERROR(__xludf.DUMMYFUNCTION("""COMPUTED_VALUE"""),"- 0,8 %")</f>
        <v>- 0,8 %</v>
      </c>
      <c r="D138" s="1" t="str">
        <f>IFERROR(__xludf.DUMMYFUNCTION("""COMPUTED_VALUE"""),"- 0,9 %")</f>
        <v>- 0,9 %</v>
      </c>
      <c r="E138" s="1" t="str">
        <f>IFERROR(__xludf.DUMMYFUNCTION("""COMPUTED_VALUE"""),"- 1,6 %")</f>
        <v>- 1,6 %</v>
      </c>
    </row>
    <row r="139">
      <c r="A139" s="2">
        <f>IFERROR(__xludf.DUMMYFUNCTION("""COMPUTED_VALUE"""),42005.0)</f>
        <v>42005</v>
      </c>
      <c r="B139" s="1" t="str">
        <f>IFERROR(__xludf.DUMMYFUNCTION("""COMPUTED_VALUE"""),"2.831 €/m2")</f>
        <v>2.831 €/m2</v>
      </c>
      <c r="C139" s="1" t="str">
        <f>IFERROR(__xludf.DUMMYFUNCTION("""COMPUTED_VALUE"""),"+ 0,3 %")</f>
        <v>+ 0,3 %</v>
      </c>
      <c r="D139" s="1" t="str">
        <f>IFERROR(__xludf.DUMMYFUNCTION("""COMPUTED_VALUE"""),"- 0,1 %")</f>
        <v>- 0,1 %</v>
      </c>
      <c r="E139" s="1" t="str">
        <f>IFERROR(__xludf.DUMMYFUNCTION("""COMPUTED_VALUE"""),"- 0,9 %")</f>
        <v>- 0,9 %</v>
      </c>
    </row>
    <row r="140">
      <c r="A140" s="2">
        <f>IFERROR(__xludf.DUMMYFUNCTION("""COMPUTED_VALUE"""),41974.0)</f>
        <v>41974</v>
      </c>
      <c r="B140" s="1" t="str">
        <f>IFERROR(__xludf.DUMMYFUNCTION("""COMPUTED_VALUE"""),"2.824 €/m2")</f>
        <v>2.824 €/m2</v>
      </c>
      <c r="C140" s="1" t="str">
        <f>IFERROR(__xludf.DUMMYFUNCTION("""COMPUTED_VALUE"""),"- 0,3 %")</f>
        <v>- 0,3 %</v>
      </c>
      <c r="D140" s="1" t="str">
        <f>IFERROR(__xludf.DUMMYFUNCTION("""COMPUTED_VALUE"""),"- 0,3 %")</f>
        <v>- 0,3 %</v>
      </c>
      <c r="E140" s="1" t="str">
        <f>IFERROR(__xludf.DUMMYFUNCTION("""COMPUTED_VALUE"""),"- 0,6 %")</f>
        <v>- 0,6 %</v>
      </c>
    </row>
    <row r="141">
      <c r="A141" s="2">
        <f>IFERROR(__xludf.DUMMYFUNCTION("""COMPUTED_VALUE"""),41944.0)</f>
        <v>41944</v>
      </c>
      <c r="B141" s="1" t="str">
        <f>IFERROR(__xludf.DUMMYFUNCTION("""COMPUTED_VALUE"""),"2.832 €/m2")</f>
        <v>2.832 €/m2</v>
      </c>
      <c r="C141" s="1" t="str">
        <f>IFERROR(__xludf.DUMMYFUNCTION("""COMPUTED_VALUE"""),"- 0,1 %")</f>
        <v>- 0,1 %</v>
      </c>
      <c r="D141" s="1" t="str">
        <f>IFERROR(__xludf.DUMMYFUNCTION("""COMPUTED_VALUE"""),"+ 0,1 %")</f>
        <v>+ 0,1 %</v>
      </c>
      <c r="E141" s="1" t="str">
        <f>IFERROR(__xludf.DUMMYFUNCTION("""COMPUTED_VALUE"""),"- 0,7 %")</f>
        <v>- 0,7 %</v>
      </c>
    </row>
    <row r="142">
      <c r="A142" s="2">
        <f>IFERROR(__xludf.DUMMYFUNCTION("""COMPUTED_VALUE"""),41913.0)</f>
        <v>41913</v>
      </c>
      <c r="B142" s="1" t="str">
        <f>IFERROR(__xludf.DUMMYFUNCTION("""COMPUTED_VALUE"""),"2.834 €/m2")</f>
        <v>2.834 €/m2</v>
      </c>
      <c r="C142" s="1" t="str">
        <f>IFERROR(__xludf.DUMMYFUNCTION("""COMPUTED_VALUE"""),"+ 0,1 %")</f>
        <v>+ 0,1 %</v>
      </c>
      <c r="D142" s="1" t="str">
        <f>IFERROR(__xludf.DUMMYFUNCTION("""COMPUTED_VALUE"""),"- 0,3 %")</f>
        <v>- 0,3 %</v>
      </c>
      <c r="E142" s="1" t="str">
        <f>IFERROR(__xludf.DUMMYFUNCTION("""COMPUTED_VALUE"""),"- 1,5 %")</f>
        <v>- 1,5 %</v>
      </c>
    </row>
    <row r="143">
      <c r="A143" s="2">
        <f>IFERROR(__xludf.DUMMYFUNCTION("""COMPUTED_VALUE"""),41883.0)</f>
        <v>41883</v>
      </c>
      <c r="B143" s="1" t="str">
        <f>IFERROR(__xludf.DUMMYFUNCTION("""COMPUTED_VALUE"""),"2.831 €/m2")</f>
        <v>2.831 €/m2</v>
      </c>
      <c r="C143" s="1" t="str">
        <f>IFERROR(__xludf.DUMMYFUNCTION("""COMPUTED_VALUE"""),"+ 0,1 %")</f>
        <v>+ 0,1 %</v>
      </c>
      <c r="D143" s="1" t="str">
        <f>IFERROR(__xludf.DUMMYFUNCTION("""COMPUTED_VALUE"""),"- 0,1 %")</f>
        <v>- 0,1 %</v>
      </c>
      <c r="E143" s="1" t="str">
        <f>IFERROR(__xludf.DUMMYFUNCTION("""COMPUTED_VALUE"""),"- 2,6 %")</f>
        <v>- 2,6 %</v>
      </c>
    </row>
    <row r="144">
      <c r="A144" s="2">
        <f>IFERROR(__xludf.DUMMYFUNCTION("""COMPUTED_VALUE"""),41852.0)</f>
        <v>41852</v>
      </c>
      <c r="B144" s="1" t="str">
        <f>IFERROR(__xludf.DUMMYFUNCTION("""COMPUTED_VALUE"""),"2.828 €/m2")</f>
        <v>2.828 €/m2</v>
      </c>
      <c r="C144" s="1" t="str">
        <f>IFERROR(__xludf.DUMMYFUNCTION("""COMPUTED_VALUE"""),"- 0,5 %")</f>
        <v>- 0,5 %</v>
      </c>
      <c r="D144" s="1" t="str">
        <f>IFERROR(__xludf.DUMMYFUNCTION("""COMPUTED_VALUE"""),"- 0,5 %")</f>
        <v>- 0,5 %</v>
      </c>
      <c r="E144" s="1" t="str">
        <f>IFERROR(__xludf.DUMMYFUNCTION("""COMPUTED_VALUE"""),"- 1,7 %")</f>
        <v>- 1,7 %</v>
      </c>
    </row>
    <row r="145">
      <c r="A145" s="2">
        <f>IFERROR(__xludf.DUMMYFUNCTION("""COMPUTED_VALUE"""),41821.0)</f>
        <v>41821</v>
      </c>
      <c r="B145" s="1" t="str">
        <f>IFERROR(__xludf.DUMMYFUNCTION("""COMPUTED_VALUE"""),"2.841 €/m2")</f>
        <v>2.841 €/m2</v>
      </c>
      <c r="C145" s="1" t="str">
        <f>IFERROR(__xludf.DUMMYFUNCTION("""COMPUTED_VALUE"""),"+ 0,3 %")</f>
        <v>+ 0,3 %</v>
      </c>
      <c r="D145" s="1" t="str">
        <f>IFERROR(__xludf.DUMMYFUNCTION("""COMPUTED_VALUE"""),"+ 0,1 %")</f>
        <v>+ 0,1 %</v>
      </c>
      <c r="E145" s="1" t="str">
        <f>IFERROR(__xludf.DUMMYFUNCTION("""COMPUTED_VALUE"""),"- 2,7 %")</f>
        <v>- 2,7 %</v>
      </c>
    </row>
    <row r="146">
      <c r="A146" s="2">
        <f>IFERROR(__xludf.DUMMYFUNCTION("""COMPUTED_VALUE"""),41791.0)</f>
        <v>41791</v>
      </c>
      <c r="B146" s="1" t="str">
        <f>IFERROR(__xludf.DUMMYFUNCTION("""COMPUTED_VALUE"""),"2.833 €/m2")</f>
        <v>2.833 €/m2</v>
      </c>
      <c r="C146" s="1" t="str">
        <f>IFERROR(__xludf.DUMMYFUNCTION("""COMPUTED_VALUE"""),"- 0,3 %")</f>
        <v>- 0,3 %</v>
      </c>
      <c r="D146" s="1" t="str">
        <f>IFERROR(__xludf.DUMMYFUNCTION("""COMPUTED_VALUE"""),"- 0,2 %")</f>
        <v>- 0,2 %</v>
      </c>
      <c r="E146" s="1" t="str">
        <f>IFERROR(__xludf.DUMMYFUNCTION("""COMPUTED_VALUE"""),"- 3,5 %")</f>
        <v>- 3,5 %</v>
      </c>
    </row>
    <row r="147">
      <c r="A147" s="2">
        <f>IFERROR(__xludf.DUMMYFUNCTION("""COMPUTED_VALUE"""),41760.0)</f>
        <v>41760</v>
      </c>
      <c r="B147" s="1" t="str">
        <f>IFERROR(__xludf.DUMMYFUNCTION("""COMPUTED_VALUE"""),"2.842 €/m2")</f>
        <v>2.842 €/m2</v>
      </c>
      <c r="C147" s="1" t="str">
        <f>IFERROR(__xludf.DUMMYFUNCTION("""COMPUTED_VALUE"""),"+ 0,1 %")</f>
        <v>+ 0,1 %</v>
      </c>
      <c r="D147" s="1" t="str">
        <f>IFERROR(__xludf.DUMMYFUNCTION("""COMPUTED_VALUE"""),"- 0,4 %")</f>
        <v>- 0,4 %</v>
      </c>
      <c r="E147" s="1" t="str">
        <f>IFERROR(__xludf.DUMMYFUNCTION("""COMPUTED_VALUE"""),"- 4,8 %")</f>
        <v>- 4,8 %</v>
      </c>
    </row>
    <row r="148">
      <c r="A148" s="2">
        <f>IFERROR(__xludf.DUMMYFUNCTION("""COMPUTED_VALUE"""),41730.0)</f>
        <v>41730</v>
      </c>
      <c r="B148" s="1" t="str">
        <f>IFERROR(__xludf.DUMMYFUNCTION("""COMPUTED_VALUE"""),"2.839 €/m2")</f>
        <v>2.839 €/m2</v>
      </c>
      <c r="C148" s="1" t="str">
        <f>IFERROR(__xludf.DUMMYFUNCTION("""COMPUTED_VALUE"""),"+ 0,1 %")</f>
        <v>+ 0,1 %</v>
      </c>
      <c r="D148" s="1" t="str">
        <f>IFERROR(__xludf.DUMMYFUNCTION("""COMPUTED_VALUE"""),"- 0,6 %")</f>
        <v>- 0,6 %</v>
      </c>
      <c r="E148" s="1" t="str">
        <f>IFERROR(__xludf.DUMMYFUNCTION("""COMPUTED_VALUE"""),"- 4,8 %")</f>
        <v>- 4,8 %</v>
      </c>
    </row>
    <row r="149">
      <c r="A149" s="2">
        <f>IFERROR(__xludf.DUMMYFUNCTION("""COMPUTED_VALUE"""),41699.0)</f>
        <v>41699</v>
      </c>
      <c r="B149" s="1" t="str">
        <f>IFERROR(__xludf.DUMMYFUNCTION("""COMPUTED_VALUE"""),"2.838 €/m2")</f>
        <v>2.838 €/m2</v>
      </c>
      <c r="C149" s="1" t="str">
        <f>IFERROR(__xludf.DUMMYFUNCTION("""COMPUTED_VALUE"""),"- 0,5 %")</f>
        <v>- 0,5 %</v>
      </c>
      <c r="D149" s="1" t="str">
        <f>IFERROR(__xludf.DUMMYFUNCTION("""COMPUTED_VALUE"""),"- 0,1 %")</f>
        <v>- 0,1 %</v>
      </c>
      <c r="E149" s="1" t="str">
        <f>IFERROR(__xludf.DUMMYFUNCTION("""COMPUTED_VALUE"""),"- 6,1 %")</f>
        <v>- 6,1 %</v>
      </c>
    </row>
    <row r="150">
      <c r="A150" s="2">
        <f>IFERROR(__xludf.DUMMYFUNCTION("""COMPUTED_VALUE"""),41671.0)</f>
        <v>41671</v>
      </c>
      <c r="B150" s="1" t="str">
        <f>IFERROR(__xludf.DUMMYFUNCTION("""COMPUTED_VALUE"""),"2.853 €/m2")</f>
        <v>2.853 €/m2</v>
      </c>
      <c r="C150" s="1" t="str">
        <f>IFERROR(__xludf.DUMMYFUNCTION("""COMPUTED_VALUE"""),"- 0,1 %")</f>
        <v>- 0,1 %</v>
      </c>
      <c r="D150" s="1" t="str">
        <f>IFERROR(__xludf.DUMMYFUNCTION("""COMPUTED_VALUE"""),"0,0 %")</f>
        <v>0,0 %</v>
      </c>
      <c r="E150" s="1" t="str">
        <f>IFERROR(__xludf.DUMMYFUNCTION("""COMPUTED_VALUE"""),"- 4,3 %")</f>
        <v>- 4,3 %</v>
      </c>
    </row>
    <row r="151">
      <c r="A151" s="2">
        <f>IFERROR(__xludf.DUMMYFUNCTION("""COMPUTED_VALUE"""),41640.0)</f>
        <v>41640</v>
      </c>
      <c r="B151" s="1" t="str">
        <f>IFERROR(__xludf.DUMMYFUNCTION("""COMPUTED_VALUE"""),"2.856 €/m2")</f>
        <v>2.856 €/m2</v>
      </c>
      <c r="C151" s="1" t="str">
        <f>IFERROR(__xludf.DUMMYFUNCTION("""COMPUTED_VALUE"""),"+ 0,5 %")</f>
        <v>+ 0,5 %</v>
      </c>
      <c r="D151" s="1" t="str">
        <f>IFERROR(__xludf.DUMMYFUNCTION("""COMPUTED_VALUE"""),"- 0,7 %")</f>
        <v>- 0,7 %</v>
      </c>
      <c r="E151" s="1" t="str">
        <f>IFERROR(__xludf.DUMMYFUNCTION("""COMPUTED_VALUE"""),"- 3,7 %")</f>
        <v>- 3,7 %</v>
      </c>
    </row>
    <row r="152">
      <c r="A152" s="2">
        <f>IFERROR(__xludf.DUMMYFUNCTION("""COMPUTED_VALUE"""),41609.0)</f>
        <v>41609</v>
      </c>
      <c r="B152" s="1" t="str">
        <f>IFERROR(__xludf.DUMMYFUNCTION("""COMPUTED_VALUE"""),"2.842 €/m2")</f>
        <v>2.842 €/m2</v>
      </c>
      <c r="C152" s="1" t="str">
        <f>IFERROR(__xludf.DUMMYFUNCTION("""COMPUTED_VALUE"""),"- 0,4 %")</f>
        <v>- 0,4 %</v>
      </c>
      <c r="D152" s="1" t="str">
        <f>IFERROR(__xludf.DUMMYFUNCTION("""COMPUTED_VALUE"""),"- 2,2 %")</f>
        <v>- 2,2 %</v>
      </c>
      <c r="E152" s="1" t="str">
        <f>IFERROR(__xludf.DUMMYFUNCTION("""COMPUTED_VALUE"""),"- 4,9 %")</f>
        <v>- 4,9 %</v>
      </c>
    </row>
    <row r="153">
      <c r="A153" s="2">
        <f>IFERROR(__xludf.DUMMYFUNCTION("""COMPUTED_VALUE"""),41579.0)</f>
        <v>41579</v>
      </c>
      <c r="B153" s="1" t="str">
        <f>IFERROR(__xludf.DUMMYFUNCTION("""COMPUTED_VALUE"""),"2.852 €/m2")</f>
        <v>2.852 €/m2</v>
      </c>
      <c r="C153" s="1" t="str">
        <f>IFERROR(__xludf.DUMMYFUNCTION("""COMPUTED_VALUE"""),"- 0,9 %")</f>
        <v>- 0,9 %</v>
      </c>
      <c r="D153" s="1" t="str">
        <f>IFERROR(__xludf.DUMMYFUNCTION("""COMPUTED_VALUE"""),"- 0,9 %")</f>
        <v>- 0,9 %</v>
      </c>
      <c r="E153" s="1" t="str">
        <f>IFERROR(__xludf.DUMMYFUNCTION("""COMPUTED_VALUE"""),"- 5,9 %")</f>
        <v>- 5,9 %</v>
      </c>
    </row>
    <row r="154">
      <c r="A154" s="2">
        <f>IFERROR(__xludf.DUMMYFUNCTION("""COMPUTED_VALUE"""),41548.0)</f>
        <v>41548</v>
      </c>
      <c r="B154" s="1" t="str">
        <f>IFERROR(__xludf.DUMMYFUNCTION("""COMPUTED_VALUE"""),"2.878 €/m2")</f>
        <v>2.878 €/m2</v>
      </c>
      <c r="C154" s="1" t="str">
        <f>IFERROR(__xludf.DUMMYFUNCTION("""COMPUTED_VALUE"""),"- 1,0 %")</f>
        <v>- 1,0 %</v>
      </c>
      <c r="D154" s="1" t="str">
        <f>IFERROR(__xludf.DUMMYFUNCTION("""COMPUTED_VALUE"""),"- 1,5 %")</f>
        <v>- 1,5 %</v>
      </c>
      <c r="E154" s="1" t="str">
        <f>IFERROR(__xludf.DUMMYFUNCTION("""COMPUTED_VALUE"""),"- 5,6 %")</f>
        <v>- 5,6 %</v>
      </c>
    </row>
    <row r="155">
      <c r="A155" s="2">
        <f>IFERROR(__xludf.DUMMYFUNCTION("""COMPUTED_VALUE"""),41518.0)</f>
        <v>41518</v>
      </c>
      <c r="B155" s="1" t="str">
        <f>IFERROR(__xludf.DUMMYFUNCTION("""COMPUTED_VALUE"""),"2.907 €/m2")</f>
        <v>2.907 €/m2</v>
      </c>
      <c r="C155" s="1" t="str">
        <f>IFERROR(__xludf.DUMMYFUNCTION("""COMPUTED_VALUE"""),"+ 1,0 %")</f>
        <v>+ 1,0 %</v>
      </c>
      <c r="D155" s="1" t="str">
        <f>IFERROR(__xludf.DUMMYFUNCTION("""COMPUTED_VALUE"""),"- 1,0 %")</f>
        <v>- 1,0 %</v>
      </c>
      <c r="E155" s="1" t="str">
        <f>IFERROR(__xludf.DUMMYFUNCTION("""COMPUTED_VALUE"""),"- 6,1 %")</f>
        <v>- 6,1 %</v>
      </c>
    </row>
    <row r="156">
      <c r="A156" s="2">
        <f>IFERROR(__xludf.DUMMYFUNCTION("""COMPUTED_VALUE"""),41487.0)</f>
        <v>41487</v>
      </c>
      <c r="B156" s="1" t="str">
        <f>IFERROR(__xludf.DUMMYFUNCTION("""COMPUTED_VALUE"""),"2.877 €/m2")</f>
        <v>2.877 €/m2</v>
      </c>
      <c r="C156" s="1" t="str">
        <f>IFERROR(__xludf.DUMMYFUNCTION("""COMPUTED_VALUE"""),"- 1,5 %")</f>
        <v>- 1,5 %</v>
      </c>
      <c r="D156" s="1" t="str">
        <f>IFERROR(__xludf.DUMMYFUNCTION("""COMPUTED_VALUE"""),"- 3,7 %")</f>
        <v>- 3,7 %</v>
      </c>
      <c r="E156" s="1" t="str">
        <f>IFERROR(__xludf.DUMMYFUNCTION("""COMPUTED_VALUE"""),"- 6,3 %")</f>
        <v>- 6,3 %</v>
      </c>
    </row>
    <row r="157">
      <c r="A157" s="2">
        <f>IFERROR(__xludf.DUMMYFUNCTION("""COMPUTED_VALUE"""),41456.0)</f>
        <v>41456</v>
      </c>
      <c r="B157" s="1" t="str">
        <f>IFERROR(__xludf.DUMMYFUNCTION("""COMPUTED_VALUE"""),"2.921 €/m2")</f>
        <v>2.921 €/m2</v>
      </c>
      <c r="C157" s="1" t="str">
        <f>IFERROR(__xludf.DUMMYFUNCTION("""COMPUTED_VALUE"""),"- 0,5 %")</f>
        <v>- 0,5 %</v>
      </c>
      <c r="D157" s="1" t="str">
        <f>IFERROR(__xludf.DUMMYFUNCTION("""COMPUTED_VALUE"""),"- 2,1 %")</f>
        <v>- 2,1 %</v>
      </c>
      <c r="E157" s="1" t="str">
        <f>IFERROR(__xludf.DUMMYFUNCTION("""COMPUTED_VALUE"""),"- 7,7 %")</f>
        <v>- 7,7 %</v>
      </c>
    </row>
    <row r="158">
      <c r="A158" s="2">
        <f>IFERROR(__xludf.DUMMYFUNCTION("""COMPUTED_VALUE"""),41426.0)</f>
        <v>41426</v>
      </c>
      <c r="B158" s="1" t="str">
        <f>IFERROR(__xludf.DUMMYFUNCTION("""COMPUTED_VALUE"""),"2.935 €/m2")</f>
        <v>2.935 €/m2</v>
      </c>
      <c r="C158" s="1" t="str">
        <f>IFERROR(__xludf.DUMMYFUNCTION("""COMPUTED_VALUE"""),"- 1,7 %")</f>
        <v>- 1,7 %</v>
      </c>
      <c r="D158" s="1" t="str">
        <f>IFERROR(__xludf.DUMMYFUNCTION("""COMPUTED_VALUE"""),"- 2,9 %")</f>
        <v>- 2,9 %</v>
      </c>
      <c r="E158" s="1" t="str">
        <f>IFERROR(__xludf.DUMMYFUNCTION("""COMPUTED_VALUE"""),"- 9,4 %")</f>
        <v>- 9,4 %</v>
      </c>
    </row>
    <row r="159">
      <c r="A159" s="2">
        <f>IFERROR(__xludf.DUMMYFUNCTION("""COMPUTED_VALUE"""),41395.0)</f>
        <v>41395</v>
      </c>
      <c r="B159" s="1" t="str">
        <f>IFERROR(__xludf.DUMMYFUNCTION("""COMPUTED_VALUE"""),"2.987 €/m2")</f>
        <v>2.987 €/m2</v>
      </c>
      <c r="C159" s="1" t="str">
        <f>IFERROR(__xludf.DUMMYFUNCTION("""COMPUTED_VALUE"""),"+ 0,1 %")</f>
        <v>+ 0,1 %</v>
      </c>
      <c r="D159" s="1" t="str">
        <f>IFERROR(__xludf.DUMMYFUNCTION("""COMPUTED_VALUE"""),"+ 0,2 %")</f>
        <v>+ 0,2 %</v>
      </c>
      <c r="E159" s="1" t="str">
        <f>IFERROR(__xludf.DUMMYFUNCTION("""COMPUTED_VALUE"""),"- 9,8 %")</f>
        <v>- 9,8 %</v>
      </c>
    </row>
    <row r="160">
      <c r="A160" s="2">
        <f>IFERROR(__xludf.DUMMYFUNCTION("""COMPUTED_VALUE"""),41365.0)</f>
        <v>41365</v>
      </c>
      <c r="B160" s="1" t="str">
        <f>IFERROR(__xludf.DUMMYFUNCTION("""COMPUTED_VALUE"""),"2.984 €/m2")</f>
        <v>2.984 €/m2</v>
      </c>
      <c r="C160" s="1" t="str">
        <f>IFERROR(__xludf.DUMMYFUNCTION("""COMPUTED_VALUE"""),"- 1,3 %")</f>
        <v>- 1,3 %</v>
      </c>
      <c r="D160" s="1" t="str">
        <f>IFERROR(__xludf.DUMMYFUNCTION("""COMPUTED_VALUE"""),"+ 0,6 %")</f>
        <v>+ 0,6 %</v>
      </c>
      <c r="E160" s="1" t="str">
        <f>IFERROR(__xludf.DUMMYFUNCTION("""COMPUTED_VALUE"""),"- 9,7 %")</f>
        <v>- 9,7 %</v>
      </c>
    </row>
    <row r="161">
      <c r="A161" s="2">
        <f>IFERROR(__xludf.DUMMYFUNCTION("""COMPUTED_VALUE"""),41334.0)</f>
        <v>41334</v>
      </c>
      <c r="B161" s="1" t="str">
        <f>IFERROR(__xludf.DUMMYFUNCTION("""COMPUTED_VALUE"""),"3.022 €/m2")</f>
        <v>3.022 €/m2</v>
      </c>
      <c r="C161" s="1" t="str">
        <f>IFERROR(__xludf.DUMMYFUNCTION("""COMPUTED_VALUE"""),"+ 1,4 %")</f>
        <v>+ 1,4 %</v>
      </c>
      <c r="D161" s="1" t="str">
        <f>IFERROR(__xludf.DUMMYFUNCTION("""COMPUTED_VALUE"""),"+ 1,1 %")</f>
        <v>+ 1,1 %</v>
      </c>
      <c r="E161" s="1" t="str">
        <f>IFERROR(__xludf.DUMMYFUNCTION("""COMPUTED_VALUE"""),"- 9,4 %")</f>
        <v>- 9,4 %</v>
      </c>
    </row>
    <row r="162">
      <c r="A162" s="2">
        <f>IFERROR(__xludf.DUMMYFUNCTION("""COMPUTED_VALUE"""),41306.0)</f>
        <v>41306</v>
      </c>
      <c r="B162" s="1" t="str">
        <f>IFERROR(__xludf.DUMMYFUNCTION("""COMPUTED_VALUE"""),"2.980 €/m2")</f>
        <v>2.980 €/m2</v>
      </c>
      <c r="C162" s="1" t="str">
        <f>IFERROR(__xludf.DUMMYFUNCTION("""COMPUTED_VALUE"""),"+ 0,4 %")</f>
        <v>+ 0,4 %</v>
      </c>
      <c r="D162" s="1" t="str">
        <f>IFERROR(__xludf.DUMMYFUNCTION("""COMPUTED_VALUE"""),"- 1,7 %")</f>
        <v>- 1,7 %</v>
      </c>
      <c r="E162" s="1" t="str">
        <f>IFERROR(__xludf.DUMMYFUNCTION("""COMPUTED_VALUE"""),"- 11,1 %")</f>
        <v>- 11,1 %</v>
      </c>
    </row>
    <row r="163">
      <c r="A163" s="2">
        <f>IFERROR(__xludf.DUMMYFUNCTION("""COMPUTED_VALUE"""),41275.0)</f>
        <v>41275</v>
      </c>
      <c r="B163" s="1" t="str">
        <f>IFERROR(__xludf.DUMMYFUNCTION("""COMPUTED_VALUE"""),"2.967 €/m2")</f>
        <v>2.967 €/m2</v>
      </c>
      <c r="C163" s="1" t="str">
        <f>IFERROR(__xludf.DUMMYFUNCTION("""COMPUTED_VALUE"""),"- 0,8 %")</f>
        <v>- 0,8 %</v>
      </c>
      <c r="D163" s="1" t="str">
        <f>IFERROR(__xludf.DUMMYFUNCTION("""COMPUTED_VALUE"""),"- 2,7 %")</f>
        <v>- 2,7 %</v>
      </c>
      <c r="E163" s="1" t="str">
        <f>IFERROR(__xludf.DUMMYFUNCTION("""COMPUTED_VALUE"""),"- 12,5 %")</f>
        <v>- 12,5 %</v>
      </c>
    </row>
    <row r="164">
      <c r="A164" s="2">
        <f>IFERROR(__xludf.DUMMYFUNCTION("""COMPUTED_VALUE"""),41244.0)</f>
        <v>41244</v>
      </c>
      <c r="B164" s="1" t="str">
        <f>IFERROR(__xludf.DUMMYFUNCTION("""COMPUTED_VALUE"""),"2.989 €/m2")</f>
        <v>2.989 €/m2</v>
      </c>
      <c r="C164" s="1" t="str">
        <f>IFERROR(__xludf.DUMMYFUNCTION("""COMPUTED_VALUE"""),"- 1,4 %")</f>
        <v>- 1,4 %</v>
      </c>
      <c r="D164" s="1" t="str">
        <f>IFERROR(__xludf.DUMMYFUNCTION("""COMPUTED_VALUE"""),"- 3,4 %")</f>
        <v>- 3,4 %</v>
      </c>
      <c r="E164" s="1" t="str">
        <f>IFERROR(__xludf.DUMMYFUNCTION("""COMPUTED_VALUE"""),"- 12,4 %")</f>
        <v>- 12,4 %</v>
      </c>
    </row>
    <row r="165">
      <c r="A165" s="2">
        <f>IFERROR(__xludf.DUMMYFUNCTION("""COMPUTED_VALUE"""),41214.0)</f>
        <v>41214</v>
      </c>
      <c r="B165" s="1" t="str">
        <f>IFERROR(__xludf.DUMMYFUNCTION("""COMPUTED_VALUE"""),"3.031 €/m2")</f>
        <v>3.031 €/m2</v>
      </c>
      <c r="C165" s="1" t="str">
        <f>IFERROR(__xludf.DUMMYFUNCTION("""COMPUTED_VALUE"""),"- 0,6 %")</f>
        <v>- 0,6 %</v>
      </c>
      <c r="D165" s="1" t="str">
        <f>IFERROR(__xludf.DUMMYFUNCTION("""COMPUTED_VALUE"""),"- 1,3 %")</f>
        <v>- 1,3 %</v>
      </c>
      <c r="E165" s="1" t="str">
        <f>IFERROR(__xludf.DUMMYFUNCTION("""COMPUTED_VALUE"""),"- 12,2 %")</f>
        <v>- 12,2 %</v>
      </c>
    </row>
    <row r="166">
      <c r="A166" s="2">
        <f>IFERROR(__xludf.DUMMYFUNCTION("""COMPUTED_VALUE"""),41183.0)</f>
        <v>41183</v>
      </c>
      <c r="B166" s="1" t="str">
        <f>IFERROR(__xludf.DUMMYFUNCTION("""COMPUTED_VALUE"""),"3.049 €/m2")</f>
        <v>3.049 €/m2</v>
      </c>
      <c r="C166" s="1" t="str">
        <f>IFERROR(__xludf.DUMMYFUNCTION("""COMPUTED_VALUE"""),"- 1,5 %")</f>
        <v>- 1,5 %</v>
      </c>
      <c r="D166" s="1" t="str">
        <f>IFERROR(__xludf.DUMMYFUNCTION("""COMPUTED_VALUE"""),"- 3,6 %")</f>
        <v>- 3,6 %</v>
      </c>
      <c r="E166" s="1" t="str">
        <f>IFERROR(__xludf.DUMMYFUNCTION("""COMPUTED_VALUE"""),"- 11,3 %")</f>
        <v>- 11,3 %</v>
      </c>
    </row>
    <row r="167">
      <c r="A167" s="2">
        <f>IFERROR(__xludf.DUMMYFUNCTION("""COMPUTED_VALUE"""),41153.0)</f>
        <v>41153</v>
      </c>
      <c r="B167" s="1" t="str">
        <f>IFERROR(__xludf.DUMMYFUNCTION("""COMPUTED_VALUE"""),"3.096 €/m2")</f>
        <v>3.096 €/m2</v>
      </c>
      <c r="C167" s="1" t="str">
        <f>IFERROR(__xludf.DUMMYFUNCTION("""COMPUTED_VALUE"""),"+ 0,8 %")</f>
        <v>+ 0,8 %</v>
      </c>
      <c r="D167" s="1" t="str">
        <f>IFERROR(__xludf.DUMMYFUNCTION("""COMPUTED_VALUE"""),"- 4,5 %")</f>
        <v>- 4,5 %</v>
      </c>
      <c r="E167" s="1" t="str">
        <f>IFERROR(__xludf.DUMMYFUNCTION("""COMPUTED_VALUE"""),"- 7,9 %")</f>
        <v>- 7,9 %</v>
      </c>
    </row>
    <row r="168">
      <c r="A168" s="2">
        <f>IFERROR(__xludf.DUMMYFUNCTION("""COMPUTED_VALUE"""),41122.0)</f>
        <v>41122</v>
      </c>
      <c r="B168" s="1" t="str">
        <f>IFERROR(__xludf.DUMMYFUNCTION("""COMPUTED_VALUE"""),"3.071 €/m2")</f>
        <v>3.071 €/m2</v>
      </c>
      <c r="C168" s="1" t="str">
        <f>IFERROR(__xludf.DUMMYFUNCTION("""COMPUTED_VALUE"""),"- 2,9 %")</f>
        <v>- 2,9 %</v>
      </c>
      <c r="D168" s="1" t="str">
        <f>IFERROR(__xludf.DUMMYFUNCTION("""COMPUTED_VALUE"""),"- 7,3 %")</f>
        <v>- 7,3 %</v>
      </c>
      <c r="E168" s="1" t="str">
        <f>IFERROR(__xludf.DUMMYFUNCTION("""COMPUTED_VALUE"""),"- 8,7 %")</f>
        <v>- 8,7 %</v>
      </c>
    </row>
    <row r="169">
      <c r="A169" s="2">
        <f>IFERROR(__xludf.DUMMYFUNCTION("""COMPUTED_VALUE"""),41091.0)</f>
        <v>41091</v>
      </c>
      <c r="B169" s="1" t="str">
        <f>IFERROR(__xludf.DUMMYFUNCTION("""COMPUTED_VALUE"""),"3.163 €/m2")</f>
        <v>3.163 €/m2</v>
      </c>
      <c r="C169" s="1" t="str">
        <f>IFERROR(__xludf.DUMMYFUNCTION("""COMPUTED_VALUE"""),"- 2,4 %")</f>
        <v>- 2,4 %</v>
      </c>
      <c r="D169" s="1" t="str">
        <f>IFERROR(__xludf.DUMMYFUNCTION("""COMPUTED_VALUE"""),"- 4,3 %")</f>
        <v>- 4,3 %</v>
      </c>
      <c r="E169" s="1" t="str">
        <f>IFERROR(__xludf.DUMMYFUNCTION("""COMPUTED_VALUE"""),"- 6,4 %")</f>
        <v>- 6,4 %</v>
      </c>
    </row>
    <row r="170">
      <c r="A170" s="2">
        <f>IFERROR(__xludf.DUMMYFUNCTION("""COMPUTED_VALUE"""),41061.0)</f>
        <v>41061</v>
      </c>
      <c r="B170" s="1" t="str">
        <f>IFERROR(__xludf.DUMMYFUNCTION("""COMPUTED_VALUE"""),"3.241 €/m2")</f>
        <v>3.241 €/m2</v>
      </c>
      <c r="C170" s="1" t="str">
        <f>IFERROR(__xludf.DUMMYFUNCTION("""COMPUTED_VALUE"""),"- 2,2 %")</f>
        <v>- 2,2 %</v>
      </c>
      <c r="D170" s="1" t="str">
        <f>IFERROR(__xludf.DUMMYFUNCTION("""COMPUTED_VALUE"""),"- 2,8 %")</f>
        <v>- 2,8 %</v>
      </c>
      <c r="E170" s="1" t="str">
        <f>IFERROR(__xludf.DUMMYFUNCTION("""COMPUTED_VALUE"""),"- 5,9 %")</f>
        <v>- 5,9 %</v>
      </c>
    </row>
    <row r="171">
      <c r="A171" s="2">
        <f>IFERROR(__xludf.DUMMYFUNCTION("""COMPUTED_VALUE"""),41030.0)</f>
        <v>41030</v>
      </c>
      <c r="B171" s="1" t="str">
        <f>IFERROR(__xludf.DUMMYFUNCTION("""COMPUTED_VALUE"""),"3.312 €/m2")</f>
        <v>3.312 €/m2</v>
      </c>
      <c r="C171" s="1" t="str">
        <f>IFERROR(__xludf.DUMMYFUNCTION("""COMPUTED_VALUE"""),"+ 0,2 %")</f>
        <v>+ 0,2 %</v>
      </c>
      <c r="D171" s="1" t="str">
        <f>IFERROR(__xludf.DUMMYFUNCTION("""COMPUTED_VALUE"""),"- 1,1 %")</f>
        <v>- 1,1 %</v>
      </c>
      <c r="E171" s="1" t="str">
        <f>IFERROR(__xludf.DUMMYFUNCTION("""COMPUTED_VALUE"""),"- 4,3 %")</f>
        <v>- 4,3 %</v>
      </c>
    </row>
    <row r="172">
      <c r="A172" s="2">
        <f>IFERROR(__xludf.DUMMYFUNCTION("""COMPUTED_VALUE"""),41000.0)</f>
        <v>41000</v>
      </c>
      <c r="B172" s="1" t="str">
        <f>IFERROR(__xludf.DUMMYFUNCTION("""COMPUTED_VALUE"""),"3.305 €/m2")</f>
        <v>3.305 €/m2</v>
      </c>
      <c r="C172" s="1" t="str">
        <f>IFERROR(__xludf.DUMMYFUNCTION("""COMPUTED_VALUE"""),"- 0,9 %")</f>
        <v>- 0,9 %</v>
      </c>
      <c r="D172" s="1" t="str">
        <f>IFERROR(__xludf.DUMMYFUNCTION("""COMPUTED_VALUE"""),"- 2,5 %")</f>
        <v>- 2,5 %</v>
      </c>
      <c r="E172" s="1" t="str">
        <f>IFERROR(__xludf.DUMMYFUNCTION("""COMPUTED_VALUE"""),"- 5,4 %")</f>
        <v>- 5,4 %</v>
      </c>
    </row>
    <row r="173">
      <c r="A173" s="2">
        <f>IFERROR(__xludf.DUMMYFUNCTION("""COMPUTED_VALUE"""),40969.0)</f>
        <v>40969</v>
      </c>
      <c r="B173" s="1" t="str">
        <f>IFERROR(__xludf.DUMMYFUNCTION("""COMPUTED_VALUE"""),"3.335 €/m2")</f>
        <v>3.335 €/m2</v>
      </c>
      <c r="C173" s="1" t="str">
        <f>IFERROR(__xludf.DUMMYFUNCTION("""COMPUTED_VALUE"""),"- 0,5 %")</f>
        <v>- 0,5 %</v>
      </c>
      <c r="D173" s="1" t="str">
        <f>IFERROR(__xludf.DUMMYFUNCTION("""COMPUTED_VALUE"""),"- 2,3 %")</f>
        <v>- 2,3 %</v>
      </c>
      <c r="E173" s="1" t="str">
        <f>IFERROR(__xludf.DUMMYFUNCTION("""COMPUTED_VALUE"""),"- 4,4 %")</f>
        <v>- 4,4 %</v>
      </c>
    </row>
    <row r="174">
      <c r="A174" s="2">
        <f>IFERROR(__xludf.DUMMYFUNCTION("""COMPUTED_VALUE"""),40940.0)</f>
        <v>40940</v>
      </c>
      <c r="B174" s="1" t="str">
        <f>IFERROR(__xludf.DUMMYFUNCTION("""COMPUTED_VALUE"""),"3.351 €/m2")</f>
        <v>3.351 €/m2</v>
      </c>
      <c r="C174" s="1" t="str">
        <f>IFERROR(__xludf.DUMMYFUNCTION("""COMPUTED_VALUE"""),"- 1,2 %")</f>
        <v>- 1,2 %</v>
      </c>
      <c r="D174" s="1" t="str">
        <f>IFERROR(__xludf.DUMMYFUNCTION("""COMPUTED_VALUE"""),"- 2,9 %")</f>
        <v>- 2,9 %</v>
      </c>
      <c r="E174" s="1" t="str">
        <f>IFERROR(__xludf.DUMMYFUNCTION("""COMPUTED_VALUE"""),"- 3,1 %")</f>
        <v>- 3,1 %</v>
      </c>
    </row>
    <row r="175">
      <c r="A175" s="2">
        <f>IFERROR(__xludf.DUMMYFUNCTION("""COMPUTED_VALUE"""),40909.0)</f>
        <v>40909</v>
      </c>
      <c r="B175" s="1" t="str">
        <f>IFERROR(__xludf.DUMMYFUNCTION("""COMPUTED_VALUE"""),"3.390 €/m2")</f>
        <v>3.390 €/m2</v>
      </c>
      <c r="C175" s="1" t="str">
        <f>IFERROR(__xludf.DUMMYFUNCTION("""COMPUTED_VALUE"""),"- 0,6 %")</f>
        <v>- 0,6 %</v>
      </c>
      <c r="D175" s="1" t="str">
        <f>IFERROR(__xludf.DUMMYFUNCTION("""COMPUTED_VALUE"""),"- 1,4 %")</f>
        <v>- 1,4 %</v>
      </c>
      <c r="E175" s="1" t="str">
        <f>IFERROR(__xludf.DUMMYFUNCTION("""COMPUTED_VALUE"""),"- 2,0 %")</f>
        <v>- 2,0 %</v>
      </c>
    </row>
    <row r="176">
      <c r="A176" s="2">
        <f>IFERROR(__xludf.DUMMYFUNCTION("""COMPUTED_VALUE"""),40878.0)</f>
        <v>40878</v>
      </c>
      <c r="B176" s="1" t="str">
        <f>IFERROR(__xludf.DUMMYFUNCTION("""COMPUTED_VALUE"""),"3.412 €/m2")</f>
        <v>3.412 €/m2</v>
      </c>
      <c r="C176" s="1" t="str">
        <f>IFERROR(__xludf.DUMMYFUNCTION("""COMPUTED_VALUE"""),"- 1,1 %")</f>
        <v>- 1,1 %</v>
      </c>
      <c r="D176" s="1" t="str">
        <f>IFERROR(__xludf.DUMMYFUNCTION("""COMPUTED_VALUE"""),"+ 1,6 %")</f>
        <v>+ 1,6 %</v>
      </c>
      <c r="E176" s="1" t="str">
        <f>IFERROR(__xludf.DUMMYFUNCTION("""COMPUTED_VALUE"""),"- 1,0 %")</f>
        <v>- 1,0 %</v>
      </c>
    </row>
    <row r="177">
      <c r="A177" s="2">
        <f>IFERROR(__xludf.DUMMYFUNCTION("""COMPUTED_VALUE"""),40848.0)</f>
        <v>40848</v>
      </c>
      <c r="B177" s="1" t="str">
        <f>IFERROR(__xludf.DUMMYFUNCTION("""COMPUTED_VALUE"""),"3.451 €/m2")</f>
        <v>3.451 €/m2</v>
      </c>
      <c r="C177" s="1" t="str">
        <f>IFERROR(__xludf.DUMMYFUNCTION("""COMPUTED_VALUE"""),"+ 0,4 %")</f>
        <v>+ 0,4 %</v>
      </c>
      <c r="D177" s="1" t="str">
        <f>IFERROR(__xludf.DUMMYFUNCTION("""COMPUTED_VALUE"""),"+ 2,6 %")</f>
        <v>+ 2,6 %</v>
      </c>
      <c r="E177" s="1" t="str">
        <f>IFERROR(__xludf.DUMMYFUNCTION("""COMPUTED_VALUE"""),"- 0,3 %")</f>
        <v>- 0,3 %</v>
      </c>
    </row>
    <row r="178">
      <c r="A178" s="2">
        <f>IFERROR(__xludf.DUMMYFUNCTION("""COMPUTED_VALUE"""),40817.0)</f>
        <v>40817</v>
      </c>
      <c r="B178" s="1" t="str">
        <f>IFERROR(__xludf.DUMMYFUNCTION("""COMPUTED_VALUE"""),"3.437 €/m2")</f>
        <v>3.437 €/m2</v>
      </c>
      <c r="C178" s="1" t="str">
        <f>IFERROR(__xludf.DUMMYFUNCTION("""COMPUTED_VALUE"""),"+ 2,3 %")</f>
        <v>+ 2,3 %</v>
      </c>
      <c r="D178" s="1" t="str">
        <f>IFERROR(__xludf.DUMMYFUNCTION("""COMPUTED_VALUE"""),"+ 1,7 %")</f>
        <v>+ 1,7 %</v>
      </c>
      <c r="E178" s="1" t="str">
        <f>IFERROR(__xludf.DUMMYFUNCTION("""COMPUTED_VALUE"""),"- 0,9 %")</f>
        <v>- 0,9 %</v>
      </c>
    </row>
    <row r="179">
      <c r="A179" s="2">
        <f>IFERROR(__xludf.DUMMYFUNCTION("""COMPUTED_VALUE"""),40787.0)</f>
        <v>40787</v>
      </c>
      <c r="B179" s="1" t="str">
        <f>IFERROR(__xludf.DUMMYFUNCTION("""COMPUTED_VALUE"""),"3.360 €/m2")</f>
        <v>3.360 €/m2</v>
      </c>
      <c r="C179" s="1" t="str">
        <f>IFERROR(__xludf.DUMMYFUNCTION("""COMPUTED_VALUE"""),"- 0,2 %")</f>
        <v>- 0,2 %</v>
      </c>
      <c r="D179" s="1" t="str">
        <f>IFERROR(__xludf.DUMMYFUNCTION("""COMPUTED_VALUE"""),"- 2,5 %")</f>
        <v>- 2,5 %</v>
      </c>
      <c r="E179" s="1" t="str">
        <f>IFERROR(__xludf.DUMMYFUNCTION("""COMPUTED_VALUE"""),"- 3,2 %")</f>
        <v>- 3,2 %</v>
      </c>
    </row>
    <row r="180">
      <c r="A180" s="2">
        <f>IFERROR(__xludf.DUMMYFUNCTION("""COMPUTED_VALUE"""),40756.0)</f>
        <v>40756</v>
      </c>
      <c r="B180" s="1" t="str">
        <f>IFERROR(__xludf.DUMMYFUNCTION("""COMPUTED_VALUE"""),"3.365 €/m2")</f>
        <v>3.365 €/m2</v>
      </c>
      <c r="C180" s="1" t="str">
        <f>IFERROR(__xludf.DUMMYFUNCTION("""COMPUTED_VALUE"""),"- 0,4 %")</f>
        <v>- 0,4 %</v>
      </c>
      <c r="D180" s="1" t="str">
        <f>IFERROR(__xludf.DUMMYFUNCTION("""COMPUTED_VALUE"""),"- 2,7 %")</f>
        <v>- 2,7 %</v>
      </c>
      <c r="E180" s="1" t="str">
        <f>IFERROR(__xludf.DUMMYFUNCTION("""COMPUTED_VALUE"""),"- 4,4 %")</f>
        <v>- 4,4 %</v>
      </c>
    </row>
    <row r="181">
      <c r="A181" s="2">
        <f>IFERROR(__xludf.DUMMYFUNCTION("""COMPUTED_VALUE"""),40725.0)</f>
        <v>40725</v>
      </c>
      <c r="B181" s="1" t="str">
        <f>IFERROR(__xludf.DUMMYFUNCTION("""COMPUTED_VALUE"""),"3.379 €/m2")</f>
        <v>3.379 €/m2</v>
      </c>
      <c r="C181" s="1" t="str">
        <f>IFERROR(__xludf.DUMMYFUNCTION("""COMPUTED_VALUE"""),"- 1,9 %")</f>
        <v>- 1,9 %</v>
      </c>
      <c r="D181" s="1" t="str">
        <f>IFERROR(__xludf.DUMMYFUNCTION("""COMPUTED_VALUE"""),"- 3,2 %")</f>
        <v>- 3,2 %</v>
      </c>
      <c r="E181" s="1" t="str">
        <f>IFERROR(__xludf.DUMMYFUNCTION("""COMPUTED_VALUE"""),"- 5,1 %")</f>
        <v>- 5,1 %</v>
      </c>
    </row>
    <row r="182">
      <c r="A182" s="2">
        <f>IFERROR(__xludf.DUMMYFUNCTION("""COMPUTED_VALUE"""),40695.0)</f>
        <v>40695</v>
      </c>
      <c r="B182" s="1" t="str">
        <f>IFERROR(__xludf.DUMMYFUNCTION("""COMPUTED_VALUE"""),"3.445 €/m2")</f>
        <v>3.445 €/m2</v>
      </c>
      <c r="C182" s="1" t="str">
        <f>IFERROR(__xludf.DUMMYFUNCTION("""COMPUTED_VALUE"""),"- 0,4 %")</f>
        <v>- 0,4 %</v>
      </c>
      <c r="D182" s="1" t="str">
        <f>IFERROR(__xludf.DUMMYFUNCTION("""COMPUTED_VALUE"""),"- 1,2 %")</f>
        <v>- 1,2 %</v>
      </c>
      <c r="E182" s="1" t="str">
        <f>IFERROR(__xludf.DUMMYFUNCTION("""COMPUTED_VALUE"""),"- 2,5 %")</f>
        <v>- 2,5 %</v>
      </c>
    </row>
    <row r="183">
      <c r="A183" s="2">
        <f>IFERROR(__xludf.DUMMYFUNCTION("""COMPUTED_VALUE"""),40664.0)</f>
        <v>40664</v>
      </c>
      <c r="B183" s="1" t="str">
        <f>IFERROR(__xludf.DUMMYFUNCTION("""COMPUTED_VALUE"""),"3.459 €/m2")</f>
        <v>3.459 €/m2</v>
      </c>
      <c r="C183" s="1" t="str">
        <f>IFERROR(__xludf.DUMMYFUNCTION("""COMPUTED_VALUE"""),"- 0,9 %")</f>
        <v>- 0,9 %</v>
      </c>
      <c r="D183" s="1" t="str">
        <f>IFERROR(__xludf.DUMMYFUNCTION("""COMPUTED_VALUE"""),"+ 0,1 %")</f>
        <v>+ 0,1 %</v>
      </c>
      <c r="E183" s="1" t="str">
        <f>IFERROR(__xludf.DUMMYFUNCTION("""COMPUTED_VALUE"""),"- 4,4 %")</f>
        <v>- 4,4 %</v>
      </c>
    </row>
    <row r="184">
      <c r="A184" s="2">
        <f>IFERROR(__xludf.DUMMYFUNCTION("""COMPUTED_VALUE"""),40634.0)</f>
        <v>40634</v>
      </c>
      <c r="B184" s="1" t="str">
        <f>IFERROR(__xludf.DUMMYFUNCTION("""COMPUTED_VALUE"""),"3.492 €/m2")</f>
        <v>3.492 €/m2</v>
      </c>
      <c r="C184" s="1" t="str">
        <f>IFERROR(__xludf.DUMMYFUNCTION("""COMPUTED_VALUE"""),"+ 0,1 %")</f>
        <v>+ 0,1 %</v>
      </c>
      <c r="D184" s="1" t="str">
        <f>IFERROR(__xludf.DUMMYFUNCTION("""COMPUTED_VALUE"""),"+ 1,0 %")</f>
        <v>+ 1,0 %</v>
      </c>
      <c r="E184" s="1" t="str">
        <f>IFERROR(__xludf.DUMMYFUNCTION("""COMPUTED_VALUE"""),"- 1,2 %")</f>
        <v>- 1,2 %</v>
      </c>
    </row>
    <row r="185">
      <c r="A185" s="2">
        <f>IFERROR(__xludf.DUMMYFUNCTION("""COMPUTED_VALUE"""),40603.0)</f>
        <v>40603</v>
      </c>
      <c r="B185" s="1" t="str">
        <f>IFERROR(__xludf.DUMMYFUNCTION("""COMPUTED_VALUE"""),"3.488 €/m2")</f>
        <v>3.488 €/m2</v>
      </c>
      <c r="C185" s="1" t="str">
        <f>IFERROR(__xludf.DUMMYFUNCTION("""COMPUTED_VALUE"""),"+ 0,9 %")</f>
        <v>+ 0,9 %</v>
      </c>
      <c r="D185" s="1" t="str">
        <f>IFERROR(__xludf.DUMMYFUNCTION("""COMPUTED_VALUE"""),"+ 1,2 %")</f>
        <v>+ 1,2 %</v>
      </c>
      <c r="E185" s="1" t="str">
        <f>IFERROR(__xludf.DUMMYFUNCTION("""COMPUTED_VALUE"""),"- 1,2 %")</f>
        <v>- 1,2 %</v>
      </c>
    </row>
    <row r="186">
      <c r="A186" s="2">
        <f>IFERROR(__xludf.DUMMYFUNCTION("""COMPUTED_VALUE"""),40575.0)</f>
        <v>40575</v>
      </c>
      <c r="B186" s="1" t="str">
        <f>IFERROR(__xludf.DUMMYFUNCTION("""COMPUTED_VALUE"""),"3.457 €/m2")</f>
        <v>3.457 €/m2</v>
      </c>
      <c r="C186" s="1" t="str">
        <f>IFERROR(__xludf.DUMMYFUNCTION("""COMPUTED_VALUE"""),"0,0 %")</f>
        <v>0,0 %</v>
      </c>
      <c r="D186" s="1" t="str">
        <f>IFERROR(__xludf.DUMMYFUNCTION("""COMPUTED_VALUE"""),"- 0,1 %")</f>
        <v>- 0,1 %</v>
      </c>
      <c r="E186" s="1" t="str">
        <f>IFERROR(__xludf.DUMMYFUNCTION("""COMPUTED_VALUE"""),"- 2,8 %")</f>
        <v>- 2,8 %</v>
      </c>
    </row>
    <row r="187">
      <c r="A187" s="2">
        <f>IFERROR(__xludf.DUMMYFUNCTION("""COMPUTED_VALUE"""),40544.0)</f>
        <v>40544</v>
      </c>
      <c r="B187" s="1" t="str">
        <f>IFERROR(__xludf.DUMMYFUNCTION("""COMPUTED_VALUE"""),"3.458 €/m2")</f>
        <v>3.458 €/m2</v>
      </c>
      <c r="C187" s="1" t="str">
        <f>IFERROR(__xludf.DUMMYFUNCTION("""COMPUTED_VALUE"""),"+ 0,3 %")</f>
        <v>+ 0,3 %</v>
      </c>
      <c r="D187" s="1" t="str">
        <f>IFERROR(__xludf.DUMMYFUNCTION("""COMPUTED_VALUE"""),"- 0,2 %")</f>
        <v>- 0,2 %</v>
      </c>
      <c r="E187" s="1" t="str">
        <f>IFERROR(__xludf.DUMMYFUNCTION("""COMPUTED_VALUE"""),"- 2,2 %")</f>
        <v>- 2,2 %</v>
      </c>
    </row>
    <row r="188">
      <c r="A188" s="2">
        <f>IFERROR(__xludf.DUMMYFUNCTION("""COMPUTED_VALUE"""),40513.0)</f>
        <v>40513</v>
      </c>
      <c r="B188" s="1" t="str">
        <f>IFERROR(__xludf.DUMMYFUNCTION("""COMPUTED_VALUE"""),"3.447 €/m2")</f>
        <v>3.447 €/m2</v>
      </c>
      <c r="C188" s="1" t="str">
        <f>IFERROR(__xludf.DUMMYFUNCTION("""COMPUTED_VALUE"""),"- 0,5 %")</f>
        <v>- 0,5 %</v>
      </c>
      <c r="D188" s="1" t="str">
        <f>IFERROR(__xludf.DUMMYFUNCTION("""COMPUTED_VALUE"""),"- 0,7 %")</f>
        <v>- 0,7 %</v>
      </c>
      <c r="E188" s="1" t="str">
        <f>IFERROR(__xludf.DUMMYFUNCTION("""COMPUTED_VALUE"""),"- 3,5 %")</f>
        <v>- 3,5 %</v>
      </c>
    </row>
    <row r="189">
      <c r="A189" s="2">
        <f>IFERROR(__xludf.DUMMYFUNCTION("""COMPUTED_VALUE"""),40483.0)</f>
        <v>40483</v>
      </c>
      <c r="B189" s="1" t="str">
        <f>IFERROR(__xludf.DUMMYFUNCTION("""COMPUTED_VALUE"""),"3.463 €/m2")</f>
        <v>3.463 €/m2</v>
      </c>
      <c r="C189" s="1" t="str">
        <f>IFERROR(__xludf.DUMMYFUNCTION("""COMPUTED_VALUE"""),"- 0,1 %")</f>
        <v>- 0,1 %</v>
      </c>
      <c r="D189" s="1" t="str">
        <f>IFERROR(__xludf.DUMMYFUNCTION("""COMPUTED_VALUE"""),"- 1,6 %")</f>
        <v>- 1,6 %</v>
      </c>
      <c r="E189" s="1" t="str">
        <f>IFERROR(__xludf.DUMMYFUNCTION("""COMPUTED_VALUE"""),"- 2,5 %")</f>
        <v>- 2,5 %</v>
      </c>
    </row>
    <row r="190">
      <c r="A190" s="2">
        <f>IFERROR(__xludf.DUMMYFUNCTION("""COMPUTED_VALUE"""),40452.0)</f>
        <v>40452</v>
      </c>
      <c r="B190" s="1" t="str">
        <f>IFERROR(__xludf.DUMMYFUNCTION("""COMPUTED_VALUE"""),"3.467 €/m2")</f>
        <v>3.467 €/m2</v>
      </c>
      <c r="C190" s="1" t="str">
        <f>IFERROR(__xludf.DUMMYFUNCTION("""COMPUTED_VALUE"""),"- 0,1 %")</f>
        <v>- 0,1 %</v>
      </c>
      <c r="D190" s="1" t="str">
        <f>IFERROR(__xludf.DUMMYFUNCTION("""COMPUTED_VALUE"""),"- 2,6 %")</f>
        <v>- 2,6 %</v>
      </c>
      <c r="E190" s="1" t="str">
        <f>IFERROR(__xludf.DUMMYFUNCTION("""COMPUTED_VALUE"""),"- 4,6 %")</f>
        <v>- 4,6 %</v>
      </c>
    </row>
    <row r="191">
      <c r="A191" s="2">
        <f>IFERROR(__xludf.DUMMYFUNCTION("""COMPUTED_VALUE"""),40422.0)</f>
        <v>40422</v>
      </c>
      <c r="B191" s="1" t="str">
        <f>IFERROR(__xludf.DUMMYFUNCTION("""COMPUTED_VALUE"""),"3.471 €/m2")</f>
        <v>3.471 €/m2</v>
      </c>
      <c r="C191" s="1" t="str">
        <f>IFERROR(__xludf.DUMMYFUNCTION("""COMPUTED_VALUE"""),"- 1,3 %")</f>
        <v>- 1,3 %</v>
      </c>
      <c r="D191" s="1" t="str">
        <f>IFERROR(__xludf.DUMMYFUNCTION("""COMPUTED_VALUE"""),"- 1,8 %")</f>
        <v>- 1,8 %</v>
      </c>
      <c r="E191" s="1" t="str">
        <f>IFERROR(__xludf.DUMMYFUNCTION("""COMPUTED_VALUE"""),"- 3,1 %")</f>
        <v>- 3,1 %</v>
      </c>
    </row>
    <row r="192">
      <c r="A192" s="2">
        <f>IFERROR(__xludf.DUMMYFUNCTION("""COMPUTED_VALUE"""),40391.0)</f>
        <v>40391</v>
      </c>
      <c r="B192" s="1" t="str">
        <f>IFERROR(__xludf.DUMMYFUNCTION("""COMPUTED_VALUE"""),"3.518 €/m2")</f>
        <v>3.518 €/m2</v>
      </c>
      <c r="C192" s="1" t="str">
        <f>IFERROR(__xludf.DUMMYFUNCTION("""COMPUTED_VALUE"""),"- 1,2 %")</f>
        <v>- 1,2 %</v>
      </c>
      <c r="D192" s="1" t="str">
        <f>IFERROR(__xludf.DUMMYFUNCTION("""COMPUTED_VALUE"""),"- 2,8 %")</f>
        <v>- 2,8 %</v>
      </c>
      <c r="E192" s="1" t="str">
        <f>IFERROR(__xludf.DUMMYFUNCTION("""COMPUTED_VALUE"""),"- 2,1 %")</f>
        <v>- 2,1 %</v>
      </c>
    </row>
    <row r="193">
      <c r="A193" s="2">
        <f>IFERROR(__xludf.DUMMYFUNCTION("""COMPUTED_VALUE"""),40360.0)</f>
        <v>40360</v>
      </c>
      <c r="B193" s="1" t="str">
        <f>IFERROR(__xludf.DUMMYFUNCTION("""COMPUTED_VALUE"""),"3.560 €/m2")</f>
        <v>3.560 €/m2</v>
      </c>
      <c r="C193" s="1" t="str">
        <f>IFERROR(__xludf.DUMMYFUNCTION("""COMPUTED_VALUE"""),"+ 0,8 %")</f>
        <v>+ 0,8 %</v>
      </c>
      <c r="D193" s="1" t="str">
        <f>IFERROR(__xludf.DUMMYFUNCTION("""COMPUTED_VALUE"""),"+ 0,7 %")</f>
        <v>+ 0,7 %</v>
      </c>
      <c r="E193" s="1" t="str">
        <f>IFERROR(__xludf.DUMMYFUNCTION("""COMPUTED_VALUE"""),"- 2,7 %")</f>
        <v>- 2,7 %</v>
      </c>
    </row>
    <row r="194">
      <c r="A194" s="2">
        <f>IFERROR(__xludf.DUMMYFUNCTION("""COMPUTED_VALUE"""),40330.0)</f>
        <v>40330</v>
      </c>
      <c r="B194" s="1" t="str">
        <f>IFERROR(__xludf.DUMMYFUNCTION("""COMPUTED_VALUE"""),"3.534 €/m2")</f>
        <v>3.534 €/m2</v>
      </c>
      <c r="C194" s="1" t="str">
        <f>IFERROR(__xludf.DUMMYFUNCTION("""COMPUTED_VALUE"""),"- 2,4 %")</f>
        <v>- 2,4 %</v>
      </c>
      <c r="D194" s="1" t="str">
        <f>IFERROR(__xludf.DUMMYFUNCTION("""COMPUTED_VALUE"""),"+ 0,1 %")</f>
        <v>+ 0,1 %</v>
      </c>
      <c r="E194" s="1" t="str">
        <f>IFERROR(__xludf.DUMMYFUNCTION("""COMPUTED_VALUE"""),"- 1,4 %")</f>
        <v>- 1,4 %</v>
      </c>
    </row>
    <row r="195">
      <c r="A195" s="2">
        <f>IFERROR(__xludf.DUMMYFUNCTION("""COMPUTED_VALUE"""),40299.0)</f>
        <v>40299</v>
      </c>
      <c r="B195" s="1" t="str">
        <f>IFERROR(__xludf.DUMMYFUNCTION("""COMPUTED_VALUE"""),"3.619 €/m2")</f>
        <v>3.619 €/m2</v>
      </c>
      <c r="C195" s="1" t="str">
        <f>IFERROR(__xludf.DUMMYFUNCTION("""COMPUTED_VALUE"""),"+ 2,4 %")</f>
        <v>+ 2,4 %</v>
      </c>
      <c r="D195" s="1" t="str">
        <f>IFERROR(__xludf.DUMMYFUNCTION("""COMPUTED_VALUE"""),"+ 1,8 %")</f>
        <v>+ 1,8 %</v>
      </c>
      <c r="E195" s="1" t="str">
        <f>IFERROR(__xludf.DUMMYFUNCTION("""COMPUTED_VALUE"""),"- 2,1 %")</f>
        <v>- 2,1 %</v>
      </c>
    </row>
    <row r="196">
      <c r="A196" s="2">
        <f>IFERROR(__xludf.DUMMYFUNCTION("""COMPUTED_VALUE"""),40269.0)</f>
        <v>40269</v>
      </c>
      <c r="B196" s="1" t="str">
        <f>IFERROR(__xludf.DUMMYFUNCTION("""COMPUTED_VALUE"""),"3.535 €/m2")</f>
        <v>3.535 €/m2</v>
      </c>
      <c r="C196" s="1" t="str">
        <f>IFERROR(__xludf.DUMMYFUNCTION("""COMPUTED_VALUE"""),"+ 0,1 %")</f>
        <v>+ 0,1 %</v>
      </c>
      <c r="D196" s="1" t="str">
        <f>IFERROR(__xludf.DUMMYFUNCTION("""COMPUTED_VALUE"""),"0,0 %")</f>
        <v>0,0 %</v>
      </c>
      <c r="E196" s="1" t="str">
        <f>IFERROR(__xludf.DUMMYFUNCTION("""COMPUTED_VALUE"""),"- 2,7 %")</f>
        <v>- 2,7 %</v>
      </c>
    </row>
    <row r="197">
      <c r="A197" s="2">
        <f>IFERROR(__xludf.DUMMYFUNCTION("""COMPUTED_VALUE"""),40238.0)</f>
        <v>40238</v>
      </c>
      <c r="B197" s="1" t="str">
        <f>IFERROR(__xludf.DUMMYFUNCTION("""COMPUTED_VALUE"""),"3.531 €/m2")</f>
        <v>3.531 €/m2</v>
      </c>
      <c r="C197" s="1" t="str">
        <f>IFERROR(__xludf.DUMMYFUNCTION("""COMPUTED_VALUE"""),"- 0,7 %")</f>
        <v>- 0,7 %</v>
      </c>
      <c r="D197" s="1" t="str">
        <f>IFERROR(__xludf.DUMMYFUNCTION("""COMPUTED_VALUE"""),"- 1,2 %")</f>
        <v>- 1,2 %</v>
      </c>
      <c r="E197" s="1" t="str">
        <f>IFERROR(__xludf.DUMMYFUNCTION("""COMPUTED_VALUE"""),"- 1,6 %")</f>
        <v>- 1,6 %</v>
      </c>
    </row>
    <row r="198">
      <c r="A198" s="2">
        <f>IFERROR(__xludf.DUMMYFUNCTION("""COMPUTED_VALUE"""),40210.0)</f>
        <v>40210</v>
      </c>
      <c r="B198" s="1" t="str">
        <f>IFERROR(__xludf.DUMMYFUNCTION("""COMPUTED_VALUE"""),"3.556 €/m2")</f>
        <v>3.556 €/m2</v>
      </c>
      <c r="C198" s="1" t="str">
        <f>IFERROR(__xludf.DUMMYFUNCTION("""COMPUTED_VALUE"""),"+ 0,6 %")</f>
        <v>+ 0,6 %</v>
      </c>
      <c r="D198" s="1" t="str">
        <f>IFERROR(__xludf.DUMMYFUNCTION("""COMPUTED_VALUE"""),"+ 0,1 %")</f>
        <v>+ 0,1 %</v>
      </c>
      <c r="E198" s="1" t="str">
        <f>IFERROR(__xludf.DUMMYFUNCTION("""COMPUTED_VALUE"""),"+ 1,3 %")</f>
        <v>+ 1,3 %</v>
      </c>
    </row>
    <row r="199">
      <c r="A199" s="2">
        <f>IFERROR(__xludf.DUMMYFUNCTION("""COMPUTED_VALUE"""),40179.0)</f>
        <v>40179</v>
      </c>
      <c r="B199" s="1" t="str">
        <f>IFERROR(__xludf.DUMMYFUNCTION("""COMPUTED_VALUE"""),"3.535 €/m2")</f>
        <v>3.535 €/m2</v>
      </c>
      <c r="C199" s="1" t="str">
        <f>IFERROR(__xludf.DUMMYFUNCTION("""COMPUTED_VALUE"""),"- 1,1 %")</f>
        <v>- 1,1 %</v>
      </c>
      <c r="D199" s="1" t="str">
        <f>IFERROR(__xludf.DUMMYFUNCTION("""COMPUTED_VALUE"""),"- 2,7 %")</f>
        <v>- 2,7 %</v>
      </c>
      <c r="E199" s="1" t="str">
        <f>IFERROR(__xludf.DUMMYFUNCTION("""COMPUTED_VALUE"""),"+ 2,2 %")</f>
        <v>+ 2,2 %</v>
      </c>
    </row>
    <row r="200">
      <c r="A200" s="2">
        <f>IFERROR(__xludf.DUMMYFUNCTION("""COMPUTED_VALUE"""),40148.0)</f>
        <v>40148</v>
      </c>
      <c r="B200" s="1" t="str">
        <f>IFERROR(__xludf.DUMMYFUNCTION("""COMPUTED_VALUE"""),"3.573 €/m2")</f>
        <v>3.573 €/m2</v>
      </c>
      <c r="C200" s="1" t="str">
        <f>IFERROR(__xludf.DUMMYFUNCTION("""COMPUTED_VALUE"""),"+ 0,6 %")</f>
        <v>+ 0,6 %</v>
      </c>
      <c r="D200" s="1" t="str">
        <f>IFERROR(__xludf.DUMMYFUNCTION("""COMPUTED_VALUE"""),"- 0,3 %")</f>
        <v>- 0,3 %</v>
      </c>
      <c r="E200" s="1" t="str">
        <f>IFERROR(__xludf.DUMMYFUNCTION("""COMPUTED_VALUE"""),"+ 2,2 %")</f>
        <v>+ 2,2 %</v>
      </c>
    </row>
    <row r="201">
      <c r="A201" s="2">
        <f>IFERROR(__xludf.DUMMYFUNCTION("""COMPUTED_VALUE"""),40118.0)</f>
        <v>40118</v>
      </c>
      <c r="B201" s="1" t="str">
        <f>IFERROR(__xludf.DUMMYFUNCTION("""COMPUTED_VALUE"""),"3.552 €/m2")</f>
        <v>3.552 €/m2</v>
      </c>
      <c r="C201" s="1" t="str">
        <f>IFERROR(__xludf.DUMMYFUNCTION("""COMPUTED_VALUE"""),"- 2,2 %")</f>
        <v>- 2,2 %</v>
      </c>
      <c r="D201" s="1" t="str">
        <f>IFERROR(__xludf.DUMMYFUNCTION("""COMPUTED_VALUE"""),"- 1,2 %")</f>
        <v>- 1,2 %</v>
      </c>
      <c r="E201" s="1" t="str">
        <f>IFERROR(__xludf.DUMMYFUNCTION("""COMPUTED_VALUE"""),"- 1,7 %")</f>
        <v>- 1,7 %</v>
      </c>
    </row>
    <row r="202">
      <c r="A202" s="2">
        <f>IFERROR(__xludf.DUMMYFUNCTION("""COMPUTED_VALUE"""),40087.0)</f>
        <v>40087</v>
      </c>
      <c r="B202" s="1" t="str">
        <f>IFERROR(__xludf.DUMMYFUNCTION("""COMPUTED_VALUE"""),"3.633 €/m2")</f>
        <v>3.633 €/m2</v>
      </c>
      <c r="C202" s="1" t="str">
        <f>IFERROR(__xludf.DUMMYFUNCTION("""COMPUTED_VALUE"""),"+ 1,4 %")</f>
        <v>+ 1,4 %</v>
      </c>
      <c r="D202" s="1" t="str">
        <f>IFERROR(__xludf.DUMMYFUNCTION("""COMPUTED_VALUE"""),"- 0,7 %")</f>
        <v>- 0,7 %</v>
      </c>
      <c r="E202" s="1" t="str">
        <f>IFERROR(__xludf.DUMMYFUNCTION("""COMPUTED_VALUE"""),"+ 1,5 %")</f>
        <v>+ 1,5 %</v>
      </c>
    </row>
    <row r="203">
      <c r="A203" s="2">
        <f>IFERROR(__xludf.DUMMYFUNCTION("""COMPUTED_VALUE"""),40057.0)</f>
        <v>40057</v>
      </c>
      <c r="B203" s="1" t="str">
        <f>IFERROR(__xludf.DUMMYFUNCTION("""COMPUTED_VALUE"""),"3.584 €/m2")</f>
        <v>3.584 €/m2</v>
      </c>
      <c r="C203" s="1" t="str">
        <f>IFERROR(__xludf.DUMMYFUNCTION("""COMPUTED_VALUE"""),"- 0,3 %")</f>
        <v>- 0,3 %</v>
      </c>
      <c r="D203" s="1" t="str">
        <f>IFERROR(__xludf.DUMMYFUNCTION("""COMPUTED_VALUE"""),"0,0 %")</f>
        <v>0,0 %</v>
      </c>
      <c r="E203" s="1" t="str">
        <f>IFERROR(__xludf.DUMMYFUNCTION("""COMPUTED_VALUE"""),"+ 0,7 %")</f>
        <v>+ 0,7 %</v>
      </c>
    </row>
    <row r="204">
      <c r="A204" s="2">
        <f>IFERROR(__xludf.DUMMYFUNCTION("""COMPUTED_VALUE"""),40026.0)</f>
        <v>40026</v>
      </c>
      <c r="B204" s="1" t="str">
        <f>IFERROR(__xludf.DUMMYFUNCTION("""COMPUTED_VALUE"""),"3.594 €/m2")</f>
        <v>3.594 €/m2</v>
      </c>
      <c r="C204" s="1" t="str">
        <f>IFERROR(__xludf.DUMMYFUNCTION("""COMPUTED_VALUE"""),"- 1,8 %")</f>
        <v>- 1,8 %</v>
      </c>
      <c r="D204" s="1" t="str">
        <f>IFERROR(__xludf.DUMMYFUNCTION("""COMPUTED_VALUE"""),"- 2,8 %")</f>
        <v>- 2,8 %</v>
      </c>
      <c r="E204" s="1" t="str">
        <f>IFERROR(__xludf.DUMMYFUNCTION("""COMPUTED_VALUE"""),"+ 2,3 %")</f>
        <v>+ 2,3 %</v>
      </c>
    </row>
    <row r="205">
      <c r="A205" s="2">
        <f>IFERROR(__xludf.DUMMYFUNCTION("""COMPUTED_VALUE"""),39995.0)</f>
        <v>39995</v>
      </c>
      <c r="B205" s="1" t="str">
        <f>IFERROR(__xludf.DUMMYFUNCTION("""COMPUTED_VALUE"""),"3.659 €/m2")</f>
        <v>3.659 €/m2</v>
      </c>
      <c r="C205" s="1" t="str">
        <f>IFERROR(__xludf.DUMMYFUNCTION("""COMPUTED_VALUE"""),"+ 2,1 %")</f>
        <v>+ 2,1 %</v>
      </c>
      <c r="D205" s="1" t="str">
        <f>IFERROR(__xludf.DUMMYFUNCTION("""COMPUTED_VALUE"""),"+ 0,7 %")</f>
        <v>+ 0,7 %</v>
      </c>
      <c r="E205" s="1" t="str">
        <f>IFERROR(__xludf.DUMMYFUNCTION("""COMPUTED_VALUE"""),"+ 4,7 %")</f>
        <v>+ 4,7 %</v>
      </c>
    </row>
    <row r="206">
      <c r="A206" s="2">
        <f>IFERROR(__xludf.DUMMYFUNCTION("""COMPUTED_VALUE"""),39965.0)</f>
        <v>39965</v>
      </c>
      <c r="B206" s="1" t="str">
        <f>IFERROR(__xludf.DUMMYFUNCTION("""COMPUTED_VALUE"""),"3.583 €/m2")</f>
        <v>3.583 €/m2</v>
      </c>
      <c r="C206" s="1" t="str">
        <f>IFERROR(__xludf.DUMMYFUNCTION("""COMPUTED_VALUE"""),"- 3,1 %")</f>
        <v>- 3,1 %</v>
      </c>
      <c r="D206" s="1" t="str">
        <f>IFERROR(__xludf.DUMMYFUNCTION("""COMPUTED_VALUE"""),"- 0,1 %")</f>
        <v>- 0,1 %</v>
      </c>
      <c r="E206" s="1" t="str">
        <f>IFERROR(__xludf.DUMMYFUNCTION("""COMPUTED_VALUE"""),"+ 1,4 %")</f>
        <v>+ 1,4 %</v>
      </c>
    </row>
    <row r="207">
      <c r="A207" s="2">
        <f>IFERROR(__xludf.DUMMYFUNCTION("""COMPUTED_VALUE"""),39934.0)</f>
        <v>39934</v>
      </c>
      <c r="B207" s="1" t="str">
        <f>IFERROR(__xludf.DUMMYFUNCTION("""COMPUTED_VALUE"""),"3.699 €/m2")</f>
        <v>3.699 €/m2</v>
      </c>
      <c r="C207" s="1" t="str">
        <f>IFERROR(__xludf.DUMMYFUNCTION("""COMPUTED_VALUE"""),"+ 1,8 %")</f>
        <v>+ 1,8 %</v>
      </c>
      <c r="D207" s="1" t="str">
        <f>IFERROR(__xludf.DUMMYFUNCTION("""COMPUTED_VALUE"""),"+ 5,3 %")</f>
        <v>+ 5,3 %</v>
      </c>
      <c r="E207" s="1" t="str">
        <f>IFERROR(__xludf.DUMMYFUNCTION("""COMPUTED_VALUE"""),"+ 5,3 %")</f>
        <v>+ 5,3 %</v>
      </c>
    </row>
    <row r="208">
      <c r="A208" s="2">
        <f>IFERROR(__xludf.DUMMYFUNCTION("""COMPUTED_VALUE"""),39904.0)</f>
        <v>39904</v>
      </c>
      <c r="B208" s="1" t="str">
        <f>IFERROR(__xludf.DUMMYFUNCTION("""COMPUTED_VALUE"""),"3.634 €/m2")</f>
        <v>3.634 €/m2</v>
      </c>
      <c r="C208" s="1" t="str">
        <f>IFERROR(__xludf.DUMMYFUNCTION("""COMPUTED_VALUE"""),"+ 1,3 %")</f>
        <v>+ 1,3 %</v>
      </c>
      <c r="D208" s="1" t="str">
        <f>IFERROR(__xludf.DUMMYFUNCTION("""COMPUTED_VALUE"""),"+ 5,1 %")</f>
        <v>+ 5,1 %</v>
      </c>
      <c r="E208" s="1" t="str">
        <f>IFERROR(__xludf.DUMMYFUNCTION("""COMPUTED_VALUE"""),"+ 1,9 %")</f>
        <v>+ 1,9 %</v>
      </c>
    </row>
    <row r="209">
      <c r="A209" s="2">
        <f>IFERROR(__xludf.DUMMYFUNCTION("""COMPUTED_VALUE"""),39873.0)</f>
        <v>39873</v>
      </c>
      <c r="B209" s="1" t="str">
        <f>IFERROR(__xludf.DUMMYFUNCTION("""COMPUTED_VALUE"""),"3.588 €/m2")</f>
        <v>3.588 €/m2</v>
      </c>
      <c r="C209" s="1" t="str">
        <f>IFERROR(__xludf.DUMMYFUNCTION("""COMPUTED_VALUE"""),"+ 2,2 %")</f>
        <v>+ 2,2 %</v>
      </c>
      <c r="D209" s="1" t="str">
        <f>IFERROR(__xludf.DUMMYFUNCTION("""COMPUTED_VALUE"""),"+ 2,7 %")</f>
        <v>+ 2,7 %</v>
      </c>
      <c r="E209" s="1" t="str">
        <f>IFERROR(__xludf.DUMMYFUNCTION("""COMPUTED_VALUE"""),"+ 0,7 %")</f>
        <v>+ 0,7 %</v>
      </c>
    </row>
    <row r="210">
      <c r="A210" s="2">
        <f>IFERROR(__xludf.DUMMYFUNCTION("""COMPUTED_VALUE"""),39845.0)</f>
        <v>39845</v>
      </c>
      <c r="B210" s="1" t="str">
        <f>IFERROR(__xludf.DUMMYFUNCTION("""COMPUTED_VALUE"""),"3.512 €/m2")</f>
        <v>3.512 €/m2</v>
      </c>
      <c r="C210" s="1" t="str">
        <f>IFERROR(__xludf.DUMMYFUNCTION("""COMPUTED_VALUE"""),"+ 1,5 %")</f>
        <v>+ 1,5 %</v>
      </c>
      <c r="D210" s="1" t="str">
        <f>IFERROR(__xludf.DUMMYFUNCTION("""COMPUTED_VALUE"""),"- 2,8 %")</f>
        <v>- 2,8 %</v>
      </c>
      <c r="E210" s="1" t="str">
        <f>IFERROR(__xludf.DUMMYFUNCTION("""COMPUTED_VALUE"""),"- 1,7 %")</f>
        <v>- 1,7 %</v>
      </c>
    </row>
    <row r="211">
      <c r="A211" s="2">
        <f>IFERROR(__xludf.DUMMYFUNCTION("""COMPUTED_VALUE"""),39814.0)</f>
        <v>39814</v>
      </c>
      <c r="B211" s="1" t="str">
        <f>IFERROR(__xludf.DUMMYFUNCTION("""COMPUTED_VALUE"""),"3.460 €/m2")</f>
        <v>3.460 €/m2</v>
      </c>
      <c r="C211" s="1" t="str">
        <f>IFERROR(__xludf.DUMMYFUNCTION("""COMPUTED_VALUE"""),"- 1,0 %")</f>
        <v>- 1,0 %</v>
      </c>
      <c r="D211" s="1" t="str">
        <f>IFERROR(__xludf.DUMMYFUNCTION("""COMPUTED_VALUE"""),"- 3,3 %")</f>
        <v>- 3,3 %</v>
      </c>
      <c r="E211" s="1" t="str">
        <f>IFERROR(__xludf.DUMMYFUNCTION("""COMPUTED_VALUE"""),"- 0,5 %")</f>
        <v>- 0,5 %</v>
      </c>
    </row>
    <row r="212">
      <c r="A212" s="2">
        <f>IFERROR(__xludf.DUMMYFUNCTION("""COMPUTED_VALUE"""),39783.0)</f>
        <v>39783</v>
      </c>
      <c r="B212" s="1" t="str">
        <f>IFERROR(__xludf.DUMMYFUNCTION("""COMPUTED_VALUE"""),"3.495 €/m2")</f>
        <v>3.495 €/m2</v>
      </c>
      <c r="C212" s="1" t="str">
        <f>IFERROR(__xludf.DUMMYFUNCTION("""COMPUTED_VALUE"""),"- 3,3 %")</f>
        <v>- 3,3 %</v>
      </c>
      <c r="D212" s="1" t="str">
        <f>IFERROR(__xludf.DUMMYFUNCTION("""COMPUTED_VALUE"""),"- 1,8 %")</f>
        <v>- 1,8 %</v>
      </c>
      <c r="E212" s="1" t="str">
        <f>IFERROR(__xludf.DUMMYFUNCTION("""COMPUTED_VALUE"""),"- 9,4 %")</f>
        <v>- 9,4 %</v>
      </c>
    </row>
    <row r="213">
      <c r="A213" s="2">
        <f>IFERROR(__xludf.DUMMYFUNCTION("""COMPUTED_VALUE"""),39753.0)</f>
        <v>39753</v>
      </c>
      <c r="B213" s="1" t="str">
        <f>IFERROR(__xludf.DUMMYFUNCTION("""COMPUTED_VALUE"""),"3.612 €/m2")</f>
        <v>3.612 €/m2</v>
      </c>
      <c r="C213" s="1" t="str">
        <f>IFERROR(__xludf.DUMMYFUNCTION("""COMPUTED_VALUE"""),"+ 0,9 %")</f>
        <v>+ 0,9 %</v>
      </c>
      <c r="D213" s="1" t="str">
        <f>IFERROR(__xludf.DUMMYFUNCTION("""COMPUTED_VALUE"""),"+ 2,9 %")</f>
        <v>+ 2,9 %</v>
      </c>
      <c r="E213" s="1" t="str">
        <f>IFERROR(__xludf.DUMMYFUNCTION("""COMPUTED_VALUE"""),"- 0,5 %")</f>
        <v>- 0,5 %</v>
      </c>
    </row>
    <row r="214">
      <c r="A214" s="2">
        <f>IFERROR(__xludf.DUMMYFUNCTION("""COMPUTED_VALUE"""),39722.0)</f>
        <v>39722</v>
      </c>
      <c r="B214" s="1" t="str">
        <f>IFERROR(__xludf.DUMMYFUNCTION("""COMPUTED_VALUE"""),"3.579 €/m2")</f>
        <v>3.579 €/m2</v>
      </c>
      <c r="C214" s="1" t="str">
        <f>IFERROR(__xludf.DUMMYFUNCTION("""COMPUTED_VALUE"""),"+ 0,6 %")</f>
        <v>+ 0,6 %</v>
      </c>
      <c r="D214" s="1" t="str">
        <f>IFERROR(__xludf.DUMMYFUNCTION("""COMPUTED_VALUE"""),"+ 2,4 %")</f>
        <v>+ 2,4 %</v>
      </c>
      <c r="E214" s="1" t="str">
        <f>IFERROR(__xludf.DUMMYFUNCTION("""COMPUTED_VALUE"""),"+ 1,9 %")</f>
        <v>+ 1,9 %</v>
      </c>
    </row>
    <row r="215">
      <c r="A215" s="2">
        <f>IFERROR(__xludf.DUMMYFUNCTION("""COMPUTED_VALUE"""),39692.0)</f>
        <v>39692</v>
      </c>
      <c r="B215" s="1" t="str">
        <f>IFERROR(__xludf.DUMMYFUNCTION("""COMPUTED_VALUE"""),"3.558 €/m2")</f>
        <v>3.558 €/m2</v>
      </c>
      <c r="C215" s="1" t="str">
        <f>IFERROR(__xludf.DUMMYFUNCTION("""COMPUTED_VALUE"""),"+ 1,3 %")</f>
        <v>+ 1,3 %</v>
      </c>
      <c r="D215" s="1" t="str">
        <f>IFERROR(__xludf.DUMMYFUNCTION("""COMPUTED_VALUE"""),"+ 0,7 %")</f>
        <v>+ 0,7 %</v>
      </c>
      <c r="E215" s="1" t="str">
        <f>IFERROR(__xludf.DUMMYFUNCTION("""COMPUTED_VALUE"""),"n.d.")</f>
        <v>n.d.</v>
      </c>
    </row>
    <row r="216">
      <c r="A216" s="2">
        <f>IFERROR(__xludf.DUMMYFUNCTION("""COMPUTED_VALUE"""),39661.0)</f>
        <v>39661</v>
      </c>
      <c r="B216" s="1" t="str">
        <f>IFERROR(__xludf.DUMMYFUNCTION("""COMPUTED_VALUE"""),"3.512 €/m2")</f>
        <v>3.512 €/m2</v>
      </c>
      <c r="C216" s="1" t="str">
        <f>IFERROR(__xludf.DUMMYFUNCTION("""COMPUTED_VALUE"""),"+ 0,5 %")</f>
        <v>+ 0,5 %</v>
      </c>
      <c r="D216" s="1" t="str">
        <f>IFERROR(__xludf.DUMMYFUNCTION("""COMPUTED_VALUE"""),"0,0 %")</f>
        <v>0,0 %</v>
      </c>
      <c r="E216" s="1" t="str">
        <f>IFERROR(__xludf.DUMMYFUNCTION("""COMPUTED_VALUE"""),"n.d.")</f>
        <v>n.d.</v>
      </c>
    </row>
    <row r="217">
      <c r="A217" s="2">
        <f>IFERROR(__xludf.DUMMYFUNCTION("""COMPUTED_VALUE"""),39630.0)</f>
        <v>39630</v>
      </c>
      <c r="B217" s="1" t="str">
        <f>IFERROR(__xludf.DUMMYFUNCTION("""COMPUTED_VALUE"""),"3.494 €/m2")</f>
        <v>3.494 €/m2</v>
      </c>
      <c r="C217" s="1" t="str">
        <f>IFERROR(__xludf.DUMMYFUNCTION("""COMPUTED_VALUE"""),"- 1,1 %")</f>
        <v>- 1,1 %</v>
      </c>
      <c r="D217" s="1" t="str">
        <f>IFERROR(__xludf.DUMMYFUNCTION("""COMPUTED_VALUE"""),"- 2,0 %")</f>
        <v>- 2,0 %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IFERROR(__xludf.DUMMYFUNCTION("""COMPUTED_VALUE"""),"3.534 €/m2")</f>
        <v>3.534 €/m2</v>
      </c>
      <c r="C218" s="1" t="str">
        <f>IFERROR(__xludf.DUMMYFUNCTION("""COMPUTED_VALUE"""),"+ 0,6 %")</f>
        <v>+ 0,6 %</v>
      </c>
      <c r="D218" s="1" t="str">
        <f>IFERROR(__xludf.DUMMYFUNCTION("""COMPUTED_VALUE"""),"- 0,8 %")</f>
        <v>- 0,8 %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IFERROR(__xludf.DUMMYFUNCTION("""COMPUTED_VALUE"""),"3.512 €/m2")</f>
        <v>3.512 €/m2</v>
      </c>
      <c r="C219" s="1" t="str">
        <f>IFERROR(__xludf.DUMMYFUNCTION("""COMPUTED_VALUE"""),"- 1,5 %")</f>
        <v>- 1,5 %</v>
      </c>
      <c r="D219" s="1" t="str">
        <f>IFERROR(__xludf.DUMMYFUNCTION("""COMPUTED_VALUE"""),"- 1,7 %")</f>
        <v>- 1,7 %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IFERROR(__xludf.DUMMYFUNCTION("""COMPUTED_VALUE"""),"3.566 €/m2")</f>
        <v>3.566 €/m2</v>
      </c>
      <c r="C220" s="1" t="str">
        <f>IFERROR(__xludf.DUMMYFUNCTION("""COMPUTED_VALUE"""),"+ 0,1 %")</f>
        <v>+ 0,1 %</v>
      </c>
      <c r="D220" s="1" t="str">
        <f>IFERROR(__xludf.DUMMYFUNCTION("""COMPUTED_VALUE"""),"+ 2,5 %")</f>
        <v>+ 2,5 %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IFERROR(__xludf.DUMMYFUNCTION("""COMPUTED_VALUE"""),"3.561 €/m2")</f>
        <v>3.561 €/m2</v>
      </c>
      <c r="C221" s="1" t="str">
        <f>IFERROR(__xludf.DUMMYFUNCTION("""COMPUTED_VALUE"""),"- 0,3 %")</f>
        <v>- 0,3 %</v>
      </c>
      <c r="D221" s="1" t="str">
        <f>IFERROR(__xludf.DUMMYFUNCTION("""COMPUTED_VALUE"""),"- 7,7 %")</f>
        <v>- 7,7 %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IFERROR(__xludf.DUMMYFUNCTION("""COMPUTED_VALUE"""),"3.573 €/m2")</f>
        <v>3.573 €/m2</v>
      </c>
      <c r="C222" s="1" t="str">
        <f>IFERROR(__xludf.DUMMYFUNCTION("""COMPUTED_VALUE"""),"+ 2,8 %")</f>
        <v>+ 2,8 %</v>
      </c>
      <c r="D222" s="1" t="str">
        <f>IFERROR(__xludf.DUMMYFUNCTION("""COMPUTED_VALUE"""),"- 1,5 %")</f>
        <v>- 1,5 %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IFERROR(__xludf.DUMMYFUNCTION("""COMPUTED_VALUE"""),"3.477 €/m2")</f>
        <v>3.477 €/m2</v>
      </c>
      <c r="C223" s="1" t="str">
        <f>IFERROR(__xludf.DUMMYFUNCTION("""COMPUTED_VALUE"""),"- 9,9 %")</f>
        <v>- 9,9 %</v>
      </c>
      <c r="D223" s="1" t="str">
        <f>IFERROR(__xludf.DUMMYFUNCTION("""COMPUTED_VALUE"""),"- 1,0 %")</f>
        <v>- 1,0 %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IFERROR(__xludf.DUMMYFUNCTION("""COMPUTED_VALUE"""),"3.859 €/m2")</f>
        <v>3.859 €/m2</v>
      </c>
      <c r="C224" s="1" t="str">
        <f>IFERROR(__xludf.DUMMYFUNCTION("""COMPUTED_VALUE"""),"+ 6,3 %")</f>
        <v>+ 6,3 %</v>
      </c>
      <c r="D224" s="1" t="str">
        <f>IFERROR(__xludf.DUMMYFUNCTION("""COMPUTED_VALUE"""),"n.d.")</f>
        <v>n.d.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IFERROR(__xludf.DUMMYFUNCTION("""COMPUTED_VALUE"""),"3.629 €/m2")</f>
        <v>3.629 €/m2</v>
      </c>
      <c r="C225" s="1" t="str">
        <f>IFERROR(__xludf.DUMMYFUNCTION("""COMPUTED_VALUE"""),"+ 3,3 %")</f>
        <v>+ 3,3 %</v>
      </c>
      <c r="D225" s="1" t="str">
        <f>IFERROR(__xludf.DUMMYFUNCTION("""COMPUTED_VALUE"""),"n.d.")</f>
        <v>n.d.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IFERROR(__xludf.DUMMYFUNCTION("""COMPUTED_VALUE"""),"3.514 €/m2")</f>
        <v>3.514 €/m2</v>
      </c>
      <c r="C226" s="1" t="str">
        <f>IFERROR(__xludf.DUMMYFUNCTION("""COMPUTED_VALUE"""),"n.d.")</f>
        <v>n.d.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IFERROR(__xludf.DUMMYFUNCTION("""COMPUTED_VALUE"""),"n.d.")</f>
        <v>n.d.</v>
      </c>
      <c r="C227" s="1" t="str">
        <f>IFERROR(__xludf.DUMMYFUNCTION("""COMPUTED_VALUE"""),"n.d.")</f>
        <v>n.d.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IFERROR(__xludf.DUMMYFUNCTION("""COMPUTED_VALUE"""),"n.d.")</f>
        <v>n.d.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IFERROR(__xludf.DUMMYFUNCTION("IMPORTHTML(""https://www.idealista.com/sala-de-prensa/informes-precio-vivienda/venta/madrid-comunidad/madrid-provincia/madrid/latina/historico/"",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IFERROR(__xludf.DUMMYFUNCTION("""COMPUTED_VALUE"""),"3.932 €/m2")</f>
        <v>3.932 €/m2</v>
      </c>
      <c r="C2" s="1" t="str">
        <f>IFERROR(__xludf.DUMMYFUNCTION("""COMPUTED_VALUE"""),"- 1,2 %")</f>
        <v>- 1,2 %</v>
      </c>
      <c r="D2" s="1" t="str">
        <f>IFERROR(__xludf.DUMMYFUNCTION("""COMPUTED_VALUE"""),"+ 1,3 %")</f>
        <v>+ 1,3 %</v>
      </c>
      <c r="E2" s="1" t="str">
        <f>IFERROR(__xludf.DUMMYFUNCTION("""COMPUTED_VALUE"""),"+ 8,1 %")</f>
        <v>+ 8,1 %</v>
      </c>
    </row>
    <row r="3">
      <c r="A3" s="2">
        <f>IFERROR(__xludf.DUMMYFUNCTION("""COMPUTED_VALUE"""),46143.0)</f>
        <v>46143</v>
      </c>
      <c r="B3" s="1" t="str">
        <f>IFERROR(__xludf.DUMMYFUNCTION("""COMPUTED_VALUE"""),"3.980 €/m2")</f>
        <v>3.980 €/m2</v>
      </c>
      <c r="C3" s="1" t="str">
        <f>IFERROR(__xludf.DUMMYFUNCTION("""COMPUTED_VALUE"""),"+ 1,6 %")</f>
        <v>+ 1,6 %</v>
      </c>
      <c r="D3" s="1" t="str">
        <f>IFERROR(__xludf.DUMMYFUNCTION("""COMPUTED_VALUE"""),"+ 3,5 %")</f>
        <v>+ 3,5 %</v>
      </c>
      <c r="E3" s="1" t="str">
        <f>IFERROR(__xludf.DUMMYFUNCTION("""COMPUTED_VALUE"""),"+ 13,2 %")</f>
        <v>+ 13,2 %</v>
      </c>
    </row>
    <row r="4">
      <c r="A4" s="2">
        <f>IFERROR(__xludf.DUMMYFUNCTION("""COMPUTED_VALUE"""),46113.0)</f>
        <v>46113</v>
      </c>
      <c r="B4" s="1" t="str">
        <f>IFERROR(__xludf.DUMMYFUNCTION("""COMPUTED_VALUE"""),"3.916 €/m2")</f>
        <v>3.916 €/m2</v>
      </c>
      <c r="C4" s="1" t="str">
        <f>IFERROR(__xludf.DUMMYFUNCTION("""COMPUTED_VALUE"""),"+ 0,8 %")</f>
        <v>+ 0,8 %</v>
      </c>
      <c r="D4" s="1" t="str">
        <f>IFERROR(__xludf.DUMMYFUNCTION("""COMPUTED_VALUE"""),"+ 2,0 %")</f>
        <v>+ 2,0 %</v>
      </c>
      <c r="E4" s="1" t="str">
        <f>IFERROR(__xludf.DUMMYFUNCTION("""COMPUTED_VALUE"""),"+ 15,3 %")</f>
        <v>+ 15,3 %</v>
      </c>
    </row>
    <row r="5">
      <c r="A5" s="2">
        <f>IFERROR(__xludf.DUMMYFUNCTION("""COMPUTED_VALUE"""),46082.0)</f>
        <v>46082</v>
      </c>
      <c r="B5" s="1" t="str">
        <f>IFERROR(__xludf.DUMMYFUNCTION("""COMPUTED_VALUE"""),"3.883 €/m2")</f>
        <v>3.883 €/m2</v>
      </c>
      <c r="C5" s="1" t="str">
        <f>IFERROR(__xludf.DUMMYFUNCTION("""COMPUTED_VALUE"""),"+ 1,0 %")</f>
        <v>+ 1,0 %</v>
      </c>
      <c r="D5" s="1" t="str">
        <f>IFERROR(__xludf.DUMMYFUNCTION("""COMPUTED_VALUE"""),"+ 1,6 %")</f>
        <v>+ 1,6 %</v>
      </c>
      <c r="E5" s="1" t="str">
        <f>IFERROR(__xludf.DUMMYFUNCTION("""COMPUTED_VALUE"""),"+ 18,6 %")</f>
        <v>+ 18,6 %</v>
      </c>
    </row>
    <row r="6">
      <c r="A6" s="2">
        <f>IFERROR(__xludf.DUMMYFUNCTION("""COMPUTED_VALUE"""),46054.0)</f>
        <v>46054</v>
      </c>
      <c r="B6" s="1" t="str">
        <f>IFERROR(__xludf.DUMMYFUNCTION("""COMPUTED_VALUE"""),"3.846 €/m2")</f>
        <v>3.846 €/m2</v>
      </c>
      <c r="C6" s="1" t="str">
        <f>IFERROR(__xludf.DUMMYFUNCTION("""COMPUTED_VALUE"""),"+ 0,1 %")</f>
        <v>+ 0,1 %</v>
      </c>
      <c r="D6" s="1" t="str">
        <f>IFERROR(__xludf.DUMMYFUNCTION("""COMPUTED_VALUE"""),"+ 1,4 %")</f>
        <v>+ 1,4 %</v>
      </c>
      <c r="E6" s="1" t="str">
        <f>IFERROR(__xludf.DUMMYFUNCTION("""COMPUTED_VALUE"""),"+ 22,0 %")</f>
        <v>+ 22,0 %</v>
      </c>
    </row>
    <row r="7">
      <c r="A7" s="2">
        <f>IFERROR(__xludf.DUMMYFUNCTION("""COMPUTED_VALUE"""),46023.0)</f>
        <v>46023</v>
      </c>
      <c r="B7" s="1" t="str">
        <f>IFERROR(__xludf.DUMMYFUNCTION("""COMPUTED_VALUE"""),"3.840 €/m2")</f>
        <v>3.840 €/m2</v>
      </c>
      <c r="C7" s="1" t="str">
        <f>IFERROR(__xludf.DUMMYFUNCTION("""COMPUTED_VALUE"""),"+ 0,5 %")</f>
        <v>+ 0,5 %</v>
      </c>
      <c r="D7" s="1" t="str">
        <f>IFERROR(__xludf.DUMMYFUNCTION("""COMPUTED_VALUE"""),"+ 1,4 %")</f>
        <v>+ 1,4 %</v>
      </c>
      <c r="E7" s="1" t="str">
        <f>IFERROR(__xludf.DUMMYFUNCTION("""COMPUTED_VALUE"""),"+ 23,3 %")</f>
        <v>+ 23,3 %</v>
      </c>
    </row>
    <row r="8">
      <c r="A8" s="2">
        <f>IFERROR(__xludf.DUMMYFUNCTION("""COMPUTED_VALUE"""),45992.0)</f>
        <v>45992</v>
      </c>
      <c r="B8" s="1" t="str">
        <f>IFERROR(__xludf.DUMMYFUNCTION("""COMPUTED_VALUE"""),"3.822 €/m2")</f>
        <v>3.822 €/m2</v>
      </c>
      <c r="C8" s="1" t="str">
        <f>IFERROR(__xludf.DUMMYFUNCTION("""COMPUTED_VALUE"""),"+ 0,8 %")</f>
        <v>+ 0,8 %</v>
      </c>
      <c r="D8" s="1" t="str">
        <f>IFERROR(__xludf.DUMMYFUNCTION("""COMPUTED_VALUE"""),"+ 3,8 %")</f>
        <v>+ 3,8 %</v>
      </c>
      <c r="E8" s="1" t="str">
        <f>IFERROR(__xludf.DUMMYFUNCTION("""COMPUTED_VALUE"""),"+ 22,8 %")</f>
        <v>+ 22,8 %</v>
      </c>
    </row>
    <row r="9">
      <c r="A9" s="2">
        <f>IFERROR(__xludf.DUMMYFUNCTION("""COMPUTED_VALUE"""),45962.0)</f>
        <v>45962</v>
      </c>
      <c r="B9" s="1" t="str">
        <f>IFERROR(__xludf.DUMMYFUNCTION("""COMPUTED_VALUE"""),"3.793 €/m2")</f>
        <v>3.793 €/m2</v>
      </c>
      <c r="C9" s="1" t="str">
        <f>IFERROR(__xludf.DUMMYFUNCTION("""COMPUTED_VALUE"""),"+ 0,2 %")</f>
        <v>+ 0,2 %</v>
      </c>
      <c r="D9" s="1" t="str">
        <f>IFERROR(__xludf.DUMMYFUNCTION("""COMPUTED_VALUE"""),"+ 3,7 %")</f>
        <v>+ 3,7 %</v>
      </c>
      <c r="E9" s="1" t="str">
        <f>IFERROR(__xludf.DUMMYFUNCTION("""COMPUTED_VALUE"""),"+ 23,6 %")</f>
        <v>+ 23,6 %</v>
      </c>
    </row>
    <row r="10">
      <c r="A10" s="2">
        <f>IFERROR(__xludf.DUMMYFUNCTION("""COMPUTED_VALUE"""),45931.0)</f>
        <v>45931</v>
      </c>
      <c r="B10" s="1" t="str">
        <f>IFERROR(__xludf.DUMMYFUNCTION("""COMPUTED_VALUE"""),"3.785 €/m2")</f>
        <v>3.785 €/m2</v>
      </c>
      <c r="C10" s="1" t="str">
        <f>IFERROR(__xludf.DUMMYFUNCTION("""COMPUTED_VALUE"""),"+ 2,8 %")</f>
        <v>+ 2,8 %</v>
      </c>
      <c r="D10" s="1" t="str">
        <f>IFERROR(__xludf.DUMMYFUNCTION("""COMPUTED_VALUE"""),"+ 2,8 %")</f>
        <v>+ 2,8 %</v>
      </c>
      <c r="E10" s="1" t="str">
        <f>IFERROR(__xludf.DUMMYFUNCTION("""COMPUTED_VALUE"""),"+ 26,5 %")</f>
        <v>+ 26,5 %</v>
      </c>
    </row>
    <row r="11">
      <c r="A11" s="2">
        <f>IFERROR(__xludf.DUMMYFUNCTION("""COMPUTED_VALUE"""),45901.0)</f>
        <v>45901</v>
      </c>
      <c r="B11" s="1" t="str">
        <f>IFERROR(__xludf.DUMMYFUNCTION("""COMPUTED_VALUE"""),"3.683 €/m2")</f>
        <v>3.683 €/m2</v>
      </c>
      <c r="C11" s="1" t="str">
        <f>IFERROR(__xludf.DUMMYFUNCTION("""COMPUTED_VALUE"""),"+ 0,6 %")</f>
        <v>+ 0,6 %</v>
      </c>
      <c r="D11" s="1" t="str">
        <f>IFERROR(__xludf.DUMMYFUNCTION("""COMPUTED_VALUE"""),"+ 1,2 %")</f>
        <v>+ 1,2 %</v>
      </c>
      <c r="E11" s="1" t="str">
        <f>IFERROR(__xludf.DUMMYFUNCTION("""COMPUTED_VALUE"""),"+ 25,8 %")</f>
        <v>+ 25,8 %</v>
      </c>
    </row>
    <row r="12">
      <c r="A12" s="2">
        <f>IFERROR(__xludf.DUMMYFUNCTION("""COMPUTED_VALUE"""),45870.0)</f>
        <v>45870</v>
      </c>
      <c r="B12" s="1" t="str">
        <f>IFERROR(__xludf.DUMMYFUNCTION("""COMPUTED_VALUE"""),"3.659 €/m2")</f>
        <v>3.659 €/m2</v>
      </c>
      <c r="C12" s="1" t="str">
        <f>IFERROR(__xludf.DUMMYFUNCTION("""COMPUTED_VALUE"""),"- 0,6 %")</f>
        <v>- 0,6 %</v>
      </c>
      <c r="D12" s="1" t="str">
        <f>IFERROR(__xludf.DUMMYFUNCTION("""COMPUTED_VALUE"""),"+ 4,0 %")</f>
        <v>+ 4,0 %</v>
      </c>
      <c r="E12" s="1" t="str">
        <f>IFERROR(__xludf.DUMMYFUNCTION("""COMPUTED_VALUE"""),"+ 26,6 %")</f>
        <v>+ 26,6 %</v>
      </c>
    </row>
    <row r="13">
      <c r="A13" s="2">
        <f>IFERROR(__xludf.DUMMYFUNCTION("""COMPUTED_VALUE"""),45839.0)</f>
        <v>45839</v>
      </c>
      <c r="B13" s="1" t="str">
        <f>IFERROR(__xludf.DUMMYFUNCTION("""COMPUTED_VALUE"""),"3.681 €/m2")</f>
        <v>3.681 €/m2</v>
      </c>
      <c r="C13" s="1" t="str">
        <f>IFERROR(__xludf.DUMMYFUNCTION("""COMPUTED_VALUE"""),"+ 1,2 %")</f>
        <v>+ 1,2 %</v>
      </c>
      <c r="D13" s="1" t="str">
        <f>IFERROR(__xludf.DUMMYFUNCTION("""COMPUTED_VALUE"""),"+ 8,4 %")</f>
        <v>+ 8,4 %</v>
      </c>
      <c r="E13" s="1" t="str">
        <f>IFERROR(__xludf.DUMMYFUNCTION("""COMPUTED_VALUE"""),"+ 30,4 %")</f>
        <v>+ 30,4 %</v>
      </c>
    </row>
    <row r="14">
      <c r="A14" s="2">
        <f>IFERROR(__xludf.DUMMYFUNCTION("""COMPUTED_VALUE"""),45809.0)</f>
        <v>45809</v>
      </c>
      <c r="B14" s="1" t="str">
        <f>IFERROR(__xludf.DUMMYFUNCTION("""COMPUTED_VALUE"""),"3.638 €/m2")</f>
        <v>3.638 €/m2</v>
      </c>
      <c r="C14" s="1" t="str">
        <f>IFERROR(__xludf.DUMMYFUNCTION("""COMPUTED_VALUE"""),"+ 3,4 %")</f>
        <v>+ 3,4 %</v>
      </c>
      <c r="D14" s="1" t="str">
        <f>IFERROR(__xludf.DUMMYFUNCTION("""COMPUTED_VALUE"""),"+ 11,1 %")</f>
        <v>+ 11,1 %</v>
      </c>
      <c r="E14" s="1" t="str">
        <f>IFERROR(__xludf.DUMMYFUNCTION("""COMPUTED_VALUE"""),"+ 31,2 %")</f>
        <v>+ 31,2 %</v>
      </c>
    </row>
    <row r="15">
      <c r="A15" s="2">
        <f>IFERROR(__xludf.DUMMYFUNCTION("""COMPUTED_VALUE"""),45778.0)</f>
        <v>45778</v>
      </c>
      <c r="B15" s="1" t="str">
        <f>IFERROR(__xludf.DUMMYFUNCTION("""COMPUTED_VALUE"""),"3.517 €/m2")</f>
        <v>3.517 €/m2</v>
      </c>
      <c r="C15" s="1" t="str">
        <f>IFERROR(__xludf.DUMMYFUNCTION("""COMPUTED_VALUE"""),"+ 3,6 %")</f>
        <v>+ 3,6 %</v>
      </c>
      <c r="D15" s="1" t="str">
        <f>IFERROR(__xludf.DUMMYFUNCTION("""COMPUTED_VALUE"""),"+ 11,6 %")</f>
        <v>+ 11,6 %</v>
      </c>
      <c r="E15" s="1" t="str">
        <f>IFERROR(__xludf.DUMMYFUNCTION("""COMPUTED_VALUE"""),"+ 28,1 %")</f>
        <v>+ 28,1 %</v>
      </c>
    </row>
    <row r="16">
      <c r="A16" s="2">
        <f>IFERROR(__xludf.DUMMYFUNCTION("""COMPUTED_VALUE"""),45748.0)</f>
        <v>45748</v>
      </c>
      <c r="B16" s="1" t="str">
        <f>IFERROR(__xludf.DUMMYFUNCTION("""COMPUTED_VALUE"""),"3.396 €/m2")</f>
        <v>3.396 €/m2</v>
      </c>
      <c r="C16" s="1" t="str">
        <f>IFERROR(__xludf.DUMMYFUNCTION("""COMPUTED_VALUE"""),"+ 3,7 %")</f>
        <v>+ 3,7 %</v>
      </c>
      <c r="D16" s="1" t="str">
        <f>IFERROR(__xludf.DUMMYFUNCTION("""COMPUTED_VALUE"""),"+ 9,0 %")</f>
        <v>+ 9,0 %</v>
      </c>
      <c r="E16" s="1" t="str">
        <f>IFERROR(__xludf.DUMMYFUNCTION("""COMPUTED_VALUE"""),"+ 24,7 %")</f>
        <v>+ 24,7 %</v>
      </c>
    </row>
    <row r="17">
      <c r="A17" s="2">
        <f>IFERROR(__xludf.DUMMYFUNCTION("""COMPUTED_VALUE"""),45717.0)</f>
        <v>45717</v>
      </c>
      <c r="B17" s="1" t="str">
        <f>IFERROR(__xludf.DUMMYFUNCTION("""COMPUTED_VALUE"""),"3.275 €/m2")</f>
        <v>3.275 €/m2</v>
      </c>
      <c r="C17" s="1" t="str">
        <f>IFERROR(__xludf.DUMMYFUNCTION("""COMPUTED_VALUE"""),"+ 3,9 %")</f>
        <v>+ 3,9 %</v>
      </c>
      <c r="D17" s="1" t="str">
        <f>IFERROR(__xludf.DUMMYFUNCTION("""COMPUTED_VALUE"""),"+ 5,3 %")</f>
        <v>+ 5,3 %</v>
      </c>
      <c r="E17" s="1" t="str">
        <f>IFERROR(__xludf.DUMMYFUNCTION("""COMPUTED_VALUE"""),"+ 21,4 %")</f>
        <v>+ 21,4 %</v>
      </c>
    </row>
    <row r="18">
      <c r="A18" s="2">
        <f>IFERROR(__xludf.DUMMYFUNCTION("""COMPUTED_VALUE"""),45689.0)</f>
        <v>45689</v>
      </c>
      <c r="B18" s="1" t="str">
        <f>IFERROR(__xludf.DUMMYFUNCTION("""COMPUTED_VALUE"""),"3.153 €/m2")</f>
        <v>3.153 €/m2</v>
      </c>
      <c r="C18" s="1" t="str">
        <f>IFERROR(__xludf.DUMMYFUNCTION("""COMPUTED_VALUE"""),"+ 1,2 %")</f>
        <v>+ 1,2 %</v>
      </c>
      <c r="D18" s="1" t="str">
        <f>IFERROR(__xludf.DUMMYFUNCTION("""COMPUTED_VALUE"""),"+ 2,8 %")</f>
        <v>+ 2,8 %</v>
      </c>
      <c r="E18" s="1" t="str">
        <f>IFERROR(__xludf.DUMMYFUNCTION("""COMPUTED_VALUE"""),"+ 19,7 %")</f>
        <v>+ 19,7 %</v>
      </c>
    </row>
    <row r="19">
      <c r="A19" s="2">
        <f>IFERROR(__xludf.DUMMYFUNCTION("""COMPUTED_VALUE"""),45658.0)</f>
        <v>45658</v>
      </c>
      <c r="B19" s="1" t="str">
        <f>IFERROR(__xludf.DUMMYFUNCTION("""COMPUTED_VALUE"""),"3.116 €/m2")</f>
        <v>3.116 €/m2</v>
      </c>
      <c r="C19" s="1" t="str">
        <f>IFERROR(__xludf.DUMMYFUNCTION("""COMPUTED_VALUE"""),"+ 0,1 %")</f>
        <v>+ 0,1 %</v>
      </c>
      <c r="D19" s="1" t="str">
        <f>IFERROR(__xludf.DUMMYFUNCTION("""COMPUTED_VALUE"""),"+ 4,1 %")</f>
        <v>+ 4,1 %</v>
      </c>
      <c r="E19" s="1" t="str">
        <f>IFERROR(__xludf.DUMMYFUNCTION("""COMPUTED_VALUE"""),"+ 19,3 %")</f>
        <v>+ 19,3 %</v>
      </c>
    </row>
    <row r="20">
      <c r="A20" s="2">
        <f>IFERROR(__xludf.DUMMYFUNCTION("""COMPUTED_VALUE"""),45627.0)</f>
        <v>45627</v>
      </c>
      <c r="B20" s="1" t="str">
        <f>IFERROR(__xludf.DUMMYFUNCTION("""COMPUTED_VALUE"""),"3.112 €/m2")</f>
        <v>3.112 €/m2</v>
      </c>
      <c r="C20" s="1" t="str">
        <f>IFERROR(__xludf.DUMMYFUNCTION("""COMPUTED_VALUE"""),"+ 1,4 %")</f>
        <v>+ 1,4 %</v>
      </c>
      <c r="D20" s="1" t="str">
        <f>IFERROR(__xludf.DUMMYFUNCTION("""COMPUTED_VALUE"""),"+ 6,3 %")</f>
        <v>+ 6,3 %</v>
      </c>
      <c r="E20" s="1" t="str">
        <f>IFERROR(__xludf.DUMMYFUNCTION("""COMPUTED_VALUE"""),"+ 20,1 %")</f>
        <v>+ 20,1 %</v>
      </c>
    </row>
    <row r="21">
      <c r="A21" s="2">
        <f>IFERROR(__xludf.DUMMYFUNCTION("""COMPUTED_VALUE"""),45597.0)</f>
        <v>45597</v>
      </c>
      <c r="B21" s="1" t="str">
        <f>IFERROR(__xludf.DUMMYFUNCTION("""COMPUTED_VALUE"""),"3.068 €/m2")</f>
        <v>3.068 €/m2</v>
      </c>
      <c r="C21" s="1" t="str">
        <f>IFERROR(__xludf.DUMMYFUNCTION("""COMPUTED_VALUE"""),"+ 2,5 %")</f>
        <v>+ 2,5 %</v>
      </c>
      <c r="D21" s="1" t="str">
        <f>IFERROR(__xludf.DUMMYFUNCTION("""COMPUTED_VALUE"""),"+ 6,1 %")</f>
        <v>+ 6,1 %</v>
      </c>
      <c r="E21" s="1" t="str">
        <f>IFERROR(__xludf.DUMMYFUNCTION("""COMPUTED_VALUE"""),"+ 19,6 %")</f>
        <v>+ 19,6 %</v>
      </c>
    </row>
    <row r="22">
      <c r="A22" s="2">
        <f>IFERROR(__xludf.DUMMYFUNCTION("""COMPUTED_VALUE"""),45566.0)</f>
        <v>45566</v>
      </c>
      <c r="B22" s="1" t="str">
        <f>IFERROR(__xludf.DUMMYFUNCTION("""COMPUTED_VALUE"""),"2.993 €/m2")</f>
        <v>2.993 €/m2</v>
      </c>
      <c r="C22" s="1" t="str">
        <f>IFERROR(__xludf.DUMMYFUNCTION("""COMPUTED_VALUE"""),"+ 2,2 %")</f>
        <v>+ 2,2 %</v>
      </c>
      <c r="D22" s="1" t="str">
        <f>IFERROR(__xludf.DUMMYFUNCTION("""COMPUTED_VALUE"""),"+ 6,0 %")</f>
        <v>+ 6,0 %</v>
      </c>
      <c r="E22" s="1" t="str">
        <f>IFERROR(__xludf.DUMMYFUNCTION("""COMPUTED_VALUE"""),"+ 16,5 %")</f>
        <v>+ 16,5 %</v>
      </c>
    </row>
    <row r="23">
      <c r="A23" s="2">
        <f>IFERROR(__xludf.DUMMYFUNCTION("""COMPUTED_VALUE"""),45536.0)</f>
        <v>45536</v>
      </c>
      <c r="B23" s="1" t="str">
        <f>IFERROR(__xludf.DUMMYFUNCTION("""COMPUTED_VALUE"""),"2.928 €/m2")</f>
        <v>2.928 €/m2</v>
      </c>
      <c r="C23" s="1" t="str">
        <f>IFERROR(__xludf.DUMMYFUNCTION("""COMPUTED_VALUE"""),"+ 1,3 %")</f>
        <v>+ 1,3 %</v>
      </c>
      <c r="D23" s="1" t="str">
        <f>IFERROR(__xludf.DUMMYFUNCTION("""COMPUTED_VALUE"""),"+ 5,6 %")</f>
        <v>+ 5,6 %</v>
      </c>
      <c r="E23" s="1" t="str">
        <f>IFERROR(__xludf.DUMMYFUNCTION("""COMPUTED_VALUE"""),"+ 14,8 %")</f>
        <v>+ 14,8 %</v>
      </c>
    </row>
    <row r="24">
      <c r="A24" s="2">
        <f>IFERROR(__xludf.DUMMYFUNCTION("""COMPUTED_VALUE"""),45505.0)</f>
        <v>45505</v>
      </c>
      <c r="B24" s="1" t="str">
        <f>IFERROR(__xludf.DUMMYFUNCTION("""COMPUTED_VALUE"""),"2.890 €/m2")</f>
        <v>2.890 €/m2</v>
      </c>
      <c r="C24" s="1" t="str">
        <f>IFERROR(__xludf.DUMMYFUNCTION("""COMPUTED_VALUE"""),"+ 2,4 %")</f>
        <v>+ 2,4 %</v>
      </c>
      <c r="D24" s="1" t="str">
        <f>IFERROR(__xludf.DUMMYFUNCTION("""COMPUTED_VALUE"""),"+ 5,3 %")</f>
        <v>+ 5,3 %</v>
      </c>
      <c r="E24" s="1" t="str">
        <f>IFERROR(__xludf.DUMMYFUNCTION("""COMPUTED_VALUE"""),"+ 12,7 %")</f>
        <v>+ 12,7 %</v>
      </c>
    </row>
    <row r="25">
      <c r="A25" s="2">
        <f>IFERROR(__xludf.DUMMYFUNCTION("""COMPUTED_VALUE"""),45474.0)</f>
        <v>45474</v>
      </c>
      <c r="B25" s="1" t="str">
        <f>IFERROR(__xludf.DUMMYFUNCTION("""COMPUTED_VALUE"""),"2.824 €/m2")</f>
        <v>2.824 €/m2</v>
      </c>
      <c r="C25" s="1" t="str">
        <f>IFERROR(__xludf.DUMMYFUNCTION("""COMPUTED_VALUE"""),"+ 1,9 %")</f>
        <v>+ 1,9 %</v>
      </c>
      <c r="D25" s="1" t="str">
        <f>IFERROR(__xludf.DUMMYFUNCTION("""COMPUTED_VALUE"""),"+ 3,7 %")</f>
        <v>+ 3,7 %</v>
      </c>
      <c r="E25" s="1" t="str">
        <f>IFERROR(__xludf.DUMMYFUNCTION("""COMPUTED_VALUE"""),"+ 11,0 %")</f>
        <v>+ 11,0 %</v>
      </c>
    </row>
    <row r="26">
      <c r="A26" s="2">
        <f>IFERROR(__xludf.DUMMYFUNCTION("""COMPUTED_VALUE"""),45444.0)</f>
        <v>45444</v>
      </c>
      <c r="B26" s="1" t="str">
        <f>IFERROR(__xludf.DUMMYFUNCTION("""COMPUTED_VALUE"""),"2.772 €/m2")</f>
        <v>2.772 €/m2</v>
      </c>
      <c r="C26" s="1" t="str">
        <f>IFERROR(__xludf.DUMMYFUNCTION("""COMPUTED_VALUE"""),"+ 0,9 %")</f>
        <v>+ 0,9 %</v>
      </c>
      <c r="D26" s="1" t="str">
        <f>IFERROR(__xludf.DUMMYFUNCTION("""COMPUTED_VALUE"""),"+ 2,7 %")</f>
        <v>+ 2,7 %</v>
      </c>
      <c r="E26" s="1" t="str">
        <f>IFERROR(__xludf.DUMMYFUNCTION("""COMPUTED_VALUE"""),"+ 9,7 %")</f>
        <v>+ 9,7 %</v>
      </c>
    </row>
    <row r="27">
      <c r="A27" s="2">
        <f>IFERROR(__xludf.DUMMYFUNCTION("""COMPUTED_VALUE"""),45413.0)</f>
        <v>45413</v>
      </c>
      <c r="B27" s="1" t="str">
        <f>IFERROR(__xludf.DUMMYFUNCTION("""COMPUTED_VALUE"""),"2.746 €/m2")</f>
        <v>2.746 €/m2</v>
      </c>
      <c r="C27" s="1" t="str">
        <f>IFERROR(__xludf.DUMMYFUNCTION("""COMPUTED_VALUE"""),"+ 0,9 %")</f>
        <v>+ 0,9 %</v>
      </c>
      <c r="D27" s="1" t="str">
        <f>IFERROR(__xludf.DUMMYFUNCTION("""COMPUTED_VALUE"""),"+ 4,3 %")</f>
        <v>+ 4,3 %</v>
      </c>
      <c r="E27" s="1" t="str">
        <f>IFERROR(__xludf.DUMMYFUNCTION("""COMPUTED_VALUE"""),"+ 8,9 %")</f>
        <v>+ 8,9 %</v>
      </c>
    </row>
    <row r="28">
      <c r="A28" s="2">
        <f>IFERROR(__xludf.DUMMYFUNCTION("""COMPUTED_VALUE"""),45383.0)</f>
        <v>45383</v>
      </c>
      <c r="B28" s="1" t="str">
        <f>IFERROR(__xludf.DUMMYFUNCTION("""COMPUTED_VALUE"""),"2.723 €/m2")</f>
        <v>2.723 €/m2</v>
      </c>
      <c r="C28" s="1" t="str">
        <f>IFERROR(__xludf.DUMMYFUNCTION("""COMPUTED_VALUE"""),"+ 0,9 %")</f>
        <v>+ 0,9 %</v>
      </c>
      <c r="D28" s="1" t="str">
        <f>IFERROR(__xludf.DUMMYFUNCTION("""COMPUTED_VALUE"""),"+ 4,3 %")</f>
        <v>+ 4,3 %</v>
      </c>
      <c r="E28" s="1" t="str">
        <f>IFERROR(__xludf.DUMMYFUNCTION("""COMPUTED_VALUE"""),"+ 7,1 %")</f>
        <v>+ 7,1 %</v>
      </c>
    </row>
    <row r="29">
      <c r="A29" s="2">
        <f>IFERROR(__xludf.DUMMYFUNCTION("""COMPUTED_VALUE"""),45352.0)</f>
        <v>45352</v>
      </c>
      <c r="B29" s="1" t="str">
        <f>IFERROR(__xludf.DUMMYFUNCTION("""COMPUTED_VALUE"""),"2.699 €/m2")</f>
        <v>2.699 €/m2</v>
      </c>
      <c r="C29" s="1" t="str">
        <f>IFERROR(__xludf.DUMMYFUNCTION("""COMPUTED_VALUE"""),"+ 2,5 %")</f>
        <v>+ 2,5 %</v>
      </c>
      <c r="D29" s="1" t="str">
        <f>IFERROR(__xludf.DUMMYFUNCTION("""COMPUTED_VALUE"""),"+ 4,1 %")</f>
        <v>+ 4,1 %</v>
      </c>
      <c r="E29" s="1" t="str">
        <f>IFERROR(__xludf.DUMMYFUNCTION("""COMPUTED_VALUE"""),"+ 7,0 %")</f>
        <v>+ 7,0 %</v>
      </c>
    </row>
    <row r="30">
      <c r="A30" s="2">
        <f>IFERROR(__xludf.DUMMYFUNCTION("""COMPUTED_VALUE"""),45323.0)</f>
        <v>45323</v>
      </c>
      <c r="B30" s="1" t="str">
        <f>IFERROR(__xludf.DUMMYFUNCTION("""COMPUTED_VALUE"""),"2.634 €/m2")</f>
        <v>2.634 €/m2</v>
      </c>
      <c r="C30" s="1" t="str">
        <f>IFERROR(__xludf.DUMMYFUNCTION("""COMPUTED_VALUE"""),"+ 0,9 %")</f>
        <v>+ 0,9 %</v>
      </c>
      <c r="D30" s="1" t="str">
        <f>IFERROR(__xludf.DUMMYFUNCTION("""COMPUTED_VALUE"""),"+ 2,7 %")</f>
        <v>+ 2,7 %</v>
      </c>
      <c r="E30" s="1" t="str">
        <f>IFERROR(__xludf.DUMMYFUNCTION("""COMPUTED_VALUE"""),"+ 5,4 %")</f>
        <v>+ 5,4 %</v>
      </c>
    </row>
    <row r="31">
      <c r="A31" s="2">
        <f>IFERROR(__xludf.DUMMYFUNCTION("""COMPUTED_VALUE"""),45292.0)</f>
        <v>45292</v>
      </c>
      <c r="B31" s="1" t="str">
        <f>IFERROR(__xludf.DUMMYFUNCTION("""COMPUTED_VALUE"""),"2.611 €/m2")</f>
        <v>2.611 €/m2</v>
      </c>
      <c r="C31" s="1" t="str">
        <f>IFERROR(__xludf.DUMMYFUNCTION("""COMPUTED_VALUE"""),"+ 0,7 %")</f>
        <v>+ 0,7 %</v>
      </c>
      <c r="D31" s="1" t="str">
        <f>IFERROR(__xludf.DUMMYFUNCTION("""COMPUTED_VALUE"""),"+ 1,6 %")</f>
        <v>+ 1,6 %</v>
      </c>
      <c r="E31" s="1" t="str">
        <f>IFERROR(__xludf.DUMMYFUNCTION("""COMPUTED_VALUE"""),"+ 6,2 %")</f>
        <v>+ 6,2 %</v>
      </c>
    </row>
    <row r="32">
      <c r="A32" s="2">
        <f>IFERROR(__xludf.DUMMYFUNCTION("""COMPUTED_VALUE"""),45261.0)</f>
        <v>45261</v>
      </c>
      <c r="B32" s="1" t="str">
        <f>IFERROR(__xludf.DUMMYFUNCTION("""COMPUTED_VALUE"""),"2.592 €/m2")</f>
        <v>2.592 €/m2</v>
      </c>
      <c r="C32" s="1" t="str">
        <f>IFERROR(__xludf.DUMMYFUNCTION("""COMPUTED_VALUE"""),"+ 1,0 %")</f>
        <v>+ 1,0 %</v>
      </c>
      <c r="D32" s="1" t="str">
        <f>IFERROR(__xludf.DUMMYFUNCTION("""COMPUTED_VALUE"""),"+ 1,6 %")</f>
        <v>+ 1,6 %</v>
      </c>
      <c r="E32" s="1" t="str">
        <f>IFERROR(__xludf.DUMMYFUNCTION("""COMPUTED_VALUE"""),"+ 4,6 %")</f>
        <v>+ 4,6 %</v>
      </c>
    </row>
    <row r="33">
      <c r="A33" s="2">
        <f>IFERROR(__xludf.DUMMYFUNCTION("""COMPUTED_VALUE"""),45231.0)</f>
        <v>45231</v>
      </c>
      <c r="B33" s="1" t="str">
        <f>IFERROR(__xludf.DUMMYFUNCTION("""COMPUTED_VALUE"""),"2.566 €/m2")</f>
        <v>2.566 €/m2</v>
      </c>
      <c r="C33" s="1" t="str">
        <f>IFERROR(__xludf.DUMMYFUNCTION("""COMPUTED_VALUE"""),"- 0,1 %")</f>
        <v>- 0,1 %</v>
      </c>
      <c r="D33" s="1" t="str">
        <f>IFERROR(__xludf.DUMMYFUNCTION("""COMPUTED_VALUE"""),"+ 0,1 %")</f>
        <v>+ 0,1 %</v>
      </c>
      <c r="E33" s="1" t="str">
        <f>IFERROR(__xludf.DUMMYFUNCTION("""COMPUTED_VALUE"""),"+ 3,4 %")</f>
        <v>+ 3,4 %</v>
      </c>
    </row>
    <row r="34">
      <c r="A34" s="2">
        <f>IFERROR(__xludf.DUMMYFUNCTION("""COMPUTED_VALUE"""),45200.0)</f>
        <v>45200</v>
      </c>
      <c r="B34" s="1" t="str">
        <f>IFERROR(__xludf.DUMMYFUNCTION("""COMPUTED_VALUE"""),"2.569 €/m2")</f>
        <v>2.569 €/m2</v>
      </c>
      <c r="C34" s="1" t="str">
        <f>IFERROR(__xludf.DUMMYFUNCTION("""COMPUTED_VALUE"""),"+ 0,7 %")</f>
        <v>+ 0,7 %</v>
      </c>
      <c r="D34" s="1" t="str">
        <f>IFERROR(__xludf.DUMMYFUNCTION("""COMPUTED_VALUE"""),"+ 1,0 %")</f>
        <v>+ 1,0 %</v>
      </c>
      <c r="E34" s="1" t="str">
        <f>IFERROR(__xludf.DUMMYFUNCTION("""COMPUTED_VALUE"""),"+ 5,7 %")</f>
        <v>+ 5,7 %</v>
      </c>
    </row>
    <row r="35">
      <c r="A35" s="2">
        <f>IFERROR(__xludf.DUMMYFUNCTION("""COMPUTED_VALUE"""),45170.0)</f>
        <v>45170</v>
      </c>
      <c r="B35" s="1" t="str">
        <f>IFERROR(__xludf.DUMMYFUNCTION("""COMPUTED_VALUE"""),"2.551 €/m2")</f>
        <v>2.551 €/m2</v>
      </c>
      <c r="C35" s="1" t="str">
        <f>IFERROR(__xludf.DUMMYFUNCTION("""COMPUTED_VALUE"""),"- 0,5 %")</f>
        <v>- 0,5 %</v>
      </c>
      <c r="D35" s="1" t="str">
        <f>IFERROR(__xludf.DUMMYFUNCTION("""COMPUTED_VALUE"""),"+ 0,9 %")</f>
        <v>+ 0,9 %</v>
      </c>
      <c r="E35" s="1" t="str">
        <f>IFERROR(__xludf.DUMMYFUNCTION("""COMPUTED_VALUE"""),"+ 4,8 %")</f>
        <v>+ 4,8 %</v>
      </c>
    </row>
    <row r="36">
      <c r="A36" s="2">
        <f>IFERROR(__xludf.DUMMYFUNCTION("""COMPUTED_VALUE"""),45139.0)</f>
        <v>45139</v>
      </c>
      <c r="B36" s="1" t="str">
        <f>IFERROR(__xludf.DUMMYFUNCTION("""COMPUTED_VALUE"""),"2.564 €/m2")</f>
        <v>2.564 €/m2</v>
      </c>
      <c r="C36" s="1" t="str">
        <f>IFERROR(__xludf.DUMMYFUNCTION("""COMPUTED_VALUE"""),"+ 0,8 %")</f>
        <v>+ 0,8 %</v>
      </c>
      <c r="D36" s="1" t="str">
        <f>IFERROR(__xludf.DUMMYFUNCTION("""COMPUTED_VALUE"""),"+ 1,7 %")</f>
        <v>+ 1,7 %</v>
      </c>
      <c r="E36" s="1" t="str">
        <f>IFERROR(__xludf.DUMMYFUNCTION("""COMPUTED_VALUE"""),"+ 4,3 %")</f>
        <v>+ 4,3 %</v>
      </c>
    </row>
    <row r="37">
      <c r="A37" s="2">
        <f>IFERROR(__xludf.DUMMYFUNCTION("""COMPUTED_VALUE"""),45108.0)</f>
        <v>45108</v>
      </c>
      <c r="B37" s="1" t="str">
        <f>IFERROR(__xludf.DUMMYFUNCTION("""COMPUTED_VALUE"""),"2.544 €/m2")</f>
        <v>2.544 €/m2</v>
      </c>
      <c r="C37" s="1" t="str">
        <f>IFERROR(__xludf.DUMMYFUNCTION("""COMPUTED_VALUE"""),"+ 0,7 %")</f>
        <v>+ 0,7 %</v>
      </c>
      <c r="D37" s="1" t="str">
        <f>IFERROR(__xludf.DUMMYFUNCTION("""COMPUTED_VALUE"""),"0,0 %")</f>
        <v>0,0 %</v>
      </c>
      <c r="E37" s="1" t="str">
        <f>IFERROR(__xludf.DUMMYFUNCTION("""COMPUTED_VALUE"""),"+ 5,0 %")</f>
        <v>+ 5,0 %</v>
      </c>
    </row>
    <row r="38">
      <c r="A38" s="2">
        <f>IFERROR(__xludf.DUMMYFUNCTION("""COMPUTED_VALUE"""),45078.0)</f>
        <v>45078</v>
      </c>
      <c r="B38" s="1" t="str">
        <f>IFERROR(__xludf.DUMMYFUNCTION("""COMPUTED_VALUE"""),"2.527 €/m2")</f>
        <v>2.527 €/m2</v>
      </c>
      <c r="C38" s="1" t="str">
        <f>IFERROR(__xludf.DUMMYFUNCTION("""COMPUTED_VALUE"""),"+ 0,2 %")</f>
        <v>+ 0,2 %</v>
      </c>
      <c r="D38" s="1" t="str">
        <f>IFERROR(__xludf.DUMMYFUNCTION("""COMPUTED_VALUE"""),"+ 0,2 %")</f>
        <v>+ 0,2 %</v>
      </c>
      <c r="E38" s="1" t="str">
        <f>IFERROR(__xludf.DUMMYFUNCTION("""COMPUTED_VALUE"""),"+ 5,1 %")</f>
        <v>+ 5,1 %</v>
      </c>
    </row>
    <row r="39">
      <c r="A39" s="2">
        <f>IFERROR(__xludf.DUMMYFUNCTION("""COMPUTED_VALUE"""),45047.0)</f>
        <v>45047</v>
      </c>
      <c r="B39" s="1" t="str">
        <f>IFERROR(__xludf.DUMMYFUNCTION("""COMPUTED_VALUE"""),"2.522 €/m2")</f>
        <v>2.522 €/m2</v>
      </c>
      <c r="C39" s="1" t="str">
        <f>IFERROR(__xludf.DUMMYFUNCTION("""COMPUTED_VALUE"""),"- 0,8 %")</f>
        <v>- 0,8 %</v>
      </c>
      <c r="D39" s="1" t="str">
        <f>IFERROR(__xludf.DUMMYFUNCTION("""COMPUTED_VALUE"""),"+ 1,0 %")</f>
        <v>+ 1,0 %</v>
      </c>
      <c r="E39" s="1" t="str">
        <f>IFERROR(__xludf.DUMMYFUNCTION("""COMPUTED_VALUE"""),"+ 8,9 %")</f>
        <v>+ 8,9 %</v>
      </c>
    </row>
    <row r="40">
      <c r="A40" s="2">
        <f>IFERROR(__xludf.DUMMYFUNCTION("""COMPUTED_VALUE"""),45017.0)</f>
        <v>45017</v>
      </c>
      <c r="B40" s="1" t="str">
        <f>IFERROR(__xludf.DUMMYFUNCTION("""COMPUTED_VALUE"""),"2.543 €/m2")</f>
        <v>2.543 €/m2</v>
      </c>
      <c r="C40" s="1" t="str">
        <f>IFERROR(__xludf.DUMMYFUNCTION("""COMPUTED_VALUE"""),"+ 0,8 %")</f>
        <v>+ 0,8 %</v>
      </c>
      <c r="D40" s="1" t="str">
        <f>IFERROR(__xludf.DUMMYFUNCTION("""COMPUTED_VALUE"""),"+ 3,4 %")</f>
        <v>+ 3,4 %</v>
      </c>
      <c r="E40" s="1" t="str">
        <f>IFERROR(__xludf.DUMMYFUNCTION("""COMPUTED_VALUE"""),"+ 10,6 %")</f>
        <v>+ 10,6 %</v>
      </c>
    </row>
    <row r="41">
      <c r="A41" s="2">
        <f>IFERROR(__xludf.DUMMYFUNCTION("""COMPUTED_VALUE"""),44986.0)</f>
        <v>44986</v>
      </c>
      <c r="B41" s="1" t="str">
        <f>IFERROR(__xludf.DUMMYFUNCTION("""COMPUTED_VALUE"""),"2.523 €/m2")</f>
        <v>2.523 €/m2</v>
      </c>
      <c r="C41" s="1" t="str">
        <f>IFERROR(__xludf.DUMMYFUNCTION("""COMPUTED_VALUE"""),"+ 1,0 %")</f>
        <v>+ 1,0 %</v>
      </c>
      <c r="D41" s="1" t="str">
        <f>IFERROR(__xludf.DUMMYFUNCTION("""COMPUTED_VALUE"""),"+ 1,9 %")</f>
        <v>+ 1,9 %</v>
      </c>
      <c r="E41" s="1" t="str">
        <f>IFERROR(__xludf.DUMMYFUNCTION("""COMPUTED_VALUE"""),"+ 9,9 %")</f>
        <v>+ 9,9 %</v>
      </c>
    </row>
    <row r="42">
      <c r="A42" s="2">
        <f>IFERROR(__xludf.DUMMYFUNCTION("""COMPUTED_VALUE"""),44958.0)</f>
        <v>44958</v>
      </c>
      <c r="B42" s="1" t="str">
        <f>IFERROR(__xludf.DUMMYFUNCTION("""COMPUTED_VALUE"""),"2.498 €/m2")</f>
        <v>2.498 €/m2</v>
      </c>
      <c r="C42" s="1" t="str">
        <f>IFERROR(__xludf.DUMMYFUNCTION("""COMPUTED_VALUE"""),"+ 1,6 %")</f>
        <v>+ 1,6 %</v>
      </c>
      <c r="D42" s="1" t="str">
        <f>IFERROR(__xludf.DUMMYFUNCTION("""COMPUTED_VALUE"""),"+ 0,7 %")</f>
        <v>+ 0,7 %</v>
      </c>
      <c r="E42" s="1" t="str">
        <f>IFERROR(__xludf.DUMMYFUNCTION("""COMPUTED_VALUE"""),"+ 9,1 %")</f>
        <v>+ 9,1 %</v>
      </c>
    </row>
    <row r="43">
      <c r="A43" s="2">
        <f>IFERROR(__xludf.DUMMYFUNCTION("""COMPUTED_VALUE"""),44927.0)</f>
        <v>44927</v>
      </c>
      <c r="B43" s="1" t="str">
        <f>IFERROR(__xludf.DUMMYFUNCTION("""COMPUTED_VALUE"""),"2.460 €/m2")</f>
        <v>2.460 €/m2</v>
      </c>
      <c r="C43" s="1" t="str">
        <f>IFERROR(__xludf.DUMMYFUNCTION("""COMPUTED_VALUE"""),"- 0,7 %")</f>
        <v>- 0,7 %</v>
      </c>
      <c r="D43" s="1" t="str">
        <f>IFERROR(__xludf.DUMMYFUNCTION("""COMPUTED_VALUE"""),"+ 1,2 %")</f>
        <v>+ 1,2 %</v>
      </c>
      <c r="E43" s="1" t="str">
        <f>IFERROR(__xludf.DUMMYFUNCTION("""COMPUTED_VALUE"""),"+ 6,4 %")</f>
        <v>+ 6,4 %</v>
      </c>
    </row>
    <row r="44">
      <c r="A44" s="2">
        <f>IFERROR(__xludf.DUMMYFUNCTION("""COMPUTED_VALUE"""),44896.0)</f>
        <v>44896</v>
      </c>
      <c r="B44" s="1" t="str">
        <f>IFERROR(__xludf.DUMMYFUNCTION("""COMPUTED_VALUE"""),"2.477 €/m2")</f>
        <v>2.477 €/m2</v>
      </c>
      <c r="C44" s="1" t="str">
        <f>IFERROR(__xludf.DUMMYFUNCTION("""COMPUTED_VALUE"""),"- 0,1 %")</f>
        <v>- 0,1 %</v>
      </c>
      <c r="D44" s="1" t="str">
        <f>IFERROR(__xludf.DUMMYFUNCTION("""COMPUTED_VALUE"""),"+ 1,8 %")</f>
        <v>+ 1,8 %</v>
      </c>
      <c r="E44" s="1" t="str">
        <f>IFERROR(__xludf.DUMMYFUNCTION("""COMPUTED_VALUE"""),"+ 8,4 %")</f>
        <v>+ 8,4 %</v>
      </c>
    </row>
    <row r="45">
      <c r="A45" s="2">
        <f>IFERROR(__xludf.DUMMYFUNCTION("""COMPUTED_VALUE"""),44866.0)</f>
        <v>44866</v>
      </c>
      <c r="B45" s="1" t="str">
        <f>IFERROR(__xludf.DUMMYFUNCTION("""COMPUTED_VALUE"""),"2.480 €/m2")</f>
        <v>2.480 €/m2</v>
      </c>
      <c r="C45" s="1" t="str">
        <f>IFERROR(__xludf.DUMMYFUNCTION("""COMPUTED_VALUE"""),"+ 2,0 %")</f>
        <v>+ 2,0 %</v>
      </c>
      <c r="D45" s="1" t="str">
        <f>IFERROR(__xludf.DUMMYFUNCTION("""COMPUTED_VALUE"""),"+ 0,9 %")</f>
        <v>+ 0,9 %</v>
      </c>
      <c r="E45" s="1" t="str">
        <f>IFERROR(__xludf.DUMMYFUNCTION("""COMPUTED_VALUE"""),"+ 9,2 %")</f>
        <v>+ 9,2 %</v>
      </c>
    </row>
    <row r="46">
      <c r="A46" s="2">
        <f>IFERROR(__xludf.DUMMYFUNCTION("""COMPUTED_VALUE"""),44835.0)</f>
        <v>44835</v>
      </c>
      <c r="B46" s="1" t="str">
        <f>IFERROR(__xludf.DUMMYFUNCTION("""COMPUTED_VALUE"""),"2.432 €/m2")</f>
        <v>2.432 €/m2</v>
      </c>
      <c r="C46" s="1" t="str">
        <f>IFERROR(__xludf.DUMMYFUNCTION("""COMPUTED_VALUE"""),"- 0,1 %")</f>
        <v>- 0,1 %</v>
      </c>
      <c r="D46" s="1" t="str">
        <f>IFERROR(__xludf.DUMMYFUNCTION("""COMPUTED_VALUE"""),"+ 0,3 %")</f>
        <v>+ 0,3 %</v>
      </c>
      <c r="E46" s="1" t="str">
        <f>IFERROR(__xludf.DUMMYFUNCTION("""COMPUTED_VALUE"""),"+ 7,3 %")</f>
        <v>+ 7,3 %</v>
      </c>
    </row>
    <row r="47">
      <c r="A47" s="2">
        <f>IFERROR(__xludf.DUMMYFUNCTION("""COMPUTED_VALUE"""),44805.0)</f>
        <v>44805</v>
      </c>
      <c r="B47" s="1" t="str">
        <f>IFERROR(__xludf.DUMMYFUNCTION("""COMPUTED_VALUE"""),"2.434 €/m2")</f>
        <v>2.434 €/m2</v>
      </c>
      <c r="C47" s="1" t="str">
        <f>IFERROR(__xludf.DUMMYFUNCTION("""COMPUTED_VALUE"""),"- 1,0 %")</f>
        <v>- 1,0 %</v>
      </c>
      <c r="D47" s="1" t="str">
        <f>IFERROR(__xludf.DUMMYFUNCTION("""COMPUTED_VALUE"""),"+ 1,2 %")</f>
        <v>+ 1,2 %</v>
      </c>
      <c r="E47" s="1" t="str">
        <f>IFERROR(__xludf.DUMMYFUNCTION("""COMPUTED_VALUE"""),"+ 7,2 %")</f>
        <v>+ 7,2 %</v>
      </c>
    </row>
    <row r="48">
      <c r="A48" s="2">
        <f>IFERROR(__xludf.DUMMYFUNCTION("""COMPUTED_VALUE"""),44774.0)</f>
        <v>44774</v>
      </c>
      <c r="B48" s="1" t="str">
        <f>IFERROR(__xludf.DUMMYFUNCTION("""COMPUTED_VALUE"""),"2.458 €/m2")</f>
        <v>2.458 €/m2</v>
      </c>
      <c r="C48" s="1" t="str">
        <f>IFERROR(__xludf.DUMMYFUNCTION("""COMPUTED_VALUE"""),"+ 1,5 %")</f>
        <v>+ 1,5 %</v>
      </c>
      <c r="D48" s="1" t="str">
        <f>IFERROR(__xludf.DUMMYFUNCTION("""COMPUTED_VALUE"""),"+ 6,2 %")</f>
        <v>+ 6,2 %</v>
      </c>
      <c r="E48" s="1" t="str">
        <f>IFERROR(__xludf.DUMMYFUNCTION("""COMPUTED_VALUE"""),"+ 8,2 %")</f>
        <v>+ 8,2 %</v>
      </c>
    </row>
    <row r="49">
      <c r="A49" s="2">
        <f>IFERROR(__xludf.DUMMYFUNCTION("""COMPUTED_VALUE"""),44743.0)</f>
        <v>44743</v>
      </c>
      <c r="B49" s="1" t="str">
        <f>IFERROR(__xludf.DUMMYFUNCTION("""COMPUTED_VALUE"""),"2.423 €/m2")</f>
        <v>2.423 €/m2</v>
      </c>
      <c r="C49" s="1" t="str">
        <f>IFERROR(__xludf.DUMMYFUNCTION("""COMPUTED_VALUE"""),"+ 0,8 %")</f>
        <v>+ 0,8 %</v>
      </c>
      <c r="D49" s="1" t="str">
        <f>IFERROR(__xludf.DUMMYFUNCTION("""COMPUTED_VALUE"""),"+ 5,4 %")</f>
        <v>+ 5,4 %</v>
      </c>
      <c r="E49" s="1" t="str">
        <f>IFERROR(__xludf.DUMMYFUNCTION("""COMPUTED_VALUE"""),"+ 7,1 %")</f>
        <v>+ 7,1 %</v>
      </c>
    </row>
    <row r="50">
      <c r="A50" s="2">
        <f>IFERROR(__xludf.DUMMYFUNCTION("""COMPUTED_VALUE"""),44713.0)</f>
        <v>44713</v>
      </c>
      <c r="B50" s="1" t="str">
        <f>IFERROR(__xludf.DUMMYFUNCTION("""COMPUTED_VALUE"""),"2.404 €/m2")</f>
        <v>2.404 €/m2</v>
      </c>
      <c r="C50" s="1" t="str">
        <f>IFERROR(__xludf.DUMMYFUNCTION("""COMPUTED_VALUE"""),"+ 3,8 %")</f>
        <v>+ 3,8 %</v>
      </c>
      <c r="D50" s="1" t="str">
        <f>IFERROR(__xludf.DUMMYFUNCTION("""COMPUTED_VALUE"""),"+ 4,7 %")</f>
        <v>+ 4,7 %</v>
      </c>
      <c r="E50" s="1" t="str">
        <f>IFERROR(__xludf.DUMMYFUNCTION("""COMPUTED_VALUE"""),"+ 5,6 %")</f>
        <v>+ 5,6 %</v>
      </c>
    </row>
    <row r="51">
      <c r="A51" s="2">
        <f>IFERROR(__xludf.DUMMYFUNCTION("""COMPUTED_VALUE"""),44682.0)</f>
        <v>44682</v>
      </c>
      <c r="B51" s="1" t="str">
        <f>IFERROR(__xludf.DUMMYFUNCTION("""COMPUTED_VALUE"""),"2.315 €/m2")</f>
        <v>2.315 €/m2</v>
      </c>
      <c r="C51" s="1" t="str">
        <f>IFERROR(__xludf.DUMMYFUNCTION("""COMPUTED_VALUE"""),"+ 0,7 %")</f>
        <v>+ 0,7 %</v>
      </c>
      <c r="D51" s="1" t="str">
        <f>IFERROR(__xludf.DUMMYFUNCTION("""COMPUTED_VALUE"""),"+ 1,2 %")</f>
        <v>+ 1,2 %</v>
      </c>
      <c r="E51" s="1" t="str">
        <f>IFERROR(__xludf.DUMMYFUNCTION("""COMPUTED_VALUE"""),"+ 1,4 %")</f>
        <v>+ 1,4 %</v>
      </c>
    </row>
    <row r="52">
      <c r="A52" s="2">
        <f>IFERROR(__xludf.DUMMYFUNCTION("""COMPUTED_VALUE"""),44652.0)</f>
        <v>44652</v>
      </c>
      <c r="B52" s="1" t="str">
        <f>IFERROR(__xludf.DUMMYFUNCTION("""COMPUTED_VALUE"""),"2.299 €/m2")</f>
        <v>2.299 €/m2</v>
      </c>
      <c r="C52" s="1" t="str">
        <f>IFERROR(__xludf.DUMMYFUNCTION("""COMPUTED_VALUE"""),"+ 0,1 %")</f>
        <v>+ 0,1 %</v>
      </c>
      <c r="D52" s="1" t="str">
        <f>IFERROR(__xludf.DUMMYFUNCTION("""COMPUTED_VALUE"""),"- 0,6 %")</f>
        <v>- 0,6 %</v>
      </c>
      <c r="E52" s="1" t="str">
        <f>IFERROR(__xludf.DUMMYFUNCTION("""COMPUTED_VALUE"""),"+ 1,2 %")</f>
        <v>+ 1,2 %</v>
      </c>
    </row>
    <row r="53">
      <c r="A53" s="2">
        <f>IFERROR(__xludf.DUMMYFUNCTION("""COMPUTED_VALUE"""),44621.0)</f>
        <v>44621</v>
      </c>
      <c r="B53" s="1" t="str">
        <f>IFERROR(__xludf.DUMMYFUNCTION("""COMPUTED_VALUE"""),"2.296 €/m2")</f>
        <v>2.296 €/m2</v>
      </c>
      <c r="C53" s="1" t="str">
        <f>IFERROR(__xludf.DUMMYFUNCTION("""COMPUTED_VALUE"""),"+ 0,3 %")</f>
        <v>+ 0,3 %</v>
      </c>
      <c r="D53" s="1" t="str">
        <f>IFERROR(__xludf.DUMMYFUNCTION("""COMPUTED_VALUE"""),"+ 0,5 %")</f>
        <v>+ 0,5 %</v>
      </c>
      <c r="E53" s="1" t="str">
        <f>IFERROR(__xludf.DUMMYFUNCTION("""COMPUTED_VALUE"""),"+ 2,3 %")</f>
        <v>+ 2,3 %</v>
      </c>
    </row>
    <row r="54">
      <c r="A54" s="2">
        <f>IFERROR(__xludf.DUMMYFUNCTION("""COMPUTED_VALUE"""),44593.0)</f>
        <v>44593</v>
      </c>
      <c r="B54" s="1" t="str">
        <f>IFERROR(__xludf.DUMMYFUNCTION("""COMPUTED_VALUE"""),"2.289 €/m2")</f>
        <v>2.289 €/m2</v>
      </c>
      <c r="C54" s="1" t="str">
        <f>IFERROR(__xludf.DUMMYFUNCTION("""COMPUTED_VALUE"""),"- 1,0 %")</f>
        <v>- 1,0 %</v>
      </c>
      <c r="D54" s="1" t="str">
        <f>IFERROR(__xludf.DUMMYFUNCTION("""COMPUTED_VALUE"""),"+ 0,8 %")</f>
        <v>+ 0,8 %</v>
      </c>
      <c r="E54" s="1" t="str">
        <f>IFERROR(__xludf.DUMMYFUNCTION("""COMPUTED_VALUE"""),"+ 2,2 %")</f>
        <v>+ 2,2 %</v>
      </c>
    </row>
    <row r="55">
      <c r="A55" s="2">
        <f>IFERROR(__xludf.DUMMYFUNCTION("""COMPUTED_VALUE"""),44562.0)</f>
        <v>44562</v>
      </c>
      <c r="B55" s="1" t="str">
        <f>IFERROR(__xludf.DUMMYFUNCTION("""COMPUTED_VALUE"""),"2.312 €/m2")</f>
        <v>2.312 €/m2</v>
      </c>
      <c r="C55" s="1" t="str">
        <f>IFERROR(__xludf.DUMMYFUNCTION("""COMPUTED_VALUE"""),"+ 1,2 %")</f>
        <v>+ 1,2 %</v>
      </c>
      <c r="D55" s="1" t="str">
        <f>IFERROR(__xludf.DUMMYFUNCTION("""COMPUTED_VALUE"""),"+ 2,0 %")</f>
        <v>+ 2,0 %</v>
      </c>
      <c r="E55" s="1" t="str">
        <f>IFERROR(__xludf.DUMMYFUNCTION("""COMPUTED_VALUE"""),"+ 3,3 %")</f>
        <v>+ 3,3 %</v>
      </c>
    </row>
    <row r="56">
      <c r="A56" s="2">
        <f>IFERROR(__xludf.DUMMYFUNCTION("""COMPUTED_VALUE"""),44531.0)</f>
        <v>44531</v>
      </c>
      <c r="B56" s="1" t="str">
        <f>IFERROR(__xludf.DUMMYFUNCTION("""COMPUTED_VALUE"""),"2.285 €/m2")</f>
        <v>2.285 €/m2</v>
      </c>
      <c r="C56" s="1" t="str">
        <f>IFERROR(__xludf.DUMMYFUNCTION("""COMPUTED_VALUE"""),"+ 0,7 %")</f>
        <v>+ 0,7 %</v>
      </c>
      <c r="D56" s="1" t="str">
        <f>IFERROR(__xludf.DUMMYFUNCTION("""COMPUTED_VALUE"""),"+ 0,7 %")</f>
        <v>+ 0,7 %</v>
      </c>
      <c r="E56" s="1" t="str">
        <f>IFERROR(__xludf.DUMMYFUNCTION("""COMPUTED_VALUE"""),"+ 2,0 %")</f>
        <v>+ 2,0 %</v>
      </c>
    </row>
    <row r="57">
      <c r="A57" s="2">
        <f>IFERROR(__xludf.DUMMYFUNCTION("""COMPUTED_VALUE"""),44501.0)</f>
        <v>44501</v>
      </c>
      <c r="B57" s="1" t="str">
        <f>IFERROR(__xludf.DUMMYFUNCTION("""COMPUTED_VALUE"""),"2.270 €/m2")</f>
        <v>2.270 €/m2</v>
      </c>
      <c r="C57" s="1" t="str">
        <f>IFERROR(__xludf.DUMMYFUNCTION("""COMPUTED_VALUE"""),"+ 0,1 %")</f>
        <v>+ 0,1 %</v>
      </c>
      <c r="D57" s="1" t="str">
        <f>IFERROR(__xludf.DUMMYFUNCTION("""COMPUTED_VALUE"""),"- 0,1 %")</f>
        <v>- 0,1 %</v>
      </c>
      <c r="E57" s="1" t="str">
        <f>IFERROR(__xludf.DUMMYFUNCTION("""COMPUTED_VALUE"""),"+ 0,8 %")</f>
        <v>+ 0,8 %</v>
      </c>
    </row>
    <row r="58">
      <c r="A58" s="2">
        <f>IFERROR(__xludf.DUMMYFUNCTION("""COMPUTED_VALUE"""),44470.0)</f>
        <v>44470</v>
      </c>
      <c r="B58" s="1" t="str">
        <f>IFERROR(__xludf.DUMMYFUNCTION("""COMPUTED_VALUE"""),"2.267 €/m2")</f>
        <v>2.267 €/m2</v>
      </c>
      <c r="C58" s="1" t="str">
        <f>IFERROR(__xludf.DUMMYFUNCTION("""COMPUTED_VALUE"""),"- 0,2 %")</f>
        <v>- 0,2 %</v>
      </c>
      <c r="D58" s="1" t="str">
        <f>IFERROR(__xludf.DUMMYFUNCTION("""COMPUTED_VALUE"""),"+ 0,1 %")</f>
        <v>+ 0,1 %</v>
      </c>
      <c r="E58" s="1" t="str">
        <f>IFERROR(__xludf.DUMMYFUNCTION("""COMPUTED_VALUE"""),"+ 1,1 %")</f>
        <v>+ 1,1 %</v>
      </c>
    </row>
    <row r="59">
      <c r="A59" s="2">
        <f>IFERROR(__xludf.DUMMYFUNCTION("""COMPUTED_VALUE"""),44440.0)</f>
        <v>44440</v>
      </c>
      <c r="B59" s="1" t="str">
        <f>IFERROR(__xludf.DUMMYFUNCTION("""COMPUTED_VALUE"""),"2.270 €/m2")</f>
        <v>2.270 €/m2</v>
      </c>
      <c r="C59" s="1" t="str">
        <f>IFERROR(__xludf.DUMMYFUNCTION("""COMPUTED_VALUE"""),"- 0,1 %")</f>
        <v>- 0,1 %</v>
      </c>
      <c r="D59" s="1" t="str">
        <f>IFERROR(__xludf.DUMMYFUNCTION("""COMPUTED_VALUE"""),"- 0,2 %")</f>
        <v>- 0,2 %</v>
      </c>
      <c r="E59" s="1" t="str">
        <f>IFERROR(__xludf.DUMMYFUNCTION("""COMPUTED_VALUE"""),"+ 0,4 %")</f>
        <v>+ 0,4 %</v>
      </c>
    </row>
    <row r="60">
      <c r="A60" s="2">
        <f>IFERROR(__xludf.DUMMYFUNCTION("""COMPUTED_VALUE"""),44409.0)</f>
        <v>44409</v>
      </c>
      <c r="B60" s="1" t="str">
        <f>IFERROR(__xludf.DUMMYFUNCTION("""COMPUTED_VALUE"""),"2.272 €/m2")</f>
        <v>2.272 €/m2</v>
      </c>
      <c r="C60" s="1" t="str">
        <f>IFERROR(__xludf.DUMMYFUNCTION("""COMPUTED_VALUE"""),"+ 0,4 %")</f>
        <v>+ 0,4 %</v>
      </c>
      <c r="D60" s="1" t="str">
        <f>IFERROR(__xludf.DUMMYFUNCTION("""COMPUTED_VALUE"""),"- 0,5 %")</f>
        <v>- 0,5 %</v>
      </c>
      <c r="E60" s="1" t="str">
        <f>IFERROR(__xludf.DUMMYFUNCTION("""COMPUTED_VALUE"""),"+ 0,2 %")</f>
        <v>+ 0,2 %</v>
      </c>
    </row>
    <row r="61">
      <c r="A61" s="2">
        <f>IFERROR(__xludf.DUMMYFUNCTION("""COMPUTED_VALUE"""),44378.0)</f>
        <v>44378</v>
      </c>
      <c r="B61" s="1" t="str">
        <f>IFERROR(__xludf.DUMMYFUNCTION("""COMPUTED_VALUE"""),"2.263 €/m2")</f>
        <v>2.263 €/m2</v>
      </c>
      <c r="C61" s="1" t="str">
        <f>IFERROR(__xludf.DUMMYFUNCTION("""COMPUTED_VALUE"""),"- 0,5 %")</f>
        <v>- 0,5 %</v>
      </c>
      <c r="D61" s="1" t="str">
        <f>IFERROR(__xludf.DUMMYFUNCTION("""COMPUTED_VALUE"""),"- 0,4 %")</f>
        <v>- 0,4 %</v>
      </c>
      <c r="E61" s="1" t="str">
        <f>IFERROR(__xludf.DUMMYFUNCTION("""COMPUTED_VALUE"""),"- 2,1 %")</f>
        <v>- 2,1 %</v>
      </c>
    </row>
    <row r="62">
      <c r="A62" s="2">
        <f>IFERROR(__xludf.DUMMYFUNCTION("""COMPUTED_VALUE"""),44348.0)</f>
        <v>44348</v>
      </c>
      <c r="B62" s="1" t="str">
        <f>IFERROR(__xludf.DUMMYFUNCTION("""COMPUTED_VALUE"""),"2.276 €/m2")</f>
        <v>2.276 €/m2</v>
      </c>
      <c r="C62" s="1" t="str">
        <f>IFERROR(__xludf.DUMMYFUNCTION("""COMPUTED_VALUE"""),"- 0,4 %")</f>
        <v>- 0,4 %</v>
      </c>
      <c r="D62" s="1" t="str">
        <f>IFERROR(__xludf.DUMMYFUNCTION("""COMPUTED_VALUE"""),"+ 1,4 %")</f>
        <v>+ 1,4 %</v>
      </c>
      <c r="E62" s="1" t="str">
        <f>IFERROR(__xludf.DUMMYFUNCTION("""COMPUTED_VALUE"""),"- 2,8 %")</f>
        <v>- 2,8 %</v>
      </c>
    </row>
    <row r="63">
      <c r="A63" s="2">
        <f>IFERROR(__xludf.DUMMYFUNCTION("""COMPUTED_VALUE"""),44317.0)</f>
        <v>44317</v>
      </c>
      <c r="B63" s="1" t="str">
        <f>IFERROR(__xludf.DUMMYFUNCTION("""COMPUTED_VALUE"""),"2.284 €/m2")</f>
        <v>2.284 €/m2</v>
      </c>
      <c r="C63" s="1" t="str">
        <f>IFERROR(__xludf.DUMMYFUNCTION("""COMPUTED_VALUE"""),"+ 0,5 %")</f>
        <v>+ 0,5 %</v>
      </c>
      <c r="D63" s="1" t="str">
        <f>IFERROR(__xludf.DUMMYFUNCTION("""COMPUTED_VALUE"""),"+ 2,0 %")</f>
        <v>+ 2,0 %</v>
      </c>
      <c r="E63" s="1" t="str">
        <f>IFERROR(__xludf.DUMMYFUNCTION("""COMPUTED_VALUE"""),"- 2,9 %")</f>
        <v>- 2,9 %</v>
      </c>
    </row>
    <row r="64">
      <c r="A64" s="2">
        <f>IFERROR(__xludf.DUMMYFUNCTION("""COMPUTED_VALUE"""),44287.0)</f>
        <v>44287</v>
      </c>
      <c r="B64" s="1" t="str">
        <f>IFERROR(__xludf.DUMMYFUNCTION("""COMPUTED_VALUE"""),"2.272 €/m2")</f>
        <v>2.272 €/m2</v>
      </c>
      <c r="C64" s="1" t="str">
        <f>IFERROR(__xludf.DUMMYFUNCTION("""COMPUTED_VALUE"""),"+ 1,3 %")</f>
        <v>+ 1,3 %</v>
      </c>
      <c r="D64" s="1" t="str">
        <f>IFERROR(__xludf.DUMMYFUNCTION("""COMPUTED_VALUE"""),"+ 1,5 %")</f>
        <v>+ 1,5 %</v>
      </c>
      <c r="E64" s="1" t="str">
        <f>IFERROR(__xludf.DUMMYFUNCTION("""COMPUTED_VALUE"""),"- 3,9 %")</f>
        <v>- 3,9 %</v>
      </c>
    </row>
    <row r="65">
      <c r="A65" s="2">
        <f>IFERROR(__xludf.DUMMYFUNCTION("""COMPUTED_VALUE"""),44256.0)</f>
        <v>44256</v>
      </c>
      <c r="B65" s="1" t="str">
        <f>IFERROR(__xludf.DUMMYFUNCTION("""COMPUTED_VALUE"""),"2.244 €/m2")</f>
        <v>2.244 €/m2</v>
      </c>
      <c r="C65" s="1" t="str">
        <f>IFERROR(__xludf.DUMMYFUNCTION("""COMPUTED_VALUE"""),"+ 0,2 %")</f>
        <v>+ 0,2 %</v>
      </c>
      <c r="D65" s="1" t="str">
        <f>IFERROR(__xludf.DUMMYFUNCTION("""COMPUTED_VALUE"""),"+ 0,1 %")</f>
        <v>+ 0,1 %</v>
      </c>
      <c r="E65" s="1" t="str">
        <f>IFERROR(__xludf.DUMMYFUNCTION("""COMPUTED_VALUE"""),"- 4,2 %")</f>
        <v>- 4,2 %</v>
      </c>
    </row>
    <row r="66">
      <c r="A66" s="2">
        <f>IFERROR(__xludf.DUMMYFUNCTION("""COMPUTED_VALUE"""),44228.0)</f>
        <v>44228</v>
      </c>
      <c r="B66" s="1" t="str">
        <f>IFERROR(__xludf.DUMMYFUNCTION("""COMPUTED_VALUE"""),"2.239 €/m2")</f>
        <v>2.239 €/m2</v>
      </c>
      <c r="C66" s="1" t="str">
        <f>IFERROR(__xludf.DUMMYFUNCTION("""COMPUTED_VALUE"""),"+ 0,1 %")</f>
        <v>+ 0,1 %</v>
      </c>
      <c r="D66" s="1" t="str">
        <f>IFERROR(__xludf.DUMMYFUNCTION("""COMPUTED_VALUE"""),"- 0,6 %")</f>
        <v>- 0,6 %</v>
      </c>
      <c r="E66" s="1" t="str">
        <f>IFERROR(__xludf.DUMMYFUNCTION("""COMPUTED_VALUE"""),"- 3,9 %")</f>
        <v>- 3,9 %</v>
      </c>
    </row>
    <row r="67">
      <c r="A67" s="2">
        <f>IFERROR(__xludf.DUMMYFUNCTION("""COMPUTED_VALUE"""),44197.0)</f>
        <v>44197</v>
      </c>
      <c r="B67" s="1" t="str">
        <f>IFERROR(__xludf.DUMMYFUNCTION("""COMPUTED_VALUE"""),"2.238 €/m2")</f>
        <v>2.238 €/m2</v>
      </c>
      <c r="C67" s="1" t="str">
        <f>IFERROR(__xludf.DUMMYFUNCTION("""COMPUTED_VALUE"""),"- 0,1 %")</f>
        <v>- 0,1 %</v>
      </c>
      <c r="D67" s="1" t="str">
        <f>IFERROR(__xludf.DUMMYFUNCTION("""COMPUTED_VALUE"""),"- 0,2 %")</f>
        <v>- 0,2 %</v>
      </c>
      <c r="E67" s="1" t="str">
        <f>IFERROR(__xludf.DUMMYFUNCTION("""COMPUTED_VALUE"""),"- 3,1 %")</f>
        <v>- 3,1 %</v>
      </c>
    </row>
    <row r="68">
      <c r="A68" s="2">
        <f>IFERROR(__xludf.DUMMYFUNCTION("""COMPUTED_VALUE"""),44166.0)</f>
        <v>44166</v>
      </c>
      <c r="B68" s="1" t="str">
        <f>IFERROR(__xludf.DUMMYFUNCTION("""COMPUTED_VALUE"""),"2.241 €/m2")</f>
        <v>2.241 €/m2</v>
      </c>
      <c r="C68" s="1" t="str">
        <f>IFERROR(__xludf.DUMMYFUNCTION("""COMPUTED_VALUE"""),"- 0,6 %")</f>
        <v>- 0,6 %</v>
      </c>
      <c r="D68" s="1" t="str">
        <f>IFERROR(__xludf.DUMMYFUNCTION("""COMPUTED_VALUE"""),"- 1,0 %")</f>
        <v>- 1,0 %</v>
      </c>
      <c r="E68" s="1" t="str">
        <f>IFERROR(__xludf.DUMMYFUNCTION("""COMPUTED_VALUE"""),"- 3,3 %")</f>
        <v>- 3,3 %</v>
      </c>
    </row>
    <row r="69">
      <c r="A69" s="2">
        <f>IFERROR(__xludf.DUMMYFUNCTION("""COMPUTED_VALUE"""),44136.0)</f>
        <v>44136</v>
      </c>
      <c r="B69" s="1" t="str">
        <f>IFERROR(__xludf.DUMMYFUNCTION("""COMPUTED_VALUE"""),"2.253 €/m2")</f>
        <v>2.253 €/m2</v>
      </c>
      <c r="C69" s="1" t="str">
        <f>IFERROR(__xludf.DUMMYFUNCTION("""COMPUTED_VALUE"""),"+ 0,5 %")</f>
        <v>+ 0,5 %</v>
      </c>
      <c r="D69" s="1" t="str">
        <f>IFERROR(__xludf.DUMMYFUNCTION("""COMPUTED_VALUE"""),"- 0,6 %")</f>
        <v>- 0,6 %</v>
      </c>
      <c r="E69" s="1" t="str">
        <f>IFERROR(__xludf.DUMMYFUNCTION("""COMPUTED_VALUE"""),"- 2,4 %")</f>
        <v>- 2,4 %</v>
      </c>
    </row>
    <row r="70">
      <c r="A70" s="2">
        <f>IFERROR(__xludf.DUMMYFUNCTION("""COMPUTED_VALUE"""),44105.0)</f>
        <v>44105</v>
      </c>
      <c r="B70" s="1" t="str">
        <f>IFERROR(__xludf.DUMMYFUNCTION("""COMPUTED_VALUE"""),"2.242 €/m2")</f>
        <v>2.242 €/m2</v>
      </c>
      <c r="C70" s="1" t="str">
        <f>IFERROR(__xludf.DUMMYFUNCTION("""COMPUTED_VALUE"""),"- 0,9 %")</f>
        <v>- 0,9 %</v>
      </c>
      <c r="D70" s="1" t="str">
        <f>IFERROR(__xludf.DUMMYFUNCTION("""COMPUTED_VALUE"""),"- 3,1 %")</f>
        <v>- 3,1 %</v>
      </c>
      <c r="E70" s="1" t="str">
        <f>IFERROR(__xludf.DUMMYFUNCTION("""COMPUTED_VALUE"""),"- 3,0 %")</f>
        <v>- 3,0 %</v>
      </c>
    </row>
    <row r="71">
      <c r="A71" s="2">
        <f>IFERROR(__xludf.DUMMYFUNCTION("""COMPUTED_VALUE"""),44075.0)</f>
        <v>44075</v>
      </c>
      <c r="B71" s="1" t="str">
        <f>IFERROR(__xludf.DUMMYFUNCTION("""COMPUTED_VALUE"""),"2.262 €/m2")</f>
        <v>2.262 €/m2</v>
      </c>
      <c r="C71" s="1" t="str">
        <f>IFERROR(__xludf.DUMMYFUNCTION("""COMPUTED_VALUE"""),"- 0,2 %")</f>
        <v>- 0,2 %</v>
      </c>
      <c r="D71" s="1" t="str">
        <f>IFERROR(__xludf.DUMMYFUNCTION("""COMPUTED_VALUE"""),"- 3,3 %")</f>
        <v>- 3,3 %</v>
      </c>
      <c r="E71" s="1" t="str">
        <f>IFERROR(__xludf.DUMMYFUNCTION("""COMPUTED_VALUE"""),"- 1,1 %")</f>
        <v>- 1,1 %</v>
      </c>
    </row>
    <row r="72">
      <c r="A72" s="2">
        <f>IFERROR(__xludf.DUMMYFUNCTION("""COMPUTED_VALUE"""),44044.0)</f>
        <v>44044</v>
      </c>
      <c r="B72" s="1" t="str">
        <f>IFERROR(__xludf.DUMMYFUNCTION("""COMPUTED_VALUE"""),"2.267 €/m2")</f>
        <v>2.267 €/m2</v>
      </c>
      <c r="C72" s="1" t="str">
        <f>IFERROR(__xludf.DUMMYFUNCTION("""COMPUTED_VALUE"""),"- 2,0 %")</f>
        <v>- 2,0 %</v>
      </c>
      <c r="D72" s="1" t="str">
        <f>IFERROR(__xludf.DUMMYFUNCTION("""COMPUTED_VALUE"""),"- 3,6 %")</f>
        <v>- 3,6 %</v>
      </c>
      <c r="E72" s="1" t="str">
        <f>IFERROR(__xludf.DUMMYFUNCTION("""COMPUTED_VALUE"""),"- 1,7 %")</f>
        <v>- 1,7 %</v>
      </c>
    </row>
    <row r="73">
      <c r="A73" s="2">
        <f>IFERROR(__xludf.DUMMYFUNCTION("""COMPUTED_VALUE"""),44013.0)</f>
        <v>44013</v>
      </c>
      <c r="B73" s="1" t="str">
        <f>IFERROR(__xludf.DUMMYFUNCTION("""COMPUTED_VALUE"""),"2.312 €/m2")</f>
        <v>2.312 €/m2</v>
      </c>
      <c r="C73" s="1" t="str">
        <f>IFERROR(__xludf.DUMMYFUNCTION("""COMPUTED_VALUE"""),"- 1,2 %")</f>
        <v>- 1,2 %</v>
      </c>
      <c r="D73" s="1" t="str">
        <f>IFERROR(__xludf.DUMMYFUNCTION("""COMPUTED_VALUE"""),"- 2,2 %")</f>
        <v>- 2,2 %</v>
      </c>
      <c r="E73" s="1" t="str">
        <f>IFERROR(__xludf.DUMMYFUNCTION("""COMPUTED_VALUE"""),"+ 1,3 %")</f>
        <v>+ 1,3 %</v>
      </c>
    </row>
    <row r="74">
      <c r="A74" s="2">
        <f>IFERROR(__xludf.DUMMYFUNCTION("""COMPUTED_VALUE"""),43983.0)</f>
        <v>43983</v>
      </c>
      <c r="B74" s="1" t="str">
        <f>IFERROR(__xludf.DUMMYFUNCTION("""COMPUTED_VALUE"""),"2.340 €/m2")</f>
        <v>2.340 €/m2</v>
      </c>
      <c r="C74" s="1" t="str">
        <f>IFERROR(__xludf.DUMMYFUNCTION("""COMPUTED_VALUE"""),"- 0,5 %")</f>
        <v>- 0,5 %</v>
      </c>
      <c r="D74" s="1" t="str">
        <f>IFERROR(__xludf.DUMMYFUNCTION("""COMPUTED_VALUE"""),"- 0,1 %")</f>
        <v>- 0,1 %</v>
      </c>
      <c r="E74" s="1" t="str">
        <f>IFERROR(__xludf.DUMMYFUNCTION("""COMPUTED_VALUE"""),"+ 2,0 %")</f>
        <v>+ 2,0 %</v>
      </c>
    </row>
    <row r="75">
      <c r="A75" s="2">
        <f>IFERROR(__xludf.DUMMYFUNCTION("""COMPUTED_VALUE"""),43952.0)</f>
        <v>43952</v>
      </c>
      <c r="B75" s="1" t="str">
        <f>IFERROR(__xludf.DUMMYFUNCTION("""COMPUTED_VALUE"""),"2.352 €/m2")</f>
        <v>2.352 €/m2</v>
      </c>
      <c r="C75" s="1" t="str">
        <f>IFERROR(__xludf.DUMMYFUNCTION("""COMPUTED_VALUE"""),"- 0,5 %")</f>
        <v>- 0,5 %</v>
      </c>
      <c r="D75" s="1" t="str">
        <f>IFERROR(__xludf.DUMMYFUNCTION("""COMPUTED_VALUE"""),"+ 0,9 %")</f>
        <v>+ 0,9 %</v>
      </c>
      <c r="E75" s="1" t="str">
        <f>IFERROR(__xludf.DUMMYFUNCTION("""COMPUTED_VALUE"""),"+ 2,7 %")</f>
        <v>+ 2,7 %</v>
      </c>
    </row>
    <row r="76">
      <c r="A76" s="2">
        <f>IFERROR(__xludf.DUMMYFUNCTION("""COMPUTED_VALUE"""),43922.0)</f>
        <v>43922</v>
      </c>
      <c r="B76" s="1" t="str">
        <f>IFERROR(__xludf.DUMMYFUNCTION("""COMPUTED_VALUE"""),"2.363 €/m2")</f>
        <v>2.363 €/m2</v>
      </c>
      <c r="C76" s="1" t="str">
        <f>IFERROR(__xludf.DUMMYFUNCTION("""COMPUTED_VALUE"""),"+ 0,9 %")</f>
        <v>+ 0,9 %</v>
      </c>
      <c r="D76" s="1" t="str">
        <f>IFERROR(__xludf.DUMMYFUNCTION("""COMPUTED_VALUE"""),"+ 2,3 %")</f>
        <v>+ 2,3 %</v>
      </c>
      <c r="E76" s="1" t="str">
        <f>IFERROR(__xludf.DUMMYFUNCTION("""COMPUTED_VALUE"""),"+ 2,4 %")</f>
        <v>+ 2,4 %</v>
      </c>
    </row>
    <row r="77">
      <c r="A77" s="2">
        <f>IFERROR(__xludf.DUMMYFUNCTION("""COMPUTED_VALUE"""),43891.0)</f>
        <v>43891</v>
      </c>
      <c r="B77" s="1" t="str">
        <f>IFERROR(__xludf.DUMMYFUNCTION("""COMPUTED_VALUE"""),"2.342 €/m2")</f>
        <v>2.342 €/m2</v>
      </c>
      <c r="C77" s="1" t="str">
        <f>IFERROR(__xludf.DUMMYFUNCTION("""COMPUTED_VALUE"""),"+ 0,5 %")</f>
        <v>+ 0,5 %</v>
      </c>
      <c r="D77" s="1" t="str">
        <f>IFERROR(__xludf.DUMMYFUNCTION("""COMPUTED_VALUE"""),"+ 1,1 %")</f>
        <v>+ 1,1 %</v>
      </c>
      <c r="E77" s="1" t="str">
        <f>IFERROR(__xludf.DUMMYFUNCTION("""COMPUTED_VALUE"""),"+ 2,3 %")</f>
        <v>+ 2,3 %</v>
      </c>
    </row>
    <row r="78">
      <c r="A78" s="2">
        <f>IFERROR(__xludf.DUMMYFUNCTION("""COMPUTED_VALUE"""),43862.0)</f>
        <v>43862</v>
      </c>
      <c r="B78" s="1" t="str">
        <f>IFERROR(__xludf.DUMMYFUNCTION("""COMPUTED_VALUE"""),"2.331 €/m2")</f>
        <v>2.331 €/m2</v>
      </c>
      <c r="C78" s="1" t="str">
        <f>IFERROR(__xludf.DUMMYFUNCTION("""COMPUTED_VALUE"""),"+ 0,9 %")</f>
        <v>+ 0,9 %</v>
      </c>
      <c r="D78" s="1" t="str">
        <f>IFERROR(__xludf.DUMMYFUNCTION("""COMPUTED_VALUE"""),"+ 1,0 %")</f>
        <v>+ 1,0 %</v>
      </c>
      <c r="E78" s="1" t="str">
        <f>IFERROR(__xludf.DUMMYFUNCTION("""COMPUTED_VALUE"""),"+ 1,1 %")</f>
        <v>+ 1,1 %</v>
      </c>
    </row>
    <row r="79">
      <c r="A79" s="2">
        <f>IFERROR(__xludf.DUMMYFUNCTION("""COMPUTED_VALUE"""),43831.0)</f>
        <v>43831</v>
      </c>
      <c r="B79" s="1" t="str">
        <f>IFERROR(__xludf.DUMMYFUNCTION("""COMPUTED_VALUE"""),"2.310 €/m2")</f>
        <v>2.310 €/m2</v>
      </c>
      <c r="C79" s="1" t="str">
        <f>IFERROR(__xludf.DUMMYFUNCTION("""COMPUTED_VALUE"""),"- 0,3 %")</f>
        <v>- 0,3 %</v>
      </c>
      <c r="D79" s="1" t="str">
        <f>IFERROR(__xludf.DUMMYFUNCTION("""COMPUTED_VALUE"""),"0,0 %")</f>
        <v>0,0 %</v>
      </c>
      <c r="E79" s="1" t="str">
        <f>IFERROR(__xludf.DUMMYFUNCTION("""COMPUTED_VALUE"""),"+ 0,3 %")</f>
        <v>+ 0,3 %</v>
      </c>
    </row>
    <row r="80">
      <c r="A80" s="2">
        <f>IFERROR(__xludf.DUMMYFUNCTION("""COMPUTED_VALUE"""),43800.0)</f>
        <v>43800</v>
      </c>
      <c r="B80" s="1" t="str">
        <f>IFERROR(__xludf.DUMMYFUNCTION("""COMPUTED_VALUE"""),"2.317 €/m2")</f>
        <v>2.317 €/m2</v>
      </c>
      <c r="C80" s="1" t="str">
        <f>IFERROR(__xludf.DUMMYFUNCTION("""COMPUTED_VALUE"""),"+ 0,4 %")</f>
        <v>+ 0,4 %</v>
      </c>
      <c r="D80" s="1" t="str">
        <f>IFERROR(__xludf.DUMMYFUNCTION("""COMPUTED_VALUE"""),"+ 1,3 %")</f>
        <v>+ 1,3 %</v>
      </c>
      <c r="E80" s="1" t="str">
        <f>IFERROR(__xludf.DUMMYFUNCTION("""COMPUTED_VALUE"""),"+ 2,3 %")</f>
        <v>+ 2,3 %</v>
      </c>
    </row>
    <row r="81">
      <c r="A81" s="2">
        <f>IFERROR(__xludf.DUMMYFUNCTION("""COMPUTED_VALUE"""),43770.0)</f>
        <v>43770</v>
      </c>
      <c r="B81" s="1" t="str">
        <f>IFERROR(__xludf.DUMMYFUNCTION("""COMPUTED_VALUE"""),"2.308 €/m2")</f>
        <v>2.308 €/m2</v>
      </c>
      <c r="C81" s="1" t="str">
        <f>IFERROR(__xludf.DUMMYFUNCTION("""COMPUTED_VALUE"""),"- 0,1 %")</f>
        <v>- 0,1 %</v>
      </c>
      <c r="D81" s="1" t="str">
        <f>IFERROR(__xludf.DUMMYFUNCTION("""COMPUTED_VALUE"""),"+ 0,1 %")</f>
        <v>+ 0,1 %</v>
      </c>
      <c r="E81" s="1" t="str">
        <f>IFERROR(__xludf.DUMMYFUNCTION("""COMPUTED_VALUE"""),"+ 1,5 %")</f>
        <v>+ 1,5 %</v>
      </c>
    </row>
    <row r="82">
      <c r="A82" s="2">
        <f>IFERROR(__xludf.DUMMYFUNCTION("""COMPUTED_VALUE"""),43739.0)</f>
        <v>43739</v>
      </c>
      <c r="B82" s="1" t="str">
        <f>IFERROR(__xludf.DUMMYFUNCTION("""COMPUTED_VALUE"""),"2.310 €/m2")</f>
        <v>2.310 €/m2</v>
      </c>
      <c r="C82" s="1" t="str">
        <f>IFERROR(__xludf.DUMMYFUNCTION("""COMPUTED_VALUE"""),"+ 1,0 %")</f>
        <v>+ 1,0 %</v>
      </c>
      <c r="D82" s="1" t="str">
        <f>IFERROR(__xludf.DUMMYFUNCTION("""COMPUTED_VALUE"""),"+ 1,2 %")</f>
        <v>+ 1,2 %</v>
      </c>
      <c r="E82" s="1" t="str">
        <f>IFERROR(__xludf.DUMMYFUNCTION("""COMPUTED_VALUE"""),"+ 0,6 %")</f>
        <v>+ 0,6 %</v>
      </c>
    </row>
    <row r="83">
      <c r="A83" s="2">
        <f>IFERROR(__xludf.DUMMYFUNCTION("""COMPUTED_VALUE"""),43709.0)</f>
        <v>43709</v>
      </c>
      <c r="B83" s="1" t="str">
        <f>IFERROR(__xludf.DUMMYFUNCTION("""COMPUTED_VALUE"""),"2.288 €/m2")</f>
        <v>2.288 €/m2</v>
      </c>
      <c r="C83" s="1" t="str">
        <f>IFERROR(__xludf.DUMMYFUNCTION("""COMPUTED_VALUE"""),"- 0,7 %")</f>
        <v>- 0,7 %</v>
      </c>
      <c r="D83" s="1" t="str">
        <f>IFERROR(__xludf.DUMMYFUNCTION("""COMPUTED_VALUE"""),"- 0,3 %")</f>
        <v>- 0,3 %</v>
      </c>
      <c r="E83" s="1" t="str">
        <f>IFERROR(__xludf.DUMMYFUNCTION("""COMPUTED_VALUE"""),"+ 0,9 %")</f>
        <v>+ 0,9 %</v>
      </c>
    </row>
    <row r="84">
      <c r="A84" s="2">
        <f>IFERROR(__xludf.DUMMYFUNCTION("""COMPUTED_VALUE"""),43678.0)</f>
        <v>43678</v>
      </c>
      <c r="B84" s="1" t="str">
        <f>IFERROR(__xludf.DUMMYFUNCTION("""COMPUTED_VALUE"""),"2.305 €/m2")</f>
        <v>2.305 €/m2</v>
      </c>
      <c r="C84" s="1" t="str">
        <f>IFERROR(__xludf.DUMMYFUNCTION("""COMPUTED_VALUE"""),"+ 1,0 %")</f>
        <v>+ 1,0 %</v>
      </c>
      <c r="D84" s="1" t="str">
        <f>IFERROR(__xludf.DUMMYFUNCTION("""COMPUTED_VALUE"""),"+ 0,7 %")</f>
        <v>+ 0,7 %</v>
      </c>
      <c r="E84" s="1" t="str">
        <f>IFERROR(__xludf.DUMMYFUNCTION("""COMPUTED_VALUE"""),"+ 4,2 %")</f>
        <v>+ 4,2 %</v>
      </c>
    </row>
    <row r="85">
      <c r="A85" s="2">
        <f>IFERROR(__xludf.DUMMYFUNCTION("""COMPUTED_VALUE"""),43647.0)</f>
        <v>43647</v>
      </c>
      <c r="B85" s="1" t="str">
        <f>IFERROR(__xludf.DUMMYFUNCTION("""COMPUTED_VALUE"""),"2.283 €/m2")</f>
        <v>2.283 €/m2</v>
      </c>
      <c r="C85" s="1" t="str">
        <f>IFERROR(__xludf.DUMMYFUNCTION("""COMPUTED_VALUE"""),"- 0,5 %")</f>
        <v>- 0,5 %</v>
      </c>
      <c r="D85" s="1" t="str">
        <f>IFERROR(__xludf.DUMMYFUNCTION("""COMPUTED_VALUE"""),"- 1,1 %")</f>
        <v>- 1,1 %</v>
      </c>
      <c r="E85" s="1" t="str">
        <f>IFERROR(__xludf.DUMMYFUNCTION("""COMPUTED_VALUE"""),"+ 3,9 %")</f>
        <v>+ 3,9 %</v>
      </c>
    </row>
    <row r="86">
      <c r="A86" s="2">
        <f>IFERROR(__xludf.DUMMYFUNCTION("""COMPUTED_VALUE"""),43617.0)</f>
        <v>43617</v>
      </c>
      <c r="B86" s="1" t="str">
        <f>IFERROR(__xludf.DUMMYFUNCTION("""COMPUTED_VALUE"""),"2.295 €/m2")</f>
        <v>2.295 €/m2</v>
      </c>
      <c r="C86" s="1" t="str">
        <f>IFERROR(__xludf.DUMMYFUNCTION("""COMPUTED_VALUE"""),"+ 0,2 %")</f>
        <v>+ 0,2 %</v>
      </c>
      <c r="D86" s="1" t="str">
        <f>IFERROR(__xludf.DUMMYFUNCTION("""COMPUTED_VALUE"""),"+ 0,2 %")</f>
        <v>+ 0,2 %</v>
      </c>
      <c r="E86" s="1" t="str">
        <f>IFERROR(__xludf.DUMMYFUNCTION("""COMPUTED_VALUE"""),"+ 5,3 %")</f>
        <v>+ 5,3 %</v>
      </c>
    </row>
    <row r="87">
      <c r="A87" s="2">
        <f>IFERROR(__xludf.DUMMYFUNCTION("""COMPUTED_VALUE"""),43586.0)</f>
        <v>43586</v>
      </c>
      <c r="B87" s="1" t="str">
        <f>IFERROR(__xludf.DUMMYFUNCTION("""COMPUTED_VALUE"""),"2.289 €/m2")</f>
        <v>2.289 €/m2</v>
      </c>
      <c r="C87" s="1" t="str">
        <f>IFERROR(__xludf.DUMMYFUNCTION("""COMPUTED_VALUE"""),"- 0,8 %")</f>
        <v>- 0,8 %</v>
      </c>
      <c r="D87" s="1" t="str">
        <f>IFERROR(__xludf.DUMMYFUNCTION("""COMPUTED_VALUE"""),"- 0,7 %")</f>
        <v>- 0,7 %</v>
      </c>
      <c r="E87" s="1" t="str">
        <f>IFERROR(__xludf.DUMMYFUNCTION("""COMPUTED_VALUE"""),"+ 6,8 %")</f>
        <v>+ 6,8 %</v>
      </c>
    </row>
    <row r="88">
      <c r="A88" s="2">
        <f>IFERROR(__xludf.DUMMYFUNCTION("""COMPUTED_VALUE"""),43556.0)</f>
        <v>43556</v>
      </c>
      <c r="B88" s="1" t="str">
        <f>IFERROR(__xludf.DUMMYFUNCTION("""COMPUTED_VALUE"""),"2.309 €/m2")</f>
        <v>2.309 €/m2</v>
      </c>
      <c r="C88" s="1" t="str">
        <f>IFERROR(__xludf.DUMMYFUNCTION("""COMPUTED_VALUE"""),"+ 0,8 %")</f>
        <v>+ 0,8 %</v>
      </c>
      <c r="D88" s="1" t="str">
        <f>IFERROR(__xludf.DUMMYFUNCTION("""COMPUTED_VALUE"""),"+ 0,2 %")</f>
        <v>+ 0,2 %</v>
      </c>
      <c r="E88" s="1" t="str">
        <f>IFERROR(__xludf.DUMMYFUNCTION("""COMPUTED_VALUE"""),"+ 10,1 %")</f>
        <v>+ 10,1 %</v>
      </c>
    </row>
    <row r="89">
      <c r="A89" s="2">
        <f>IFERROR(__xludf.DUMMYFUNCTION("""COMPUTED_VALUE"""),43525.0)</f>
        <v>43525</v>
      </c>
      <c r="B89" s="1" t="str">
        <f>IFERROR(__xludf.DUMMYFUNCTION("""COMPUTED_VALUE"""),"2.290 €/m2")</f>
        <v>2.290 €/m2</v>
      </c>
      <c r="C89" s="1" t="str">
        <f>IFERROR(__xludf.DUMMYFUNCTION("""COMPUTED_VALUE"""),"- 0,7 %")</f>
        <v>- 0,7 %</v>
      </c>
      <c r="D89" s="1" t="str">
        <f>IFERROR(__xludf.DUMMYFUNCTION("""COMPUTED_VALUE"""),"+ 1,1 %")</f>
        <v>+ 1,1 %</v>
      </c>
      <c r="E89" s="1" t="str">
        <f>IFERROR(__xludf.DUMMYFUNCTION("""COMPUTED_VALUE"""),"+ 11,2 %")</f>
        <v>+ 11,2 %</v>
      </c>
    </row>
    <row r="90">
      <c r="A90" s="2">
        <f>IFERROR(__xludf.DUMMYFUNCTION("""COMPUTED_VALUE"""),43497.0)</f>
        <v>43497</v>
      </c>
      <c r="B90" s="1" t="str">
        <f>IFERROR(__xludf.DUMMYFUNCTION("""COMPUTED_VALUE"""),"2.305 €/m2")</f>
        <v>2.305 €/m2</v>
      </c>
      <c r="C90" s="1" t="str">
        <f>IFERROR(__xludf.DUMMYFUNCTION("""COMPUTED_VALUE"""),"+ 0,1 %")</f>
        <v>+ 0,1 %</v>
      </c>
      <c r="D90" s="1" t="str">
        <f>IFERROR(__xludf.DUMMYFUNCTION("""COMPUTED_VALUE"""),"+ 1,4 %")</f>
        <v>+ 1,4 %</v>
      </c>
      <c r="E90" s="1" t="str">
        <f>IFERROR(__xludf.DUMMYFUNCTION("""COMPUTED_VALUE"""),"+ 13,4 %")</f>
        <v>+ 13,4 %</v>
      </c>
    </row>
    <row r="91">
      <c r="A91" s="2">
        <f>IFERROR(__xludf.DUMMYFUNCTION("""COMPUTED_VALUE"""),43466.0)</f>
        <v>43466</v>
      </c>
      <c r="B91" s="1" t="str">
        <f>IFERROR(__xludf.DUMMYFUNCTION("""COMPUTED_VALUE"""),"2.303 €/m2")</f>
        <v>2.303 €/m2</v>
      </c>
      <c r="C91" s="1" t="str">
        <f>IFERROR(__xludf.DUMMYFUNCTION("""COMPUTED_VALUE"""),"+ 1,7 %")</f>
        <v>+ 1,7 %</v>
      </c>
      <c r="D91" s="1" t="str">
        <f>IFERROR(__xludf.DUMMYFUNCTION("""COMPUTED_VALUE"""),"+ 0,3 %")</f>
        <v>+ 0,3 %</v>
      </c>
      <c r="E91" s="1" t="str">
        <f>IFERROR(__xludf.DUMMYFUNCTION("""COMPUTED_VALUE"""),"+ 15,4 %")</f>
        <v>+ 15,4 %</v>
      </c>
    </row>
    <row r="92">
      <c r="A92" s="2">
        <f>IFERROR(__xludf.DUMMYFUNCTION("""COMPUTED_VALUE"""),43435.0)</f>
        <v>43435</v>
      </c>
      <c r="B92" s="1" t="str">
        <f>IFERROR(__xludf.DUMMYFUNCTION("""COMPUTED_VALUE"""),"2.264 €/m2")</f>
        <v>2.264 €/m2</v>
      </c>
      <c r="C92" s="1" t="str">
        <f>IFERROR(__xludf.DUMMYFUNCTION("""COMPUTED_VALUE"""),"- 0,4 %")</f>
        <v>- 0,4 %</v>
      </c>
      <c r="D92" s="1" t="str">
        <f>IFERROR(__xludf.DUMMYFUNCTION("""COMPUTED_VALUE"""),"- 0,2 %")</f>
        <v>- 0,2 %</v>
      </c>
      <c r="E92" s="1" t="str">
        <f>IFERROR(__xludf.DUMMYFUNCTION("""COMPUTED_VALUE"""),"+ 14,1 %")</f>
        <v>+ 14,1 %</v>
      </c>
    </row>
    <row r="93">
      <c r="A93" s="2">
        <f>IFERROR(__xludf.DUMMYFUNCTION("""COMPUTED_VALUE"""),43405.0)</f>
        <v>43405</v>
      </c>
      <c r="B93" s="1" t="str">
        <f>IFERROR(__xludf.DUMMYFUNCTION("""COMPUTED_VALUE"""),"2.273 €/m2")</f>
        <v>2.273 €/m2</v>
      </c>
      <c r="C93" s="1" t="str">
        <f>IFERROR(__xludf.DUMMYFUNCTION("""COMPUTED_VALUE"""),"- 1,0 %")</f>
        <v>- 1,0 %</v>
      </c>
      <c r="D93" s="1" t="str">
        <f>IFERROR(__xludf.DUMMYFUNCTION("""COMPUTED_VALUE"""),"+ 2,7 %")</f>
        <v>+ 2,7 %</v>
      </c>
      <c r="E93" s="1" t="str">
        <f>IFERROR(__xludf.DUMMYFUNCTION("""COMPUTED_VALUE"""),"+ 16,8 %")</f>
        <v>+ 16,8 %</v>
      </c>
    </row>
    <row r="94">
      <c r="A94" s="2">
        <f>IFERROR(__xludf.DUMMYFUNCTION("""COMPUTED_VALUE"""),43374.0)</f>
        <v>43374</v>
      </c>
      <c r="B94" s="1" t="str">
        <f>IFERROR(__xludf.DUMMYFUNCTION("""COMPUTED_VALUE"""),"2.297 €/m2")</f>
        <v>2.297 €/m2</v>
      </c>
      <c r="C94" s="1" t="str">
        <f>IFERROR(__xludf.DUMMYFUNCTION("""COMPUTED_VALUE"""),"+ 1,3 %")</f>
        <v>+ 1,3 %</v>
      </c>
      <c r="D94" s="1" t="str">
        <f>IFERROR(__xludf.DUMMYFUNCTION("""COMPUTED_VALUE"""),"+ 4,6 %")</f>
        <v>+ 4,6 %</v>
      </c>
      <c r="E94" s="1" t="str">
        <f>IFERROR(__xludf.DUMMYFUNCTION("""COMPUTED_VALUE"""),"+ 19,7 %")</f>
        <v>+ 19,7 %</v>
      </c>
    </row>
    <row r="95">
      <c r="A95" s="2">
        <f>IFERROR(__xludf.DUMMYFUNCTION("""COMPUTED_VALUE"""),43344.0)</f>
        <v>43344</v>
      </c>
      <c r="B95" s="1" t="str">
        <f>IFERROR(__xludf.DUMMYFUNCTION("""COMPUTED_VALUE"""),"2.268 €/m2")</f>
        <v>2.268 €/m2</v>
      </c>
      <c r="C95" s="1" t="str">
        <f>IFERROR(__xludf.DUMMYFUNCTION("""COMPUTED_VALUE"""),"+ 2,5 %")</f>
        <v>+ 2,5 %</v>
      </c>
      <c r="D95" s="1" t="str">
        <f>IFERROR(__xludf.DUMMYFUNCTION("""COMPUTED_VALUE"""),"+ 4,0 %")</f>
        <v>+ 4,0 %</v>
      </c>
      <c r="E95" s="1" t="str">
        <f>IFERROR(__xludf.DUMMYFUNCTION("""COMPUTED_VALUE"""),"+ 19,9 %")</f>
        <v>+ 19,9 %</v>
      </c>
    </row>
    <row r="96">
      <c r="A96" s="2">
        <f>IFERROR(__xludf.DUMMYFUNCTION("""COMPUTED_VALUE"""),43313.0)</f>
        <v>43313</v>
      </c>
      <c r="B96" s="1" t="str">
        <f>IFERROR(__xludf.DUMMYFUNCTION("""COMPUTED_VALUE"""),"2.213 €/m2")</f>
        <v>2.213 €/m2</v>
      </c>
      <c r="C96" s="1" t="str">
        <f>IFERROR(__xludf.DUMMYFUNCTION("""COMPUTED_VALUE"""),"+ 0,7 %")</f>
        <v>+ 0,7 %</v>
      </c>
      <c r="D96" s="1" t="str">
        <f>IFERROR(__xludf.DUMMYFUNCTION("""COMPUTED_VALUE"""),"+ 3,2 %")</f>
        <v>+ 3,2 %</v>
      </c>
      <c r="E96" s="1" t="str">
        <f>IFERROR(__xludf.DUMMYFUNCTION("""COMPUTED_VALUE"""),"+ 19,9 %")</f>
        <v>+ 19,9 %</v>
      </c>
    </row>
    <row r="97">
      <c r="A97" s="2">
        <f>IFERROR(__xludf.DUMMYFUNCTION("""COMPUTED_VALUE"""),43282.0)</f>
        <v>43282</v>
      </c>
      <c r="B97" s="1" t="str">
        <f>IFERROR(__xludf.DUMMYFUNCTION("""COMPUTED_VALUE"""),"2.197 €/m2")</f>
        <v>2.197 €/m2</v>
      </c>
      <c r="C97" s="1" t="str">
        <f>IFERROR(__xludf.DUMMYFUNCTION("""COMPUTED_VALUE"""),"+ 0,8 %")</f>
        <v>+ 0,8 %</v>
      </c>
      <c r="D97" s="1" t="str">
        <f>IFERROR(__xludf.DUMMYFUNCTION("""COMPUTED_VALUE"""),"+ 4,8 %")</f>
        <v>+ 4,8 %</v>
      </c>
      <c r="E97" s="1" t="str">
        <f>IFERROR(__xludf.DUMMYFUNCTION("""COMPUTED_VALUE"""),"+ 18,4 %")</f>
        <v>+ 18,4 %</v>
      </c>
    </row>
    <row r="98">
      <c r="A98" s="2">
        <f>IFERROR(__xludf.DUMMYFUNCTION("""COMPUTED_VALUE"""),43252.0)</f>
        <v>43252</v>
      </c>
      <c r="B98" s="1" t="str">
        <f>IFERROR(__xludf.DUMMYFUNCTION("""COMPUTED_VALUE"""),"2.180 €/m2")</f>
        <v>2.180 €/m2</v>
      </c>
      <c r="C98" s="1" t="str">
        <f>IFERROR(__xludf.DUMMYFUNCTION("""COMPUTED_VALUE"""),"+ 1,7 %")</f>
        <v>+ 1,7 %</v>
      </c>
      <c r="D98" s="1" t="str">
        <f>IFERROR(__xludf.DUMMYFUNCTION("""COMPUTED_VALUE"""),"+ 5,9 %")</f>
        <v>+ 5,9 %</v>
      </c>
      <c r="E98" s="1" t="str">
        <f>IFERROR(__xludf.DUMMYFUNCTION("""COMPUTED_VALUE"""),"+ 18,7 %")</f>
        <v>+ 18,7 %</v>
      </c>
    </row>
    <row r="99">
      <c r="A99" s="2">
        <f>IFERROR(__xludf.DUMMYFUNCTION("""COMPUTED_VALUE"""),43221.0)</f>
        <v>43221</v>
      </c>
      <c r="B99" s="1" t="str">
        <f>IFERROR(__xludf.DUMMYFUNCTION("""COMPUTED_VALUE"""),"2.143 €/m2")</f>
        <v>2.143 €/m2</v>
      </c>
      <c r="C99" s="1" t="str">
        <f>IFERROR(__xludf.DUMMYFUNCTION("""COMPUTED_VALUE"""),"+ 2,2 %")</f>
        <v>+ 2,2 %</v>
      </c>
      <c r="D99" s="1" t="str">
        <f>IFERROR(__xludf.DUMMYFUNCTION("""COMPUTED_VALUE"""),"+ 5,4 %")</f>
        <v>+ 5,4 %</v>
      </c>
      <c r="E99" s="1" t="str">
        <f>IFERROR(__xludf.DUMMYFUNCTION("""COMPUTED_VALUE"""),"+ 17,8 %")</f>
        <v>+ 17,8 %</v>
      </c>
    </row>
    <row r="100">
      <c r="A100" s="2">
        <f>IFERROR(__xludf.DUMMYFUNCTION("""COMPUTED_VALUE"""),43191.0)</f>
        <v>43191</v>
      </c>
      <c r="B100" s="1" t="str">
        <f>IFERROR(__xludf.DUMMYFUNCTION("""COMPUTED_VALUE"""),"2.096 €/m2")</f>
        <v>2.096 €/m2</v>
      </c>
      <c r="C100" s="1" t="str">
        <f>IFERROR(__xludf.DUMMYFUNCTION("""COMPUTED_VALUE"""),"+ 1,8 %")</f>
        <v>+ 1,8 %</v>
      </c>
      <c r="D100" s="1" t="str">
        <f>IFERROR(__xludf.DUMMYFUNCTION("""COMPUTED_VALUE"""),"+ 5,1 %")</f>
        <v>+ 5,1 %</v>
      </c>
      <c r="E100" s="1" t="str">
        <f>IFERROR(__xludf.DUMMYFUNCTION("""COMPUTED_VALUE"""),"+ 17,4 %")</f>
        <v>+ 17,4 %</v>
      </c>
    </row>
    <row r="101">
      <c r="A101" s="2">
        <f>IFERROR(__xludf.DUMMYFUNCTION("""COMPUTED_VALUE"""),43160.0)</f>
        <v>43160</v>
      </c>
      <c r="B101" s="1" t="str">
        <f>IFERROR(__xludf.DUMMYFUNCTION("""COMPUTED_VALUE"""),"2.059 €/m2")</f>
        <v>2.059 €/m2</v>
      </c>
      <c r="C101" s="1" t="str">
        <f>IFERROR(__xludf.DUMMYFUNCTION("""COMPUTED_VALUE"""),"+ 1,3 %")</f>
        <v>+ 1,3 %</v>
      </c>
      <c r="D101" s="1" t="str">
        <f>IFERROR(__xludf.DUMMYFUNCTION("""COMPUTED_VALUE"""),"+ 3,8 %")</f>
        <v>+ 3,8 %</v>
      </c>
      <c r="E101" s="1" t="str">
        <f>IFERROR(__xludf.DUMMYFUNCTION("""COMPUTED_VALUE"""),"+ 14,7 %")</f>
        <v>+ 14,7 %</v>
      </c>
    </row>
    <row r="102">
      <c r="A102" s="2">
        <f>IFERROR(__xludf.DUMMYFUNCTION("""COMPUTED_VALUE"""),43132.0)</f>
        <v>43132</v>
      </c>
      <c r="B102" s="1" t="str">
        <f>IFERROR(__xludf.DUMMYFUNCTION("""COMPUTED_VALUE"""),"2.033 €/m2")</f>
        <v>2.033 €/m2</v>
      </c>
      <c r="C102" s="1" t="str">
        <f>IFERROR(__xludf.DUMMYFUNCTION("""COMPUTED_VALUE"""),"+ 1,9 %")</f>
        <v>+ 1,9 %</v>
      </c>
      <c r="D102" s="1" t="str">
        <f>IFERROR(__xludf.DUMMYFUNCTION("""COMPUTED_VALUE"""),"+ 4,4 %")</f>
        <v>+ 4,4 %</v>
      </c>
      <c r="E102" s="1" t="str">
        <f>IFERROR(__xludf.DUMMYFUNCTION("""COMPUTED_VALUE"""),"+ 13,3 %")</f>
        <v>+ 13,3 %</v>
      </c>
    </row>
    <row r="103">
      <c r="A103" s="2">
        <f>IFERROR(__xludf.DUMMYFUNCTION("""COMPUTED_VALUE"""),43101.0)</f>
        <v>43101</v>
      </c>
      <c r="B103" s="1" t="str">
        <f>IFERROR(__xludf.DUMMYFUNCTION("""COMPUTED_VALUE"""),"1.995 €/m2")</f>
        <v>1.995 €/m2</v>
      </c>
      <c r="C103" s="1" t="str">
        <f>IFERROR(__xludf.DUMMYFUNCTION("""COMPUTED_VALUE"""),"+ 0,6 %")</f>
        <v>+ 0,6 %</v>
      </c>
      <c r="D103" s="1" t="str">
        <f>IFERROR(__xludf.DUMMYFUNCTION("""COMPUTED_VALUE"""),"+ 4,0 %")</f>
        <v>+ 4,0 %</v>
      </c>
      <c r="E103" s="1" t="str">
        <f>IFERROR(__xludf.DUMMYFUNCTION("""COMPUTED_VALUE"""),"+ 12,0 %")</f>
        <v>+ 12,0 %</v>
      </c>
    </row>
    <row r="104">
      <c r="A104" s="2">
        <f>IFERROR(__xludf.DUMMYFUNCTION("""COMPUTED_VALUE"""),43070.0)</f>
        <v>43070</v>
      </c>
      <c r="B104" s="1" t="str">
        <f>IFERROR(__xludf.DUMMYFUNCTION("""COMPUTED_VALUE"""),"1.984 €/m2")</f>
        <v>1.984 €/m2</v>
      </c>
      <c r="C104" s="1" t="str">
        <f>IFERROR(__xludf.DUMMYFUNCTION("""COMPUTED_VALUE"""),"+ 1,9 %")</f>
        <v>+ 1,9 %</v>
      </c>
      <c r="D104" s="1" t="str">
        <f>IFERROR(__xludf.DUMMYFUNCTION("""COMPUTED_VALUE"""),"+ 4,9 %")</f>
        <v>+ 4,9 %</v>
      </c>
      <c r="E104" s="1" t="str">
        <f>IFERROR(__xludf.DUMMYFUNCTION("""COMPUTED_VALUE"""),"+ 11,8 %")</f>
        <v>+ 11,8 %</v>
      </c>
    </row>
    <row r="105">
      <c r="A105" s="2">
        <f>IFERROR(__xludf.DUMMYFUNCTION("""COMPUTED_VALUE"""),43040.0)</f>
        <v>43040</v>
      </c>
      <c r="B105" s="1" t="str">
        <f>IFERROR(__xludf.DUMMYFUNCTION("""COMPUTED_VALUE"""),"1.947 €/m2")</f>
        <v>1.947 €/m2</v>
      </c>
      <c r="C105" s="1" t="str">
        <f>IFERROR(__xludf.DUMMYFUNCTION("""COMPUTED_VALUE"""),"+ 1,5 %")</f>
        <v>+ 1,5 %</v>
      </c>
      <c r="D105" s="1" t="str">
        <f>IFERROR(__xludf.DUMMYFUNCTION("""COMPUTED_VALUE"""),"+ 5,4 %")</f>
        <v>+ 5,4 %</v>
      </c>
      <c r="E105" s="1" t="str">
        <f>IFERROR(__xludf.DUMMYFUNCTION("""COMPUTED_VALUE"""),"+ 9,6 %")</f>
        <v>+ 9,6 %</v>
      </c>
    </row>
    <row r="106">
      <c r="A106" s="2">
        <f>IFERROR(__xludf.DUMMYFUNCTION("""COMPUTED_VALUE"""),43009.0)</f>
        <v>43009</v>
      </c>
      <c r="B106" s="1" t="str">
        <f>IFERROR(__xludf.DUMMYFUNCTION("""COMPUTED_VALUE"""),"1.918 €/m2")</f>
        <v>1.918 €/m2</v>
      </c>
      <c r="C106" s="1" t="str">
        <f>IFERROR(__xludf.DUMMYFUNCTION("""COMPUTED_VALUE"""),"+ 1,4 %")</f>
        <v>+ 1,4 %</v>
      </c>
      <c r="D106" s="1" t="str">
        <f>IFERROR(__xludf.DUMMYFUNCTION("""COMPUTED_VALUE"""),"+ 3,4 %")</f>
        <v>+ 3,4 %</v>
      </c>
      <c r="E106" s="1" t="str">
        <f>IFERROR(__xludf.DUMMYFUNCTION("""COMPUTED_VALUE"""),"+ 6,7 %")</f>
        <v>+ 6,7 %</v>
      </c>
    </row>
    <row r="107">
      <c r="A107" s="2">
        <f>IFERROR(__xludf.DUMMYFUNCTION("""COMPUTED_VALUE"""),42979.0)</f>
        <v>42979</v>
      </c>
      <c r="B107" s="1" t="str">
        <f>IFERROR(__xludf.DUMMYFUNCTION("""COMPUTED_VALUE"""),"1.892 €/m2")</f>
        <v>1.892 €/m2</v>
      </c>
      <c r="C107" s="1" t="str">
        <f>IFERROR(__xludf.DUMMYFUNCTION("""COMPUTED_VALUE"""),"+ 2,4 %")</f>
        <v>+ 2,4 %</v>
      </c>
      <c r="D107" s="1" t="str">
        <f>IFERROR(__xludf.DUMMYFUNCTION("""COMPUTED_VALUE"""),"+ 2,9 %")</f>
        <v>+ 2,9 %</v>
      </c>
      <c r="E107" s="1" t="str">
        <f>IFERROR(__xludf.DUMMYFUNCTION("""COMPUTED_VALUE"""),"+ 7,3 %")</f>
        <v>+ 7,3 %</v>
      </c>
    </row>
    <row r="108">
      <c r="A108" s="2">
        <f>IFERROR(__xludf.DUMMYFUNCTION("""COMPUTED_VALUE"""),42948.0)</f>
        <v>42948</v>
      </c>
      <c r="B108" s="1" t="str">
        <f>IFERROR(__xludf.DUMMYFUNCTION("""COMPUTED_VALUE"""),"1.846 €/m2")</f>
        <v>1.846 €/m2</v>
      </c>
      <c r="C108" s="1" t="str">
        <f>IFERROR(__xludf.DUMMYFUNCTION("""COMPUTED_VALUE"""),"- 0,5 %")</f>
        <v>- 0,5 %</v>
      </c>
      <c r="D108" s="1" t="str">
        <f>IFERROR(__xludf.DUMMYFUNCTION("""COMPUTED_VALUE"""),"+ 1,5 %")</f>
        <v>+ 1,5 %</v>
      </c>
      <c r="E108" s="1" t="str">
        <f>IFERROR(__xludf.DUMMYFUNCTION("""COMPUTED_VALUE"""),"+ 5,8 %")</f>
        <v>+ 5,8 %</v>
      </c>
    </row>
    <row r="109">
      <c r="A109" s="2">
        <f>IFERROR(__xludf.DUMMYFUNCTION("""COMPUTED_VALUE"""),42917.0)</f>
        <v>42917</v>
      </c>
      <c r="B109" s="1" t="str">
        <f>IFERROR(__xludf.DUMMYFUNCTION("""COMPUTED_VALUE"""),"1.856 €/m2")</f>
        <v>1.856 €/m2</v>
      </c>
      <c r="C109" s="1" t="str">
        <f>IFERROR(__xludf.DUMMYFUNCTION("""COMPUTED_VALUE"""),"+ 1,0 %")</f>
        <v>+ 1,0 %</v>
      </c>
      <c r="D109" s="1" t="str">
        <f>IFERROR(__xludf.DUMMYFUNCTION("""COMPUTED_VALUE"""),"+ 3,9 %")</f>
        <v>+ 3,9 %</v>
      </c>
      <c r="E109" s="1" t="str">
        <f>IFERROR(__xludf.DUMMYFUNCTION("""COMPUTED_VALUE"""),"+ 6,4 %")</f>
        <v>+ 6,4 %</v>
      </c>
    </row>
    <row r="110">
      <c r="A110" s="2">
        <f>IFERROR(__xludf.DUMMYFUNCTION("""COMPUTED_VALUE"""),42887.0)</f>
        <v>42887</v>
      </c>
      <c r="B110" s="1" t="str">
        <f>IFERROR(__xludf.DUMMYFUNCTION("""COMPUTED_VALUE"""),"1.838 €/m2")</f>
        <v>1.838 €/m2</v>
      </c>
      <c r="C110" s="1" t="str">
        <f>IFERROR(__xludf.DUMMYFUNCTION("""COMPUTED_VALUE"""),"+ 1,0 %")</f>
        <v>+ 1,0 %</v>
      </c>
      <c r="D110" s="1" t="str">
        <f>IFERROR(__xludf.DUMMYFUNCTION("""COMPUTED_VALUE"""),"+ 2,4 %")</f>
        <v>+ 2,4 %</v>
      </c>
      <c r="E110" s="1" t="str">
        <f>IFERROR(__xludf.DUMMYFUNCTION("""COMPUTED_VALUE"""),"+ 6,6 %")</f>
        <v>+ 6,6 %</v>
      </c>
    </row>
    <row r="111">
      <c r="A111" s="2">
        <f>IFERROR(__xludf.DUMMYFUNCTION("""COMPUTED_VALUE"""),42856.0)</f>
        <v>42856</v>
      </c>
      <c r="B111" s="1" t="str">
        <f>IFERROR(__xludf.DUMMYFUNCTION("""COMPUTED_VALUE"""),"1.820 €/m2")</f>
        <v>1.820 €/m2</v>
      </c>
      <c r="C111" s="1" t="str">
        <f>IFERROR(__xludf.DUMMYFUNCTION("""COMPUTED_VALUE"""),"+ 1,9 %")</f>
        <v>+ 1,9 %</v>
      </c>
      <c r="D111" s="1" t="str">
        <f>IFERROR(__xludf.DUMMYFUNCTION("""COMPUTED_VALUE"""),"+ 1,4 %")</f>
        <v>+ 1,4 %</v>
      </c>
      <c r="E111" s="1" t="str">
        <f>IFERROR(__xludf.DUMMYFUNCTION("""COMPUTED_VALUE"""),"+ 5,2 %")</f>
        <v>+ 5,2 %</v>
      </c>
    </row>
    <row r="112">
      <c r="A112" s="2">
        <f>IFERROR(__xludf.DUMMYFUNCTION("""COMPUTED_VALUE"""),42826.0)</f>
        <v>42826</v>
      </c>
      <c r="B112" s="1" t="str">
        <f>IFERROR(__xludf.DUMMYFUNCTION("""COMPUTED_VALUE"""),"1.786 €/m2")</f>
        <v>1.786 €/m2</v>
      </c>
      <c r="C112" s="1" t="str">
        <f>IFERROR(__xludf.DUMMYFUNCTION("""COMPUTED_VALUE"""),"- 0,4 %")</f>
        <v>- 0,4 %</v>
      </c>
      <c r="D112" s="1" t="str">
        <f>IFERROR(__xludf.DUMMYFUNCTION("""COMPUTED_VALUE"""),"+ 0,3 %")</f>
        <v>+ 0,3 %</v>
      </c>
      <c r="E112" s="1" t="str">
        <f>IFERROR(__xludf.DUMMYFUNCTION("""COMPUTED_VALUE"""),"+ 4,9 %")</f>
        <v>+ 4,9 %</v>
      </c>
    </row>
    <row r="113">
      <c r="A113" s="2">
        <f>IFERROR(__xludf.DUMMYFUNCTION("""COMPUTED_VALUE"""),42795.0)</f>
        <v>42795</v>
      </c>
      <c r="B113" s="1" t="str">
        <f>IFERROR(__xludf.DUMMYFUNCTION("""COMPUTED_VALUE"""),"1.794 €/m2")</f>
        <v>1.794 €/m2</v>
      </c>
      <c r="C113" s="1" t="str">
        <f>IFERROR(__xludf.DUMMYFUNCTION("""COMPUTED_VALUE"""),"0,0 %")</f>
        <v>0,0 %</v>
      </c>
      <c r="D113" s="1" t="str">
        <f>IFERROR(__xludf.DUMMYFUNCTION("""COMPUTED_VALUE"""),"+ 1,1 %")</f>
        <v>+ 1,1 %</v>
      </c>
      <c r="E113" s="1" t="str">
        <f>IFERROR(__xludf.DUMMYFUNCTION("""COMPUTED_VALUE"""),"+ 7,6 %")</f>
        <v>+ 7,6 %</v>
      </c>
    </row>
    <row r="114">
      <c r="A114" s="2">
        <f>IFERROR(__xludf.DUMMYFUNCTION("""COMPUTED_VALUE"""),42767.0)</f>
        <v>42767</v>
      </c>
      <c r="B114" s="1" t="str">
        <f>IFERROR(__xludf.DUMMYFUNCTION("""COMPUTED_VALUE"""),"1.794 €/m2")</f>
        <v>1.794 €/m2</v>
      </c>
      <c r="C114" s="1" t="str">
        <f>IFERROR(__xludf.DUMMYFUNCTION("""COMPUTED_VALUE"""),"+ 0,7 %")</f>
        <v>+ 0,7 %</v>
      </c>
      <c r="D114" s="1" t="str">
        <f>IFERROR(__xludf.DUMMYFUNCTION("""COMPUTED_VALUE"""),"+ 1,0 %")</f>
        <v>+ 1,0 %</v>
      </c>
      <c r="E114" s="1" t="str">
        <f>IFERROR(__xludf.DUMMYFUNCTION("""COMPUTED_VALUE"""),"+ 6,6 %")</f>
        <v>+ 6,6 %</v>
      </c>
    </row>
    <row r="115">
      <c r="A115" s="2">
        <f>IFERROR(__xludf.DUMMYFUNCTION("""COMPUTED_VALUE"""),42736.0)</f>
        <v>42736</v>
      </c>
      <c r="B115" s="1" t="str">
        <f>IFERROR(__xludf.DUMMYFUNCTION("""COMPUTED_VALUE"""),"1.782 €/m2")</f>
        <v>1.782 €/m2</v>
      </c>
      <c r="C115" s="1" t="str">
        <f>IFERROR(__xludf.DUMMYFUNCTION("""COMPUTED_VALUE"""),"+ 0,4 %")</f>
        <v>+ 0,4 %</v>
      </c>
      <c r="D115" s="1" t="str">
        <f>IFERROR(__xludf.DUMMYFUNCTION("""COMPUTED_VALUE"""),"- 0,9 %")</f>
        <v>- 0,9 %</v>
      </c>
      <c r="E115" s="1" t="str">
        <f>IFERROR(__xludf.DUMMYFUNCTION("""COMPUTED_VALUE"""),"+ 5,0 %")</f>
        <v>+ 5,0 %</v>
      </c>
    </row>
    <row r="116">
      <c r="A116" s="2">
        <f>IFERROR(__xludf.DUMMYFUNCTION("""COMPUTED_VALUE"""),42705.0)</f>
        <v>42705</v>
      </c>
      <c r="B116" s="1" t="str">
        <f>IFERROR(__xludf.DUMMYFUNCTION("""COMPUTED_VALUE"""),"1.774 €/m2")</f>
        <v>1.774 €/m2</v>
      </c>
      <c r="C116" s="1" t="str">
        <f>IFERROR(__xludf.DUMMYFUNCTION("""COMPUTED_VALUE"""),"- 0,1 %")</f>
        <v>- 0,1 %</v>
      </c>
      <c r="D116" s="1" t="str">
        <f>IFERROR(__xludf.DUMMYFUNCTION("""COMPUTED_VALUE"""),"+ 0,6 %")</f>
        <v>+ 0,6 %</v>
      </c>
      <c r="E116" s="1" t="str">
        <f>IFERROR(__xludf.DUMMYFUNCTION("""COMPUTED_VALUE"""),"+ 6,0 %")</f>
        <v>+ 6,0 %</v>
      </c>
    </row>
    <row r="117">
      <c r="A117" s="2">
        <f>IFERROR(__xludf.DUMMYFUNCTION("""COMPUTED_VALUE"""),42675.0)</f>
        <v>42675</v>
      </c>
      <c r="B117" s="1" t="str">
        <f>IFERROR(__xludf.DUMMYFUNCTION("""COMPUTED_VALUE"""),"1.777 €/m2")</f>
        <v>1.777 €/m2</v>
      </c>
      <c r="C117" s="1" t="str">
        <f>IFERROR(__xludf.DUMMYFUNCTION("""COMPUTED_VALUE"""),"- 1,2 %")</f>
        <v>- 1,2 %</v>
      </c>
      <c r="D117" s="1" t="str">
        <f>IFERROR(__xludf.DUMMYFUNCTION("""COMPUTED_VALUE"""),"+ 1,8 %")</f>
        <v>+ 1,8 %</v>
      </c>
      <c r="E117" s="1" t="str">
        <f>IFERROR(__xludf.DUMMYFUNCTION("""COMPUTED_VALUE"""),"+ 6,3 %")</f>
        <v>+ 6,3 %</v>
      </c>
    </row>
    <row r="118">
      <c r="A118" s="2">
        <f>IFERROR(__xludf.DUMMYFUNCTION("""COMPUTED_VALUE"""),42644.0)</f>
        <v>42644</v>
      </c>
      <c r="B118" s="1" t="str">
        <f>IFERROR(__xludf.DUMMYFUNCTION("""COMPUTED_VALUE"""),"1.798 €/m2")</f>
        <v>1.798 €/m2</v>
      </c>
      <c r="C118" s="1" t="str">
        <f>IFERROR(__xludf.DUMMYFUNCTION("""COMPUTED_VALUE"""),"+ 2,0 %")</f>
        <v>+ 2,0 %</v>
      </c>
      <c r="D118" s="1" t="str">
        <f>IFERROR(__xludf.DUMMYFUNCTION("""COMPUTED_VALUE"""),"+ 3,1 %")</f>
        <v>+ 3,1 %</v>
      </c>
      <c r="E118" s="1" t="str">
        <f>IFERROR(__xludf.DUMMYFUNCTION("""COMPUTED_VALUE"""),"+ 8,6 %")</f>
        <v>+ 8,6 %</v>
      </c>
    </row>
    <row r="119">
      <c r="A119" s="2">
        <f>IFERROR(__xludf.DUMMYFUNCTION("""COMPUTED_VALUE"""),42614.0)</f>
        <v>42614</v>
      </c>
      <c r="B119" s="1" t="str">
        <f>IFERROR(__xludf.DUMMYFUNCTION("""COMPUTED_VALUE"""),"1.763 €/m2")</f>
        <v>1.763 €/m2</v>
      </c>
      <c r="C119" s="1" t="str">
        <f>IFERROR(__xludf.DUMMYFUNCTION("""COMPUTED_VALUE"""),"+ 1,0 %")</f>
        <v>+ 1,0 %</v>
      </c>
      <c r="D119" s="1" t="str">
        <f>IFERROR(__xludf.DUMMYFUNCTION("""COMPUTED_VALUE"""),"+ 2,3 %")</f>
        <v>+ 2,3 %</v>
      </c>
      <c r="E119" s="1" t="str">
        <f>IFERROR(__xludf.DUMMYFUNCTION("""COMPUTED_VALUE"""),"+ 5,7 %")</f>
        <v>+ 5,7 %</v>
      </c>
    </row>
    <row r="120">
      <c r="A120" s="2">
        <f>IFERROR(__xludf.DUMMYFUNCTION("""COMPUTED_VALUE"""),42583.0)</f>
        <v>42583</v>
      </c>
      <c r="B120" s="1" t="str">
        <f>IFERROR(__xludf.DUMMYFUNCTION("""COMPUTED_VALUE"""),"1.746 €/m2")</f>
        <v>1.746 €/m2</v>
      </c>
      <c r="C120" s="1" t="str">
        <f>IFERROR(__xludf.DUMMYFUNCTION("""COMPUTED_VALUE"""),"+ 0,1 %")</f>
        <v>+ 0,1 %</v>
      </c>
      <c r="D120" s="1" t="str">
        <f>IFERROR(__xludf.DUMMYFUNCTION("""COMPUTED_VALUE"""),"+ 0,9 %")</f>
        <v>+ 0,9 %</v>
      </c>
      <c r="E120" s="1" t="str">
        <f>IFERROR(__xludf.DUMMYFUNCTION("""COMPUTED_VALUE"""),"+ 6,2 %")</f>
        <v>+ 6,2 %</v>
      </c>
    </row>
    <row r="121">
      <c r="A121" s="2">
        <f>IFERROR(__xludf.DUMMYFUNCTION("""COMPUTED_VALUE"""),42552.0)</f>
        <v>42552</v>
      </c>
      <c r="B121" s="1" t="str">
        <f>IFERROR(__xludf.DUMMYFUNCTION("""COMPUTED_VALUE"""),"1.744 €/m2")</f>
        <v>1.744 €/m2</v>
      </c>
      <c r="C121" s="1" t="str">
        <f>IFERROR(__xludf.DUMMYFUNCTION("""COMPUTED_VALUE"""),"+ 1,2 %")</f>
        <v>+ 1,2 %</v>
      </c>
      <c r="D121" s="1" t="str">
        <f>IFERROR(__xludf.DUMMYFUNCTION("""COMPUTED_VALUE"""),"+ 2,4 %")</f>
        <v>+ 2,4 %</v>
      </c>
      <c r="E121" s="1" t="str">
        <f>IFERROR(__xludf.DUMMYFUNCTION("""COMPUTED_VALUE"""),"+ 5,9 %")</f>
        <v>+ 5,9 %</v>
      </c>
    </row>
    <row r="122">
      <c r="A122" s="2">
        <f>IFERROR(__xludf.DUMMYFUNCTION("""COMPUTED_VALUE"""),42522.0)</f>
        <v>42522</v>
      </c>
      <c r="B122" s="1" t="str">
        <f>IFERROR(__xludf.DUMMYFUNCTION("""COMPUTED_VALUE"""),"1.723 €/m2")</f>
        <v>1.723 €/m2</v>
      </c>
      <c r="C122" s="1" t="str">
        <f>IFERROR(__xludf.DUMMYFUNCTION("""COMPUTED_VALUE"""),"- 0,4 %")</f>
        <v>- 0,4 %</v>
      </c>
      <c r="D122" s="1" t="str">
        <f>IFERROR(__xludf.DUMMYFUNCTION("""COMPUTED_VALUE"""),"+ 3,4 %")</f>
        <v>+ 3,4 %</v>
      </c>
      <c r="E122" s="1" t="str">
        <f>IFERROR(__xludf.DUMMYFUNCTION("""COMPUTED_VALUE"""),"+ 4,7 %")</f>
        <v>+ 4,7 %</v>
      </c>
    </row>
    <row r="123">
      <c r="A123" s="2">
        <f>IFERROR(__xludf.DUMMYFUNCTION("""COMPUTED_VALUE"""),42491.0)</f>
        <v>42491</v>
      </c>
      <c r="B123" s="1" t="str">
        <f>IFERROR(__xludf.DUMMYFUNCTION("""COMPUTED_VALUE"""),"1.730 €/m2")</f>
        <v>1.730 €/m2</v>
      </c>
      <c r="C123" s="1" t="str">
        <f>IFERROR(__xludf.DUMMYFUNCTION("""COMPUTED_VALUE"""),"+ 1,6 %")</f>
        <v>+ 1,6 %</v>
      </c>
      <c r="D123" s="1" t="str">
        <f>IFERROR(__xludf.DUMMYFUNCTION("""COMPUTED_VALUE"""),"+ 2,8 %")</f>
        <v>+ 2,8 %</v>
      </c>
      <c r="E123" s="1" t="str">
        <f>IFERROR(__xludf.DUMMYFUNCTION("""COMPUTED_VALUE"""),"+ 5,2 %")</f>
        <v>+ 5,2 %</v>
      </c>
    </row>
    <row r="124">
      <c r="A124" s="2">
        <f>IFERROR(__xludf.DUMMYFUNCTION("""COMPUTED_VALUE"""),42461.0)</f>
        <v>42461</v>
      </c>
      <c r="B124" s="1" t="str">
        <f>IFERROR(__xludf.DUMMYFUNCTION("""COMPUTED_VALUE"""),"1.702 €/m2")</f>
        <v>1.702 €/m2</v>
      </c>
      <c r="C124" s="1" t="str">
        <f>IFERROR(__xludf.DUMMYFUNCTION("""COMPUTED_VALUE"""),"+ 2,1 %")</f>
        <v>+ 2,1 %</v>
      </c>
      <c r="D124" s="1" t="str">
        <f>IFERROR(__xludf.DUMMYFUNCTION("""COMPUTED_VALUE"""),"+ 0,4 %")</f>
        <v>+ 0,4 %</v>
      </c>
      <c r="E124" s="1" t="str">
        <f>IFERROR(__xludf.DUMMYFUNCTION("""COMPUTED_VALUE"""),"+ 5,1 %")</f>
        <v>+ 5,1 %</v>
      </c>
    </row>
    <row r="125">
      <c r="A125" s="2">
        <f>IFERROR(__xludf.DUMMYFUNCTION("""COMPUTED_VALUE"""),42430.0)</f>
        <v>42430</v>
      </c>
      <c r="B125" s="1" t="str">
        <f>IFERROR(__xludf.DUMMYFUNCTION("""COMPUTED_VALUE"""),"1.667 €/m2")</f>
        <v>1.667 €/m2</v>
      </c>
      <c r="C125" s="1" t="str">
        <f>IFERROR(__xludf.DUMMYFUNCTION("""COMPUTED_VALUE"""),"- 1,0 %")</f>
        <v>- 1,0 %</v>
      </c>
      <c r="D125" s="1" t="str">
        <f>IFERROR(__xludf.DUMMYFUNCTION("""COMPUTED_VALUE"""),"- 0,4 %")</f>
        <v>- 0,4 %</v>
      </c>
      <c r="E125" s="1" t="str">
        <f>IFERROR(__xludf.DUMMYFUNCTION("""COMPUTED_VALUE"""),"+ 2,7 %")</f>
        <v>+ 2,7 %</v>
      </c>
    </row>
    <row r="126">
      <c r="A126" s="2">
        <f>IFERROR(__xludf.DUMMYFUNCTION("""COMPUTED_VALUE"""),42401.0)</f>
        <v>42401</v>
      </c>
      <c r="B126" s="1" t="str">
        <f>IFERROR(__xludf.DUMMYFUNCTION("""COMPUTED_VALUE"""),"1.684 €/m2")</f>
        <v>1.684 €/m2</v>
      </c>
      <c r="C126" s="1" t="str">
        <f>IFERROR(__xludf.DUMMYFUNCTION("""COMPUTED_VALUE"""),"- 0,7 %")</f>
        <v>- 0,7 %</v>
      </c>
      <c r="D126" s="1" t="str">
        <f>IFERROR(__xludf.DUMMYFUNCTION("""COMPUTED_VALUE"""),"+ 0,8 %")</f>
        <v>+ 0,8 %</v>
      </c>
      <c r="E126" s="1" t="str">
        <f>IFERROR(__xludf.DUMMYFUNCTION("""COMPUTED_VALUE"""),"+ 3,6 %")</f>
        <v>+ 3,6 %</v>
      </c>
    </row>
    <row r="127">
      <c r="A127" s="2">
        <f>IFERROR(__xludf.DUMMYFUNCTION("""COMPUTED_VALUE"""),42370.0)</f>
        <v>42370</v>
      </c>
      <c r="B127" s="1" t="str">
        <f>IFERROR(__xludf.DUMMYFUNCTION("""COMPUTED_VALUE"""),"1.696 €/m2")</f>
        <v>1.696 €/m2</v>
      </c>
      <c r="C127" s="1" t="str">
        <f>IFERROR(__xludf.DUMMYFUNCTION("""COMPUTED_VALUE"""),"+ 1,3 %")</f>
        <v>+ 1,3 %</v>
      </c>
      <c r="D127" s="1" t="str">
        <f>IFERROR(__xludf.DUMMYFUNCTION("""COMPUTED_VALUE"""),"+ 2,4 %")</f>
        <v>+ 2,4 %</v>
      </c>
      <c r="E127" s="1" t="str">
        <f>IFERROR(__xludf.DUMMYFUNCTION("""COMPUTED_VALUE"""),"+ 3,6 %")</f>
        <v>+ 3,6 %</v>
      </c>
    </row>
    <row r="128">
      <c r="A128" s="2">
        <f>IFERROR(__xludf.DUMMYFUNCTION("""COMPUTED_VALUE"""),42339.0)</f>
        <v>42339</v>
      </c>
      <c r="B128" s="1" t="str">
        <f>IFERROR(__xludf.DUMMYFUNCTION("""COMPUTED_VALUE"""),"1.674 €/m2")</f>
        <v>1.674 €/m2</v>
      </c>
      <c r="C128" s="1" t="str">
        <f>IFERROR(__xludf.DUMMYFUNCTION("""COMPUTED_VALUE"""),"+ 0,2 %")</f>
        <v>+ 0,2 %</v>
      </c>
      <c r="D128" s="1" t="str">
        <f>IFERROR(__xludf.DUMMYFUNCTION("""COMPUTED_VALUE"""),"+ 0,4 %")</f>
        <v>+ 0,4 %</v>
      </c>
      <c r="E128" s="1" t="str">
        <f>IFERROR(__xludf.DUMMYFUNCTION("""COMPUTED_VALUE"""),"+ 3,5 %")</f>
        <v>+ 3,5 %</v>
      </c>
    </row>
    <row r="129">
      <c r="A129" s="2">
        <f>IFERROR(__xludf.DUMMYFUNCTION("""COMPUTED_VALUE"""),42309.0)</f>
        <v>42309</v>
      </c>
      <c r="B129" s="1" t="str">
        <f>IFERROR(__xludf.DUMMYFUNCTION("""COMPUTED_VALUE"""),"1.671 €/m2")</f>
        <v>1.671 €/m2</v>
      </c>
      <c r="C129" s="1" t="str">
        <f>IFERROR(__xludf.DUMMYFUNCTION("""COMPUTED_VALUE"""),"+ 0,9 %")</f>
        <v>+ 0,9 %</v>
      </c>
      <c r="D129" s="1" t="str">
        <f>IFERROR(__xludf.DUMMYFUNCTION("""COMPUTED_VALUE"""),"+ 1,6 %")</f>
        <v>+ 1,6 %</v>
      </c>
      <c r="E129" s="1" t="str">
        <f>IFERROR(__xludf.DUMMYFUNCTION("""COMPUTED_VALUE"""),"+ 3,9 %")</f>
        <v>+ 3,9 %</v>
      </c>
    </row>
    <row r="130">
      <c r="A130" s="2">
        <f>IFERROR(__xludf.DUMMYFUNCTION("""COMPUTED_VALUE"""),42278.0)</f>
        <v>42278</v>
      </c>
      <c r="B130" s="1" t="str">
        <f>IFERROR(__xludf.DUMMYFUNCTION("""COMPUTED_VALUE"""),"1.656 €/m2")</f>
        <v>1.656 €/m2</v>
      </c>
      <c r="C130" s="1" t="str">
        <f>IFERROR(__xludf.DUMMYFUNCTION("""COMPUTED_VALUE"""),"- 0,7 %")</f>
        <v>- 0,7 %</v>
      </c>
      <c r="D130" s="1" t="str">
        <f>IFERROR(__xludf.DUMMYFUNCTION("""COMPUTED_VALUE"""),"+ 0,6 %")</f>
        <v>+ 0,6 %</v>
      </c>
      <c r="E130" s="1" t="str">
        <f>IFERROR(__xludf.DUMMYFUNCTION("""COMPUTED_VALUE"""),"+ 2,1 %")</f>
        <v>+ 2,1 %</v>
      </c>
    </row>
    <row r="131">
      <c r="A131" s="2">
        <f>IFERROR(__xludf.DUMMYFUNCTION("""COMPUTED_VALUE"""),42248.0)</f>
        <v>42248</v>
      </c>
      <c r="B131" s="1" t="str">
        <f>IFERROR(__xludf.DUMMYFUNCTION("""COMPUTED_VALUE"""),"1.667 €/m2")</f>
        <v>1.667 €/m2</v>
      </c>
      <c r="C131" s="1" t="str">
        <f>IFERROR(__xludf.DUMMYFUNCTION("""COMPUTED_VALUE"""),"+ 1,4 %")</f>
        <v>+ 1,4 %</v>
      </c>
      <c r="D131" s="1" t="str">
        <f>IFERROR(__xludf.DUMMYFUNCTION("""COMPUTED_VALUE"""),"+ 1,3 %")</f>
        <v>+ 1,3 %</v>
      </c>
      <c r="E131" s="1" t="str">
        <f>IFERROR(__xludf.DUMMYFUNCTION("""COMPUTED_VALUE"""),"+ 1,8 %")</f>
        <v>+ 1,8 %</v>
      </c>
    </row>
    <row r="132">
      <c r="A132" s="2">
        <f>IFERROR(__xludf.DUMMYFUNCTION("""COMPUTED_VALUE"""),42217.0)</f>
        <v>42217</v>
      </c>
      <c r="B132" s="1" t="str">
        <f>IFERROR(__xludf.DUMMYFUNCTION("""COMPUTED_VALUE"""),"1.644 €/m2")</f>
        <v>1.644 €/m2</v>
      </c>
      <c r="C132" s="1" t="str">
        <f>IFERROR(__xludf.DUMMYFUNCTION("""COMPUTED_VALUE"""),"- 0,1 %")</f>
        <v>- 0,1 %</v>
      </c>
      <c r="D132" s="1" t="str">
        <f>IFERROR(__xludf.DUMMYFUNCTION("""COMPUTED_VALUE"""),"0,0 %")</f>
        <v>0,0 %</v>
      </c>
      <c r="E132" s="1" t="str">
        <f>IFERROR(__xludf.DUMMYFUNCTION("""COMPUTED_VALUE"""),"- 0,1 %")</f>
        <v>- 0,1 %</v>
      </c>
    </row>
    <row r="133">
      <c r="A133" s="2">
        <f>IFERROR(__xludf.DUMMYFUNCTION("""COMPUTED_VALUE"""),42186.0)</f>
        <v>42186</v>
      </c>
      <c r="B133" s="1" t="str">
        <f>IFERROR(__xludf.DUMMYFUNCTION("""COMPUTED_VALUE"""),"1.646 €/m2")</f>
        <v>1.646 €/m2</v>
      </c>
      <c r="C133" s="1" t="str">
        <f>IFERROR(__xludf.DUMMYFUNCTION("""COMPUTED_VALUE"""),"0,0 %")</f>
        <v>0,0 %</v>
      </c>
      <c r="D133" s="1" t="str">
        <f>IFERROR(__xludf.DUMMYFUNCTION("""COMPUTED_VALUE"""),"+ 1,7 %")</f>
        <v>+ 1,7 %</v>
      </c>
      <c r="E133" s="1" t="str">
        <f>IFERROR(__xludf.DUMMYFUNCTION("""COMPUTED_VALUE"""),"+ 0,3 %")</f>
        <v>+ 0,3 %</v>
      </c>
    </row>
    <row r="134">
      <c r="A134" s="2">
        <f>IFERROR(__xludf.DUMMYFUNCTION("""COMPUTED_VALUE"""),42156.0)</f>
        <v>42156</v>
      </c>
      <c r="B134" s="1" t="str">
        <f>IFERROR(__xludf.DUMMYFUNCTION("""COMPUTED_VALUE"""),"1.647 €/m2")</f>
        <v>1.647 €/m2</v>
      </c>
      <c r="C134" s="1" t="str">
        <f>IFERROR(__xludf.DUMMYFUNCTION("""COMPUTED_VALUE"""),"+ 0,1 %")</f>
        <v>+ 0,1 %</v>
      </c>
      <c r="D134" s="1" t="str">
        <f>IFERROR(__xludf.DUMMYFUNCTION("""COMPUTED_VALUE"""),"+ 1,5 %")</f>
        <v>+ 1,5 %</v>
      </c>
      <c r="E134" s="1" t="str">
        <f>IFERROR(__xludf.DUMMYFUNCTION("""COMPUTED_VALUE"""),"- 1,3 %")</f>
        <v>- 1,3 %</v>
      </c>
    </row>
    <row r="135">
      <c r="A135" s="2">
        <f>IFERROR(__xludf.DUMMYFUNCTION("""COMPUTED_VALUE"""),42125.0)</f>
        <v>42125</v>
      </c>
      <c r="B135" s="1" t="str">
        <f>IFERROR(__xludf.DUMMYFUNCTION("""COMPUTED_VALUE"""),"1.644 €/m2")</f>
        <v>1.644 €/m2</v>
      </c>
      <c r="C135" s="1" t="str">
        <f>IFERROR(__xludf.DUMMYFUNCTION("""COMPUTED_VALUE"""),"+ 1,6 %")</f>
        <v>+ 1,6 %</v>
      </c>
      <c r="D135" s="1" t="str">
        <f>IFERROR(__xludf.DUMMYFUNCTION("""COMPUTED_VALUE"""),"+ 1,2 %")</f>
        <v>+ 1,2 %</v>
      </c>
      <c r="E135" s="1" t="str">
        <f>IFERROR(__xludf.DUMMYFUNCTION("""COMPUTED_VALUE"""),"- 1,4 %")</f>
        <v>- 1,4 %</v>
      </c>
    </row>
    <row r="136">
      <c r="A136" s="2">
        <f>IFERROR(__xludf.DUMMYFUNCTION("""COMPUTED_VALUE"""),42095.0)</f>
        <v>42095</v>
      </c>
      <c r="B136" s="1" t="str">
        <f>IFERROR(__xludf.DUMMYFUNCTION("""COMPUTED_VALUE"""),"1.619 €/m2")</f>
        <v>1.619 €/m2</v>
      </c>
      <c r="C136" s="1" t="str">
        <f>IFERROR(__xludf.DUMMYFUNCTION("""COMPUTED_VALUE"""),"- 0,2 %")</f>
        <v>- 0,2 %</v>
      </c>
      <c r="D136" s="1" t="str">
        <f>IFERROR(__xludf.DUMMYFUNCTION("""COMPUTED_VALUE"""),"- 1,1 %")</f>
        <v>- 1,1 %</v>
      </c>
      <c r="E136" s="1" t="str">
        <f>IFERROR(__xludf.DUMMYFUNCTION("""COMPUTED_VALUE"""),"- 3,2 %")</f>
        <v>- 3,2 %</v>
      </c>
    </row>
    <row r="137">
      <c r="A137" s="2">
        <f>IFERROR(__xludf.DUMMYFUNCTION("""COMPUTED_VALUE"""),42064.0)</f>
        <v>42064</v>
      </c>
      <c r="B137" s="1" t="str">
        <f>IFERROR(__xludf.DUMMYFUNCTION("""COMPUTED_VALUE"""),"1.622 €/m2")</f>
        <v>1.622 €/m2</v>
      </c>
      <c r="C137" s="1" t="str">
        <f>IFERROR(__xludf.DUMMYFUNCTION("""COMPUTED_VALUE"""),"- 0,1 %")</f>
        <v>- 0,1 %</v>
      </c>
      <c r="D137" s="1" t="str">
        <f>IFERROR(__xludf.DUMMYFUNCTION("""COMPUTED_VALUE"""),"+ 0,3 %")</f>
        <v>+ 0,3 %</v>
      </c>
      <c r="E137" s="1" t="str">
        <f>IFERROR(__xludf.DUMMYFUNCTION("""COMPUTED_VALUE"""),"- 3,4 %")</f>
        <v>- 3,4 %</v>
      </c>
    </row>
    <row r="138">
      <c r="A138" s="2">
        <f>IFERROR(__xludf.DUMMYFUNCTION("""COMPUTED_VALUE"""),42036.0)</f>
        <v>42036</v>
      </c>
      <c r="B138" s="1" t="str">
        <f>IFERROR(__xludf.DUMMYFUNCTION("""COMPUTED_VALUE"""),"1.625 €/m2")</f>
        <v>1.625 €/m2</v>
      </c>
      <c r="C138" s="1" t="str">
        <f>IFERROR(__xludf.DUMMYFUNCTION("""COMPUTED_VALUE"""),"- 0,7 %")</f>
        <v>- 0,7 %</v>
      </c>
      <c r="D138" s="1" t="str">
        <f>IFERROR(__xludf.DUMMYFUNCTION("""COMPUTED_VALUE"""),"+ 1,0 %")</f>
        <v>+ 1,0 %</v>
      </c>
      <c r="E138" s="1" t="str">
        <f>IFERROR(__xludf.DUMMYFUNCTION("""COMPUTED_VALUE"""),"- 5,7 %")</f>
        <v>- 5,7 %</v>
      </c>
    </row>
    <row r="139">
      <c r="A139" s="2">
        <f>IFERROR(__xludf.DUMMYFUNCTION("""COMPUTED_VALUE"""),42005.0)</f>
        <v>42005</v>
      </c>
      <c r="B139" s="1" t="str">
        <f>IFERROR(__xludf.DUMMYFUNCTION("""COMPUTED_VALUE"""),"1.637 €/m2")</f>
        <v>1.637 €/m2</v>
      </c>
      <c r="C139" s="1" t="str">
        <f>IFERROR(__xludf.DUMMYFUNCTION("""COMPUTED_VALUE"""),"+ 1,2 %")</f>
        <v>+ 1,2 %</v>
      </c>
      <c r="D139" s="1" t="str">
        <f>IFERROR(__xludf.DUMMYFUNCTION("""COMPUTED_VALUE"""),"+ 0,9 %")</f>
        <v>+ 0,9 %</v>
      </c>
      <c r="E139" s="1" t="str">
        <f>IFERROR(__xludf.DUMMYFUNCTION("""COMPUTED_VALUE"""),"- 6,6 %")</f>
        <v>- 6,6 %</v>
      </c>
    </row>
    <row r="140">
      <c r="A140" s="2">
        <f>IFERROR(__xludf.DUMMYFUNCTION("""COMPUTED_VALUE"""),41974.0)</f>
        <v>41974</v>
      </c>
      <c r="B140" s="1" t="str">
        <f>IFERROR(__xludf.DUMMYFUNCTION("""COMPUTED_VALUE"""),"1.618 €/m2")</f>
        <v>1.618 €/m2</v>
      </c>
      <c r="C140" s="1" t="str">
        <f>IFERROR(__xludf.DUMMYFUNCTION("""COMPUTED_VALUE"""),"+ 0,6 %")</f>
        <v>+ 0,6 %</v>
      </c>
      <c r="D140" s="1" t="str">
        <f>IFERROR(__xludf.DUMMYFUNCTION("""COMPUTED_VALUE"""),"- 1,3 %")</f>
        <v>- 1,3 %</v>
      </c>
      <c r="E140" s="1" t="str">
        <f>IFERROR(__xludf.DUMMYFUNCTION("""COMPUTED_VALUE"""),"- 8,1 %")</f>
        <v>- 8,1 %</v>
      </c>
    </row>
    <row r="141">
      <c r="A141" s="2">
        <f>IFERROR(__xludf.DUMMYFUNCTION("""COMPUTED_VALUE"""),41944.0)</f>
        <v>41944</v>
      </c>
      <c r="B141" s="1" t="str">
        <f>IFERROR(__xludf.DUMMYFUNCTION("""COMPUTED_VALUE"""),"1.608 €/m2")</f>
        <v>1.608 €/m2</v>
      </c>
      <c r="C141" s="1" t="str">
        <f>IFERROR(__xludf.DUMMYFUNCTION("""COMPUTED_VALUE"""),"- 0,8 %")</f>
        <v>- 0,8 %</v>
      </c>
      <c r="D141" s="1" t="str">
        <f>IFERROR(__xludf.DUMMYFUNCTION("""COMPUTED_VALUE"""),"- 2,3 %")</f>
        <v>- 2,3 %</v>
      </c>
      <c r="E141" s="1" t="str">
        <f>IFERROR(__xludf.DUMMYFUNCTION("""COMPUTED_VALUE"""),"- 10,6 %")</f>
        <v>- 10,6 %</v>
      </c>
    </row>
    <row r="142">
      <c r="A142" s="2">
        <f>IFERROR(__xludf.DUMMYFUNCTION("""COMPUTED_VALUE"""),41913.0)</f>
        <v>41913</v>
      </c>
      <c r="B142" s="1" t="str">
        <f>IFERROR(__xludf.DUMMYFUNCTION("""COMPUTED_VALUE"""),"1.622 €/m2")</f>
        <v>1.622 €/m2</v>
      </c>
      <c r="C142" s="1" t="str">
        <f>IFERROR(__xludf.DUMMYFUNCTION("""COMPUTED_VALUE"""),"- 1,0 %")</f>
        <v>- 1,0 %</v>
      </c>
      <c r="D142" s="1" t="str">
        <f>IFERROR(__xludf.DUMMYFUNCTION("""COMPUTED_VALUE"""),"- 1,1 %")</f>
        <v>- 1,1 %</v>
      </c>
      <c r="E142" s="1" t="str">
        <f>IFERROR(__xludf.DUMMYFUNCTION("""COMPUTED_VALUE"""),"- 11,1 %")</f>
        <v>- 11,1 %</v>
      </c>
    </row>
    <row r="143">
      <c r="A143" s="2">
        <f>IFERROR(__xludf.DUMMYFUNCTION("""COMPUTED_VALUE"""),41883.0)</f>
        <v>41883</v>
      </c>
      <c r="B143" s="1" t="str">
        <f>IFERROR(__xludf.DUMMYFUNCTION("""COMPUTED_VALUE"""),"1.638 €/m2")</f>
        <v>1.638 €/m2</v>
      </c>
      <c r="C143" s="1" t="str">
        <f>IFERROR(__xludf.DUMMYFUNCTION("""COMPUTED_VALUE"""),"- 0,4 %")</f>
        <v>- 0,4 %</v>
      </c>
      <c r="D143" s="1" t="str">
        <f>IFERROR(__xludf.DUMMYFUNCTION("""COMPUTED_VALUE"""),"- 1,8 %")</f>
        <v>- 1,8 %</v>
      </c>
      <c r="E143" s="1" t="str">
        <f>IFERROR(__xludf.DUMMYFUNCTION("""COMPUTED_VALUE"""),"- 11,7 %")</f>
        <v>- 11,7 %</v>
      </c>
    </row>
    <row r="144">
      <c r="A144" s="2">
        <f>IFERROR(__xludf.DUMMYFUNCTION("""COMPUTED_VALUE"""),41852.0)</f>
        <v>41852</v>
      </c>
      <c r="B144" s="1" t="str">
        <f>IFERROR(__xludf.DUMMYFUNCTION("""COMPUTED_VALUE"""),"1.646 €/m2")</f>
        <v>1.646 €/m2</v>
      </c>
      <c r="C144" s="1" t="str">
        <f>IFERROR(__xludf.DUMMYFUNCTION("""COMPUTED_VALUE"""),"+ 0,3 %")</f>
        <v>+ 0,3 %</v>
      </c>
      <c r="D144" s="1" t="str">
        <f>IFERROR(__xludf.DUMMYFUNCTION("""COMPUTED_VALUE"""),"- 1,3 %")</f>
        <v>- 1,3 %</v>
      </c>
      <c r="E144" s="1" t="str">
        <f>IFERROR(__xludf.DUMMYFUNCTION("""COMPUTED_VALUE"""),"- 9,7 %")</f>
        <v>- 9,7 %</v>
      </c>
    </row>
    <row r="145">
      <c r="A145" s="2">
        <f>IFERROR(__xludf.DUMMYFUNCTION("""COMPUTED_VALUE"""),41821.0)</f>
        <v>41821</v>
      </c>
      <c r="B145" s="1" t="str">
        <f>IFERROR(__xludf.DUMMYFUNCTION("""COMPUTED_VALUE"""),"1.640 €/m2")</f>
        <v>1.640 €/m2</v>
      </c>
      <c r="C145" s="1" t="str">
        <f>IFERROR(__xludf.DUMMYFUNCTION("""COMPUTED_VALUE"""),"- 1,7 %")</f>
        <v>- 1,7 %</v>
      </c>
      <c r="D145" s="1" t="str">
        <f>IFERROR(__xludf.DUMMYFUNCTION("""COMPUTED_VALUE"""),"- 1,9 %")</f>
        <v>- 1,9 %</v>
      </c>
      <c r="E145" s="1" t="str">
        <f>IFERROR(__xludf.DUMMYFUNCTION("""COMPUTED_VALUE"""),"- 11,7 %")</f>
        <v>- 11,7 %</v>
      </c>
    </row>
    <row r="146">
      <c r="A146" s="2">
        <f>IFERROR(__xludf.DUMMYFUNCTION("""COMPUTED_VALUE"""),41791.0)</f>
        <v>41791</v>
      </c>
      <c r="B146" s="1" t="str">
        <f>IFERROR(__xludf.DUMMYFUNCTION("""COMPUTED_VALUE"""),"1.668 €/m2")</f>
        <v>1.668 €/m2</v>
      </c>
      <c r="C146" s="1" t="str">
        <f>IFERROR(__xludf.DUMMYFUNCTION("""COMPUTED_VALUE"""),"0,0 %")</f>
        <v>0,0 %</v>
      </c>
      <c r="D146" s="1" t="str">
        <f>IFERROR(__xludf.DUMMYFUNCTION("""COMPUTED_VALUE"""),"- 0,7 %")</f>
        <v>- 0,7 %</v>
      </c>
      <c r="E146" s="1" t="str">
        <f>IFERROR(__xludf.DUMMYFUNCTION("""COMPUTED_VALUE"""),"- 10,3 %")</f>
        <v>- 10,3 %</v>
      </c>
    </row>
    <row r="147">
      <c r="A147" s="2">
        <f>IFERROR(__xludf.DUMMYFUNCTION("""COMPUTED_VALUE"""),41760.0)</f>
        <v>41760</v>
      </c>
      <c r="B147" s="1" t="str">
        <f>IFERROR(__xludf.DUMMYFUNCTION("""COMPUTED_VALUE"""),"1.667 €/m2")</f>
        <v>1.667 €/m2</v>
      </c>
      <c r="C147" s="1" t="str">
        <f>IFERROR(__xludf.DUMMYFUNCTION("""COMPUTED_VALUE"""),"- 0,3 %")</f>
        <v>- 0,3 %</v>
      </c>
      <c r="D147" s="1" t="str">
        <f>IFERROR(__xludf.DUMMYFUNCTION("""COMPUTED_VALUE"""),"- 3,2 %")</f>
        <v>- 3,2 %</v>
      </c>
      <c r="E147" s="1" t="str">
        <f>IFERROR(__xludf.DUMMYFUNCTION("""COMPUTED_VALUE"""),"- 11,3 %")</f>
        <v>- 11,3 %</v>
      </c>
    </row>
    <row r="148">
      <c r="A148" s="2">
        <f>IFERROR(__xludf.DUMMYFUNCTION("""COMPUTED_VALUE"""),41730.0)</f>
        <v>41730</v>
      </c>
      <c r="B148" s="1" t="str">
        <f>IFERROR(__xludf.DUMMYFUNCTION("""COMPUTED_VALUE"""),"1.673 €/m2")</f>
        <v>1.673 €/m2</v>
      </c>
      <c r="C148" s="1" t="str">
        <f>IFERROR(__xludf.DUMMYFUNCTION("""COMPUTED_VALUE"""),"- 0,4 %")</f>
        <v>- 0,4 %</v>
      </c>
      <c r="D148" s="1" t="str">
        <f>IFERROR(__xludf.DUMMYFUNCTION("""COMPUTED_VALUE"""),"- 4,6 %")</f>
        <v>- 4,6 %</v>
      </c>
      <c r="E148" s="1" t="str">
        <f>IFERROR(__xludf.DUMMYFUNCTION("""COMPUTED_VALUE"""),"- 11,2 %")</f>
        <v>- 11,2 %</v>
      </c>
    </row>
    <row r="149">
      <c r="A149" s="2">
        <f>IFERROR(__xludf.DUMMYFUNCTION("""COMPUTED_VALUE"""),41699.0)</f>
        <v>41699</v>
      </c>
      <c r="B149" s="1" t="str">
        <f>IFERROR(__xludf.DUMMYFUNCTION("""COMPUTED_VALUE"""),"1.680 €/m2")</f>
        <v>1.680 €/m2</v>
      </c>
      <c r="C149" s="1" t="str">
        <f>IFERROR(__xludf.DUMMYFUNCTION("""COMPUTED_VALUE"""),"- 2,5 %")</f>
        <v>- 2,5 %</v>
      </c>
      <c r="D149" s="1" t="str">
        <f>IFERROR(__xludf.DUMMYFUNCTION("""COMPUTED_VALUE"""),"- 4,6 %")</f>
        <v>- 4,6 %</v>
      </c>
      <c r="E149" s="1" t="str">
        <f>IFERROR(__xludf.DUMMYFUNCTION("""COMPUTED_VALUE"""),"- 11,3 %")</f>
        <v>- 11,3 %</v>
      </c>
    </row>
    <row r="150">
      <c r="A150" s="2">
        <f>IFERROR(__xludf.DUMMYFUNCTION("""COMPUTED_VALUE"""),41671.0)</f>
        <v>41671</v>
      </c>
      <c r="B150" s="1" t="str">
        <f>IFERROR(__xludf.DUMMYFUNCTION("""COMPUTED_VALUE"""),"1.723 €/m2")</f>
        <v>1.723 €/m2</v>
      </c>
      <c r="C150" s="1" t="str">
        <f>IFERROR(__xludf.DUMMYFUNCTION("""COMPUTED_VALUE"""),"- 1,7 %")</f>
        <v>- 1,7 %</v>
      </c>
      <c r="D150" s="1" t="str">
        <f>IFERROR(__xludf.DUMMYFUNCTION("""COMPUTED_VALUE"""),"- 4,3 %")</f>
        <v>- 4,3 %</v>
      </c>
      <c r="E150" s="1" t="str">
        <f>IFERROR(__xludf.DUMMYFUNCTION("""COMPUTED_VALUE"""),"- 7,9 %")</f>
        <v>- 7,9 %</v>
      </c>
    </row>
    <row r="151">
      <c r="A151" s="2">
        <f>IFERROR(__xludf.DUMMYFUNCTION("""COMPUTED_VALUE"""),41640.0)</f>
        <v>41640</v>
      </c>
      <c r="B151" s="1" t="str">
        <f>IFERROR(__xludf.DUMMYFUNCTION("""COMPUTED_VALUE"""),"1.753 €/m2")</f>
        <v>1.753 €/m2</v>
      </c>
      <c r="C151" s="1" t="str">
        <f>IFERROR(__xludf.DUMMYFUNCTION("""COMPUTED_VALUE"""),"- 0,4 %")</f>
        <v>- 0,4 %</v>
      </c>
      <c r="D151" s="1" t="str">
        <f>IFERROR(__xludf.DUMMYFUNCTION("""COMPUTED_VALUE"""),"- 3,9 %")</f>
        <v>- 3,9 %</v>
      </c>
      <c r="E151" s="1" t="str">
        <f>IFERROR(__xludf.DUMMYFUNCTION("""COMPUTED_VALUE"""),"- 6,4 %")</f>
        <v>- 6,4 %</v>
      </c>
    </row>
    <row r="152">
      <c r="A152" s="2">
        <f>IFERROR(__xludf.DUMMYFUNCTION("""COMPUTED_VALUE"""),41609.0)</f>
        <v>41609</v>
      </c>
      <c r="B152" s="1" t="str">
        <f>IFERROR(__xludf.DUMMYFUNCTION("""COMPUTED_VALUE"""),"1.761 €/m2")</f>
        <v>1.761 €/m2</v>
      </c>
      <c r="C152" s="1" t="str">
        <f>IFERROR(__xludf.DUMMYFUNCTION("""COMPUTED_VALUE"""),"- 2,1 %")</f>
        <v>- 2,1 %</v>
      </c>
      <c r="D152" s="1" t="str">
        <f>IFERROR(__xludf.DUMMYFUNCTION("""COMPUTED_VALUE"""),"- 5,1 %")</f>
        <v>- 5,1 %</v>
      </c>
      <c r="E152" s="1" t="str">
        <f>IFERROR(__xludf.DUMMYFUNCTION("""COMPUTED_VALUE"""),"- 7,1 %")</f>
        <v>- 7,1 %</v>
      </c>
    </row>
    <row r="153">
      <c r="A153" s="2">
        <f>IFERROR(__xludf.DUMMYFUNCTION("""COMPUTED_VALUE"""),41579.0)</f>
        <v>41579</v>
      </c>
      <c r="B153" s="1" t="str">
        <f>IFERROR(__xludf.DUMMYFUNCTION("""COMPUTED_VALUE"""),"1.800 €/m2")</f>
        <v>1.800 €/m2</v>
      </c>
      <c r="C153" s="1" t="str">
        <f>IFERROR(__xludf.DUMMYFUNCTION("""COMPUTED_VALUE"""),"- 1,3 %")</f>
        <v>- 1,3 %</v>
      </c>
      <c r="D153" s="1" t="str">
        <f>IFERROR(__xludf.DUMMYFUNCTION("""COMPUTED_VALUE"""),"- 1,2 %")</f>
        <v>- 1,2 %</v>
      </c>
      <c r="E153" s="1" t="str">
        <f>IFERROR(__xludf.DUMMYFUNCTION("""COMPUTED_VALUE"""),"- 8,3 %")</f>
        <v>- 8,3 %</v>
      </c>
    </row>
    <row r="154">
      <c r="A154" s="2">
        <f>IFERROR(__xludf.DUMMYFUNCTION("""COMPUTED_VALUE"""),41548.0)</f>
        <v>41548</v>
      </c>
      <c r="B154" s="1" t="str">
        <f>IFERROR(__xludf.DUMMYFUNCTION("""COMPUTED_VALUE"""),"1.824 €/m2")</f>
        <v>1.824 €/m2</v>
      </c>
      <c r="C154" s="1" t="str">
        <f>IFERROR(__xludf.DUMMYFUNCTION("""COMPUTED_VALUE"""),"- 1,7 %")</f>
        <v>- 1,7 %</v>
      </c>
      <c r="D154" s="1" t="str">
        <f>IFERROR(__xludf.DUMMYFUNCTION("""COMPUTED_VALUE"""),"- 1,8 %")</f>
        <v>- 1,8 %</v>
      </c>
      <c r="E154" s="1" t="str">
        <f>IFERROR(__xludf.DUMMYFUNCTION("""COMPUTED_VALUE"""),"- 8,9 %")</f>
        <v>- 8,9 %</v>
      </c>
    </row>
    <row r="155">
      <c r="A155" s="2">
        <f>IFERROR(__xludf.DUMMYFUNCTION("""COMPUTED_VALUE"""),41518.0)</f>
        <v>41518</v>
      </c>
      <c r="B155" s="1" t="str">
        <f>IFERROR(__xludf.DUMMYFUNCTION("""COMPUTED_VALUE"""),"1.855 €/m2")</f>
        <v>1.855 €/m2</v>
      </c>
      <c r="C155" s="1" t="str">
        <f>IFERROR(__xludf.DUMMYFUNCTION("""COMPUTED_VALUE"""),"+ 1,8 %")</f>
        <v>+ 1,8 %</v>
      </c>
      <c r="D155" s="1" t="str">
        <f>IFERROR(__xludf.DUMMYFUNCTION("""COMPUTED_VALUE"""),"- 0,3 %")</f>
        <v>- 0,3 %</v>
      </c>
      <c r="E155" s="1" t="str">
        <f>IFERROR(__xludf.DUMMYFUNCTION("""COMPUTED_VALUE"""),"- 9,3 %")</f>
        <v>- 9,3 %</v>
      </c>
    </row>
    <row r="156">
      <c r="A156" s="2">
        <f>IFERROR(__xludf.DUMMYFUNCTION("""COMPUTED_VALUE"""),41487.0)</f>
        <v>41487</v>
      </c>
      <c r="B156" s="1" t="str">
        <f>IFERROR(__xludf.DUMMYFUNCTION("""COMPUTED_VALUE"""),"1.822 €/m2")</f>
        <v>1.822 €/m2</v>
      </c>
      <c r="C156" s="1" t="str">
        <f>IFERROR(__xludf.DUMMYFUNCTION("""COMPUTED_VALUE"""),"- 1,9 %")</f>
        <v>- 1,9 %</v>
      </c>
      <c r="D156" s="1" t="str">
        <f>IFERROR(__xludf.DUMMYFUNCTION("""COMPUTED_VALUE"""),"- 3,0 %")</f>
        <v>- 3,0 %</v>
      </c>
      <c r="E156" s="1" t="str">
        <f>IFERROR(__xludf.DUMMYFUNCTION("""COMPUTED_VALUE"""),"- 10,4 %")</f>
        <v>- 10,4 %</v>
      </c>
    </row>
    <row r="157">
      <c r="A157" s="2">
        <f>IFERROR(__xludf.DUMMYFUNCTION("""COMPUTED_VALUE"""),41456.0)</f>
        <v>41456</v>
      </c>
      <c r="B157" s="1" t="str">
        <f>IFERROR(__xludf.DUMMYFUNCTION("""COMPUTED_VALUE"""),"1.858 €/m2")</f>
        <v>1.858 €/m2</v>
      </c>
      <c r="C157" s="1" t="str">
        <f>IFERROR(__xludf.DUMMYFUNCTION("""COMPUTED_VALUE"""),"- 0,1 %")</f>
        <v>- 0,1 %</v>
      </c>
      <c r="D157" s="1" t="str">
        <f>IFERROR(__xludf.DUMMYFUNCTION("""COMPUTED_VALUE"""),"- 1,3 %")</f>
        <v>- 1,3 %</v>
      </c>
      <c r="E157" s="1" t="str">
        <f>IFERROR(__xludf.DUMMYFUNCTION("""COMPUTED_VALUE"""),"- 9,8 %")</f>
        <v>- 9,8 %</v>
      </c>
    </row>
    <row r="158">
      <c r="A158" s="2">
        <f>IFERROR(__xludf.DUMMYFUNCTION("""COMPUTED_VALUE"""),41426.0)</f>
        <v>41426</v>
      </c>
      <c r="B158" s="1" t="str">
        <f>IFERROR(__xludf.DUMMYFUNCTION("""COMPUTED_VALUE"""),"1.860 €/m2")</f>
        <v>1.860 €/m2</v>
      </c>
      <c r="C158" s="1" t="str">
        <f>IFERROR(__xludf.DUMMYFUNCTION("""COMPUTED_VALUE"""),"- 1,0 %")</f>
        <v>- 1,0 %</v>
      </c>
      <c r="D158" s="1" t="str">
        <f>IFERROR(__xludf.DUMMYFUNCTION("""COMPUTED_VALUE"""),"- 1,8 %")</f>
        <v>- 1,8 %</v>
      </c>
      <c r="E158" s="1" t="str">
        <f>IFERROR(__xludf.DUMMYFUNCTION("""COMPUTED_VALUE"""),"- 9,2 %")</f>
        <v>- 9,2 %</v>
      </c>
    </row>
    <row r="159">
      <c r="A159" s="2">
        <f>IFERROR(__xludf.DUMMYFUNCTION("""COMPUTED_VALUE"""),41395.0)</f>
        <v>41395</v>
      </c>
      <c r="B159" s="1" t="str">
        <f>IFERROR(__xludf.DUMMYFUNCTION("""COMPUTED_VALUE"""),"1.879 €/m2")</f>
        <v>1.879 €/m2</v>
      </c>
      <c r="C159" s="1" t="str">
        <f>IFERROR(__xludf.DUMMYFUNCTION("""COMPUTED_VALUE"""),"- 0,2 %")</f>
        <v>- 0,2 %</v>
      </c>
      <c r="D159" s="1" t="str">
        <f>IFERROR(__xludf.DUMMYFUNCTION("""COMPUTED_VALUE"""),"+ 0,5 %")</f>
        <v>+ 0,5 %</v>
      </c>
      <c r="E159" s="1" t="str">
        <f>IFERROR(__xludf.DUMMYFUNCTION("""COMPUTED_VALUE"""),"- 9,4 %")</f>
        <v>- 9,4 %</v>
      </c>
    </row>
    <row r="160">
      <c r="A160" s="2">
        <f>IFERROR(__xludf.DUMMYFUNCTION("""COMPUTED_VALUE"""),41365.0)</f>
        <v>41365</v>
      </c>
      <c r="B160" s="1" t="str">
        <f>IFERROR(__xludf.DUMMYFUNCTION("""COMPUTED_VALUE"""),"1.883 €/m2")</f>
        <v>1.883 €/m2</v>
      </c>
      <c r="C160" s="1" t="str">
        <f>IFERROR(__xludf.DUMMYFUNCTION("""COMPUTED_VALUE"""),"- 0,6 %")</f>
        <v>- 0,6 %</v>
      </c>
      <c r="D160" s="1" t="str">
        <f>IFERROR(__xludf.DUMMYFUNCTION("""COMPUTED_VALUE"""),"+ 0,5 %")</f>
        <v>+ 0,5 %</v>
      </c>
      <c r="E160" s="1" t="str">
        <f>IFERROR(__xludf.DUMMYFUNCTION("""COMPUTED_VALUE"""),"- 10,4 %")</f>
        <v>- 10,4 %</v>
      </c>
    </row>
    <row r="161">
      <c r="A161" s="2">
        <f>IFERROR(__xludf.DUMMYFUNCTION("""COMPUTED_VALUE"""),41334.0)</f>
        <v>41334</v>
      </c>
      <c r="B161" s="1" t="str">
        <f>IFERROR(__xludf.DUMMYFUNCTION("""COMPUTED_VALUE"""),"1.895 €/m2")</f>
        <v>1.895 €/m2</v>
      </c>
      <c r="C161" s="1" t="str">
        <f>IFERROR(__xludf.DUMMYFUNCTION("""COMPUTED_VALUE"""),"+ 1,3 %")</f>
        <v>+ 1,3 %</v>
      </c>
      <c r="D161" s="1" t="str">
        <f>IFERROR(__xludf.DUMMYFUNCTION("""COMPUTED_VALUE"""),"0,0 %")</f>
        <v>0,0 %</v>
      </c>
      <c r="E161" s="1" t="str">
        <f>IFERROR(__xludf.DUMMYFUNCTION("""COMPUTED_VALUE"""),"- 11,3 %")</f>
        <v>- 11,3 %</v>
      </c>
    </row>
    <row r="162">
      <c r="A162" s="2">
        <f>IFERROR(__xludf.DUMMYFUNCTION("""COMPUTED_VALUE"""),41306.0)</f>
        <v>41306</v>
      </c>
      <c r="B162" s="1" t="str">
        <f>IFERROR(__xludf.DUMMYFUNCTION("""COMPUTED_VALUE"""),"1.870 €/m2")</f>
        <v>1.870 €/m2</v>
      </c>
      <c r="C162" s="1" t="str">
        <f>IFERROR(__xludf.DUMMYFUNCTION("""COMPUTED_VALUE"""),"- 0,2 %")</f>
        <v>- 0,2 %</v>
      </c>
      <c r="D162" s="1" t="str">
        <f>IFERROR(__xludf.DUMMYFUNCTION("""COMPUTED_VALUE"""),"- 4,7 %")</f>
        <v>- 4,7 %</v>
      </c>
      <c r="E162" s="1" t="str">
        <f>IFERROR(__xludf.DUMMYFUNCTION("""COMPUTED_VALUE"""),"- 14,8 %")</f>
        <v>- 14,8 %</v>
      </c>
    </row>
    <row r="163">
      <c r="A163" s="2">
        <f>IFERROR(__xludf.DUMMYFUNCTION("""COMPUTED_VALUE"""),41275.0)</f>
        <v>41275</v>
      </c>
      <c r="B163" s="1" t="str">
        <f>IFERROR(__xludf.DUMMYFUNCTION("""COMPUTED_VALUE"""),"1.873 €/m2")</f>
        <v>1.873 €/m2</v>
      </c>
      <c r="C163" s="1" t="str">
        <f>IFERROR(__xludf.DUMMYFUNCTION("""COMPUTED_VALUE"""),"- 1,1 %")</f>
        <v>- 1,1 %</v>
      </c>
      <c r="D163" s="1" t="str">
        <f>IFERROR(__xludf.DUMMYFUNCTION("""COMPUTED_VALUE"""),"- 6,4 %")</f>
        <v>- 6,4 %</v>
      </c>
      <c r="E163" s="1" t="str">
        <f>IFERROR(__xludf.DUMMYFUNCTION("""COMPUTED_VALUE"""),"- 15,9 %")</f>
        <v>- 15,9 %</v>
      </c>
    </row>
    <row r="164">
      <c r="A164" s="2">
        <f>IFERROR(__xludf.DUMMYFUNCTION("""COMPUTED_VALUE"""),41244.0)</f>
        <v>41244</v>
      </c>
      <c r="B164" s="1" t="str">
        <f>IFERROR(__xludf.DUMMYFUNCTION("""COMPUTED_VALUE"""),"1.895 €/m2")</f>
        <v>1.895 €/m2</v>
      </c>
      <c r="C164" s="1" t="str">
        <f>IFERROR(__xludf.DUMMYFUNCTION("""COMPUTED_VALUE"""),"- 3,4 %")</f>
        <v>- 3,4 %</v>
      </c>
      <c r="D164" s="1" t="str">
        <f>IFERROR(__xludf.DUMMYFUNCTION("""COMPUTED_VALUE"""),"- 7,4 %")</f>
        <v>- 7,4 %</v>
      </c>
      <c r="E164" s="1" t="str">
        <f>IFERROR(__xludf.DUMMYFUNCTION("""COMPUTED_VALUE"""),"- 14,6 %")</f>
        <v>- 14,6 %</v>
      </c>
    </row>
    <row r="165">
      <c r="A165" s="2">
        <f>IFERROR(__xludf.DUMMYFUNCTION("""COMPUTED_VALUE"""),41214.0)</f>
        <v>41214</v>
      </c>
      <c r="B165" s="1" t="str">
        <f>IFERROR(__xludf.DUMMYFUNCTION("""COMPUTED_VALUE"""),"1.962 €/m2")</f>
        <v>1.962 €/m2</v>
      </c>
      <c r="C165" s="1" t="str">
        <f>IFERROR(__xludf.DUMMYFUNCTION("""COMPUTED_VALUE"""),"- 2,0 %")</f>
        <v>- 2,0 %</v>
      </c>
      <c r="D165" s="1" t="str">
        <f>IFERROR(__xludf.DUMMYFUNCTION("""COMPUTED_VALUE"""),"- 3,5 %")</f>
        <v>- 3,5 %</v>
      </c>
      <c r="E165" s="1" t="str">
        <f>IFERROR(__xludf.DUMMYFUNCTION("""COMPUTED_VALUE"""),"- 12,7 %")</f>
        <v>- 12,7 %</v>
      </c>
    </row>
    <row r="166">
      <c r="A166" s="2">
        <f>IFERROR(__xludf.DUMMYFUNCTION("""COMPUTED_VALUE"""),41183.0)</f>
        <v>41183</v>
      </c>
      <c r="B166" s="1" t="str">
        <f>IFERROR(__xludf.DUMMYFUNCTION("""COMPUTED_VALUE"""),"2.001 €/m2")</f>
        <v>2.001 €/m2</v>
      </c>
      <c r="C166" s="1" t="str">
        <f>IFERROR(__xludf.DUMMYFUNCTION("""COMPUTED_VALUE"""),"- 2,2 %")</f>
        <v>- 2,2 %</v>
      </c>
      <c r="D166" s="1" t="str">
        <f>IFERROR(__xludf.DUMMYFUNCTION("""COMPUTED_VALUE"""),"- 2,8 %")</f>
        <v>- 2,8 %</v>
      </c>
      <c r="E166" s="1" t="str">
        <f>IFERROR(__xludf.DUMMYFUNCTION("""COMPUTED_VALUE"""),"- 11,9 %")</f>
        <v>- 11,9 %</v>
      </c>
    </row>
    <row r="167">
      <c r="A167" s="2">
        <f>IFERROR(__xludf.DUMMYFUNCTION("""COMPUTED_VALUE"""),41153.0)</f>
        <v>41153</v>
      </c>
      <c r="B167" s="1" t="str">
        <f>IFERROR(__xludf.DUMMYFUNCTION("""COMPUTED_VALUE"""),"2.046 €/m2")</f>
        <v>2.046 €/m2</v>
      </c>
      <c r="C167" s="1" t="str">
        <f>IFERROR(__xludf.DUMMYFUNCTION("""COMPUTED_VALUE"""),"+ 0,6 %")</f>
        <v>+ 0,6 %</v>
      </c>
      <c r="D167" s="1" t="str">
        <f>IFERROR(__xludf.DUMMYFUNCTION("""COMPUTED_VALUE"""),"- 0,2 %")</f>
        <v>- 0,2 %</v>
      </c>
      <c r="E167" s="1" t="str">
        <f>IFERROR(__xludf.DUMMYFUNCTION("""COMPUTED_VALUE"""),"- 10,4 %")</f>
        <v>- 10,4 %</v>
      </c>
    </row>
    <row r="168">
      <c r="A168" s="2">
        <f>IFERROR(__xludf.DUMMYFUNCTION("""COMPUTED_VALUE"""),41122.0)</f>
        <v>41122</v>
      </c>
      <c r="B168" s="1" t="str">
        <f>IFERROR(__xludf.DUMMYFUNCTION("""COMPUTED_VALUE"""),"2.034 €/m2")</f>
        <v>2.034 €/m2</v>
      </c>
      <c r="C168" s="1" t="str">
        <f>IFERROR(__xludf.DUMMYFUNCTION("""COMPUTED_VALUE"""),"- 1,2 %")</f>
        <v>- 1,2 %</v>
      </c>
      <c r="D168" s="1" t="str">
        <f>IFERROR(__xludf.DUMMYFUNCTION("""COMPUTED_VALUE"""),"- 2,0 %")</f>
        <v>- 2,0 %</v>
      </c>
      <c r="E168" s="1" t="str">
        <f>IFERROR(__xludf.DUMMYFUNCTION("""COMPUTED_VALUE"""),"- 11,7 %")</f>
        <v>- 11,7 %</v>
      </c>
    </row>
    <row r="169">
      <c r="A169" s="2">
        <f>IFERROR(__xludf.DUMMYFUNCTION("""COMPUTED_VALUE"""),41091.0)</f>
        <v>41091</v>
      </c>
      <c r="B169" s="1" t="str">
        <f>IFERROR(__xludf.DUMMYFUNCTION("""COMPUTED_VALUE"""),"2.059 €/m2")</f>
        <v>2.059 €/m2</v>
      </c>
      <c r="C169" s="1" t="str">
        <f>IFERROR(__xludf.DUMMYFUNCTION("""COMPUTED_VALUE"""),"+ 0,5 %")</f>
        <v>+ 0,5 %</v>
      </c>
      <c r="D169" s="1" t="str">
        <f>IFERROR(__xludf.DUMMYFUNCTION("""COMPUTED_VALUE"""),"- 2,1 %")</f>
        <v>- 2,1 %</v>
      </c>
      <c r="E169" s="1" t="str">
        <f>IFERROR(__xludf.DUMMYFUNCTION("""COMPUTED_VALUE"""),"- 12,0 %")</f>
        <v>- 12,0 %</v>
      </c>
    </row>
    <row r="170">
      <c r="A170" s="2">
        <f>IFERROR(__xludf.DUMMYFUNCTION("""COMPUTED_VALUE"""),41061.0)</f>
        <v>41061</v>
      </c>
      <c r="B170" s="1" t="str">
        <f>IFERROR(__xludf.DUMMYFUNCTION("""COMPUTED_VALUE"""),"2.049 €/m2")</f>
        <v>2.049 €/m2</v>
      </c>
      <c r="C170" s="1" t="str">
        <f>IFERROR(__xludf.DUMMYFUNCTION("""COMPUTED_VALUE"""),"- 1,2 %")</f>
        <v>- 1,2 %</v>
      </c>
      <c r="D170" s="1" t="str">
        <f>IFERROR(__xludf.DUMMYFUNCTION("""COMPUTED_VALUE"""),"- 4,1 %")</f>
        <v>- 4,1 %</v>
      </c>
      <c r="E170" s="1" t="str">
        <f>IFERROR(__xludf.DUMMYFUNCTION("""COMPUTED_VALUE"""),"- 13,6 %")</f>
        <v>- 13,6 %</v>
      </c>
    </row>
    <row r="171">
      <c r="A171" s="2">
        <f>IFERROR(__xludf.DUMMYFUNCTION("""COMPUTED_VALUE"""),41030.0)</f>
        <v>41030</v>
      </c>
      <c r="B171" s="1" t="str">
        <f>IFERROR(__xludf.DUMMYFUNCTION("""COMPUTED_VALUE"""),"2.074 €/m2")</f>
        <v>2.074 €/m2</v>
      </c>
      <c r="C171" s="1" t="str">
        <f>IFERROR(__xludf.DUMMYFUNCTION("""COMPUTED_VALUE"""),"- 1,3 %")</f>
        <v>- 1,3 %</v>
      </c>
      <c r="D171" s="1" t="str">
        <f>IFERROR(__xludf.DUMMYFUNCTION("""COMPUTED_VALUE"""),"- 5,5 %")</f>
        <v>- 5,5 %</v>
      </c>
      <c r="E171" s="1" t="str">
        <f>IFERROR(__xludf.DUMMYFUNCTION("""COMPUTED_VALUE"""),"- 13,5 %")</f>
        <v>- 13,5 %</v>
      </c>
    </row>
    <row r="172">
      <c r="A172" s="2">
        <f>IFERROR(__xludf.DUMMYFUNCTION("""COMPUTED_VALUE"""),41000.0)</f>
        <v>41000</v>
      </c>
      <c r="B172" s="1" t="str">
        <f>IFERROR(__xludf.DUMMYFUNCTION("""COMPUTED_VALUE"""),"2.102 €/m2")</f>
        <v>2.102 €/m2</v>
      </c>
      <c r="C172" s="1" t="str">
        <f>IFERROR(__xludf.DUMMYFUNCTION("""COMPUTED_VALUE"""),"- 1,6 %")</f>
        <v>- 1,6 %</v>
      </c>
      <c r="D172" s="1" t="str">
        <f>IFERROR(__xludf.DUMMYFUNCTION("""COMPUTED_VALUE"""),"- 5,6 %")</f>
        <v>- 5,6 %</v>
      </c>
      <c r="E172" s="1" t="str">
        <f>IFERROR(__xludf.DUMMYFUNCTION("""COMPUTED_VALUE"""),"- 13,6 %")</f>
        <v>- 13,6 %</v>
      </c>
    </row>
    <row r="173">
      <c r="A173" s="2">
        <f>IFERROR(__xludf.DUMMYFUNCTION("""COMPUTED_VALUE"""),40969.0)</f>
        <v>40969</v>
      </c>
      <c r="B173" s="1" t="str">
        <f>IFERROR(__xludf.DUMMYFUNCTION("""COMPUTED_VALUE"""),"2.137 €/m2")</f>
        <v>2.137 €/m2</v>
      </c>
      <c r="C173" s="1" t="str">
        <f>IFERROR(__xludf.DUMMYFUNCTION("""COMPUTED_VALUE"""),"- 2,7 %")</f>
        <v>- 2,7 %</v>
      </c>
      <c r="D173" s="1" t="str">
        <f>IFERROR(__xludf.DUMMYFUNCTION("""COMPUTED_VALUE"""),"- 3,7 %")</f>
        <v>- 3,7 %</v>
      </c>
      <c r="E173" s="1" t="str">
        <f>IFERROR(__xludf.DUMMYFUNCTION("""COMPUTED_VALUE"""),"- 13,6 %")</f>
        <v>- 13,6 %</v>
      </c>
    </row>
    <row r="174">
      <c r="A174" s="2">
        <f>IFERROR(__xludf.DUMMYFUNCTION("""COMPUTED_VALUE"""),40940.0)</f>
        <v>40940</v>
      </c>
      <c r="B174" s="1" t="str">
        <f>IFERROR(__xludf.DUMMYFUNCTION("""COMPUTED_VALUE"""),"2.195 €/m2")</f>
        <v>2.195 €/m2</v>
      </c>
      <c r="C174" s="1" t="str">
        <f>IFERROR(__xludf.DUMMYFUNCTION("""COMPUTED_VALUE"""),"- 1,4 %")</f>
        <v>- 1,4 %</v>
      </c>
      <c r="D174" s="1" t="str">
        <f>IFERROR(__xludf.DUMMYFUNCTION("""COMPUTED_VALUE"""),"- 2,3 %")</f>
        <v>- 2,3 %</v>
      </c>
      <c r="E174" s="1" t="str">
        <f>IFERROR(__xludf.DUMMYFUNCTION("""COMPUTED_VALUE"""),"- 12,0 %")</f>
        <v>- 12,0 %</v>
      </c>
    </row>
    <row r="175">
      <c r="A175" s="2">
        <f>IFERROR(__xludf.DUMMYFUNCTION("""COMPUTED_VALUE"""),40909.0)</f>
        <v>40909</v>
      </c>
      <c r="B175" s="1" t="str">
        <f>IFERROR(__xludf.DUMMYFUNCTION("""COMPUTED_VALUE"""),"2.226 €/m2")</f>
        <v>2.226 €/m2</v>
      </c>
      <c r="C175" s="1" t="str">
        <f>IFERROR(__xludf.DUMMYFUNCTION("""COMPUTED_VALUE"""),"+ 0,3 %")</f>
        <v>+ 0,3 %</v>
      </c>
      <c r="D175" s="1" t="str">
        <f>IFERROR(__xludf.DUMMYFUNCTION("""COMPUTED_VALUE"""),"- 2,0 %")</f>
        <v>- 2,0 %</v>
      </c>
      <c r="E175" s="1" t="str">
        <f>IFERROR(__xludf.DUMMYFUNCTION("""COMPUTED_VALUE"""),"- 11,2 %")</f>
        <v>- 11,2 %</v>
      </c>
    </row>
    <row r="176">
      <c r="A176" s="2">
        <f>IFERROR(__xludf.DUMMYFUNCTION("""COMPUTED_VALUE"""),40878.0)</f>
        <v>40878</v>
      </c>
      <c r="B176" s="1" t="str">
        <f>IFERROR(__xludf.DUMMYFUNCTION("""COMPUTED_VALUE"""),"2.220 €/m2")</f>
        <v>2.220 €/m2</v>
      </c>
      <c r="C176" s="1" t="str">
        <f>IFERROR(__xludf.DUMMYFUNCTION("""COMPUTED_VALUE"""),"- 1,2 %")</f>
        <v>- 1,2 %</v>
      </c>
      <c r="D176" s="1" t="str">
        <f>IFERROR(__xludf.DUMMYFUNCTION("""COMPUTED_VALUE"""),"- 2,8 %")</f>
        <v>- 2,8 %</v>
      </c>
      <c r="E176" s="1" t="str">
        <f>IFERROR(__xludf.DUMMYFUNCTION("""COMPUTED_VALUE"""),"- 12,0 %")</f>
        <v>- 12,0 %</v>
      </c>
    </row>
    <row r="177">
      <c r="A177" s="2">
        <f>IFERROR(__xludf.DUMMYFUNCTION("""COMPUTED_VALUE"""),40848.0)</f>
        <v>40848</v>
      </c>
      <c r="B177" s="1" t="str">
        <f>IFERROR(__xludf.DUMMYFUNCTION("""COMPUTED_VALUE"""),"2.247 €/m2")</f>
        <v>2.247 €/m2</v>
      </c>
      <c r="C177" s="1" t="str">
        <f>IFERROR(__xludf.DUMMYFUNCTION("""COMPUTED_VALUE"""),"- 1,1 %")</f>
        <v>- 1,1 %</v>
      </c>
      <c r="D177" s="1" t="str">
        <f>IFERROR(__xludf.DUMMYFUNCTION("""COMPUTED_VALUE"""),"- 2,5 %")</f>
        <v>- 2,5 %</v>
      </c>
      <c r="E177" s="1" t="str">
        <f>IFERROR(__xludf.DUMMYFUNCTION("""COMPUTED_VALUE"""),"- 11,3 %")</f>
        <v>- 11,3 %</v>
      </c>
    </row>
    <row r="178">
      <c r="A178" s="2">
        <f>IFERROR(__xludf.DUMMYFUNCTION("""COMPUTED_VALUE"""),40817.0)</f>
        <v>40817</v>
      </c>
      <c r="B178" s="1" t="str">
        <f>IFERROR(__xludf.DUMMYFUNCTION("""COMPUTED_VALUE"""),"2.271 €/m2")</f>
        <v>2.271 €/m2</v>
      </c>
      <c r="C178" s="1" t="str">
        <f>IFERROR(__xludf.DUMMYFUNCTION("""COMPUTED_VALUE"""),"- 0,6 %")</f>
        <v>- 0,6 %</v>
      </c>
      <c r="D178" s="1" t="str">
        <f>IFERROR(__xludf.DUMMYFUNCTION("""COMPUTED_VALUE"""),"- 3,0 %")</f>
        <v>- 3,0 %</v>
      </c>
      <c r="E178" s="1" t="str">
        <f>IFERROR(__xludf.DUMMYFUNCTION("""COMPUTED_VALUE"""),"- 9,7 %")</f>
        <v>- 9,7 %</v>
      </c>
    </row>
    <row r="179">
      <c r="A179" s="2">
        <f>IFERROR(__xludf.DUMMYFUNCTION("""COMPUTED_VALUE"""),40787.0)</f>
        <v>40787</v>
      </c>
      <c r="B179" s="1" t="str">
        <f>IFERROR(__xludf.DUMMYFUNCTION("""COMPUTED_VALUE"""),"2.284 €/m2")</f>
        <v>2.284 €/m2</v>
      </c>
      <c r="C179" s="1" t="str">
        <f>IFERROR(__xludf.DUMMYFUNCTION("""COMPUTED_VALUE"""),"- 0,9 %")</f>
        <v>- 0,9 %</v>
      </c>
      <c r="D179" s="1" t="str">
        <f>IFERROR(__xludf.DUMMYFUNCTION("""COMPUTED_VALUE"""),"- 3,8 %")</f>
        <v>- 3,8 %</v>
      </c>
      <c r="E179" s="1" t="str">
        <f>IFERROR(__xludf.DUMMYFUNCTION("""COMPUTED_VALUE"""),"- 10,0 %")</f>
        <v>- 10,0 %</v>
      </c>
    </row>
    <row r="180">
      <c r="A180" s="2">
        <f>IFERROR(__xludf.DUMMYFUNCTION("""COMPUTED_VALUE"""),40756.0)</f>
        <v>40756</v>
      </c>
      <c r="B180" s="1" t="str">
        <f>IFERROR(__xludf.DUMMYFUNCTION("""COMPUTED_VALUE"""),"2.304 €/m2")</f>
        <v>2.304 €/m2</v>
      </c>
      <c r="C180" s="1" t="str">
        <f>IFERROR(__xludf.DUMMYFUNCTION("""COMPUTED_VALUE"""),"- 1,6 %")</f>
        <v>- 1,6 %</v>
      </c>
      <c r="D180" s="1" t="str">
        <f>IFERROR(__xludf.DUMMYFUNCTION("""COMPUTED_VALUE"""),"- 3,9 %")</f>
        <v>- 3,9 %</v>
      </c>
      <c r="E180" s="1" t="str">
        <f>IFERROR(__xludf.DUMMYFUNCTION("""COMPUTED_VALUE"""),"- 8,7 %")</f>
        <v>- 8,7 %</v>
      </c>
    </row>
    <row r="181">
      <c r="A181" s="2">
        <f>IFERROR(__xludf.DUMMYFUNCTION("""COMPUTED_VALUE"""),40725.0)</f>
        <v>40725</v>
      </c>
      <c r="B181" s="1" t="str">
        <f>IFERROR(__xludf.DUMMYFUNCTION("""COMPUTED_VALUE"""),"2.341 €/m2")</f>
        <v>2.341 €/m2</v>
      </c>
      <c r="C181" s="1" t="str">
        <f>IFERROR(__xludf.DUMMYFUNCTION("""COMPUTED_VALUE"""),"- 1,4 %")</f>
        <v>- 1,4 %</v>
      </c>
      <c r="D181" s="1" t="str">
        <f>IFERROR(__xludf.DUMMYFUNCTION("""COMPUTED_VALUE"""),"- 3,7 %")</f>
        <v>- 3,7 %</v>
      </c>
      <c r="E181" s="1" t="str">
        <f>IFERROR(__xludf.DUMMYFUNCTION("""COMPUTED_VALUE"""),"- 7,3 %")</f>
        <v>- 7,3 %</v>
      </c>
    </row>
    <row r="182">
      <c r="A182" s="2">
        <f>IFERROR(__xludf.DUMMYFUNCTION("""COMPUTED_VALUE"""),40695.0)</f>
        <v>40695</v>
      </c>
      <c r="B182" s="1" t="str">
        <f>IFERROR(__xludf.DUMMYFUNCTION("""COMPUTED_VALUE"""),"2.373 €/m2")</f>
        <v>2.373 €/m2</v>
      </c>
      <c r="C182" s="1" t="str">
        <f>IFERROR(__xludf.DUMMYFUNCTION("""COMPUTED_VALUE"""),"- 1,0 %")</f>
        <v>- 1,0 %</v>
      </c>
      <c r="D182" s="1" t="str">
        <f>IFERROR(__xludf.DUMMYFUNCTION("""COMPUTED_VALUE"""),"- 4,0 %")</f>
        <v>- 4,0 %</v>
      </c>
      <c r="E182" s="1" t="str">
        <f>IFERROR(__xludf.DUMMYFUNCTION("""COMPUTED_VALUE"""),"- 5,8 %")</f>
        <v>- 5,8 %</v>
      </c>
    </row>
    <row r="183">
      <c r="A183" s="2">
        <f>IFERROR(__xludf.DUMMYFUNCTION("""COMPUTED_VALUE"""),40664.0)</f>
        <v>40664</v>
      </c>
      <c r="B183" s="1" t="str">
        <f>IFERROR(__xludf.DUMMYFUNCTION("""COMPUTED_VALUE"""),"2.398 €/m2")</f>
        <v>2.398 €/m2</v>
      </c>
      <c r="C183" s="1" t="str">
        <f>IFERROR(__xludf.DUMMYFUNCTION("""COMPUTED_VALUE"""),"- 1,4 %")</f>
        <v>- 1,4 %</v>
      </c>
      <c r="D183" s="1" t="str">
        <f>IFERROR(__xludf.DUMMYFUNCTION("""COMPUTED_VALUE"""),"- 3,9 %")</f>
        <v>- 3,9 %</v>
      </c>
      <c r="E183" s="1" t="str">
        <f>IFERROR(__xludf.DUMMYFUNCTION("""COMPUTED_VALUE"""),"- 7,0 %")</f>
        <v>- 7,0 %</v>
      </c>
    </row>
    <row r="184">
      <c r="A184" s="2">
        <f>IFERROR(__xludf.DUMMYFUNCTION("""COMPUTED_VALUE"""),40634.0)</f>
        <v>40634</v>
      </c>
      <c r="B184" s="1" t="str">
        <f>IFERROR(__xludf.DUMMYFUNCTION("""COMPUTED_VALUE"""),"2.432 €/m2")</f>
        <v>2.432 €/m2</v>
      </c>
      <c r="C184" s="1" t="str">
        <f>IFERROR(__xludf.DUMMYFUNCTION("""COMPUTED_VALUE"""),"- 1,6 %")</f>
        <v>- 1,6 %</v>
      </c>
      <c r="D184" s="1" t="str">
        <f>IFERROR(__xludf.DUMMYFUNCTION("""COMPUTED_VALUE"""),"- 3,0 %")</f>
        <v>- 3,0 %</v>
      </c>
      <c r="E184" s="1" t="str">
        <f>IFERROR(__xludf.DUMMYFUNCTION("""COMPUTED_VALUE"""),"- 7,4 %")</f>
        <v>- 7,4 %</v>
      </c>
    </row>
    <row r="185">
      <c r="A185" s="2">
        <f>IFERROR(__xludf.DUMMYFUNCTION("""COMPUTED_VALUE"""),40603.0)</f>
        <v>40603</v>
      </c>
      <c r="B185" s="1" t="str">
        <f>IFERROR(__xludf.DUMMYFUNCTION("""COMPUTED_VALUE"""),"2.472 €/m2")</f>
        <v>2.472 €/m2</v>
      </c>
      <c r="C185" s="1" t="str">
        <f>IFERROR(__xludf.DUMMYFUNCTION("""COMPUTED_VALUE"""),"- 0,9 %")</f>
        <v>- 0,9 %</v>
      </c>
      <c r="D185" s="1" t="str">
        <f>IFERROR(__xludf.DUMMYFUNCTION("""COMPUTED_VALUE"""),"- 2,0 %")</f>
        <v>- 2,0 %</v>
      </c>
      <c r="E185" s="1" t="str">
        <f>IFERROR(__xludf.DUMMYFUNCTION("""COMPUTED_VALUE"""),"- 7,5 %")</f>
        <v>- 7,5 %</v>
      </c>
    </row>
    <row r="186">
      <c r="A186" s="2">
        <f>IFERROR(__xludf.DUMMYFUNCTION("""COMPUTED_VALUE"""),40575.0)</f>
        <v>40575</v>
      </c>
      <c r="B186" s="1" t="str">
        <f>IFERROR(__xludf.DUMMYFUNCTION("""COMPUTED_VALUE"""),"2.495 €/m2")</f>
        <v>2.495 €/m2</v>
      </c>
      <c r="C186" s="1" t="str">
        <f>IFERROR(__xludf.DUMMYFUNCTION("""COMPUTED_VALUE"""),"- 0,5 %")</f>
        <v>- 0,5 %</v>
      </c>
      <c r="D186" s="1" t="str">
        <f>IFERROR(__xludf.DUMMYFUNCTION("""COMPUTED_VALUE"""),"- 1,5 %")</f>
        <v>- 1,5 %</v>
      </c>
      <c r="E186" s="1" t="str">
        <f>IFERROR(__xludf.DUMMYFUNCTION("""COMPUTED_VALUE"""),"- 5,7 %")</f>
        <v>- 5,7 %</v>
      </c>
    </row>
    <row r="187">
      <c r="A187" s="2">
        <f>IFERROR(__xludf.DUMMYFUNCTION("""COMPUTED_VALUE"""),40544.0)</f>
        <v>40544</v>
      </c>
      <c r="B187" s="1" t="str">
        <f>IFERROR(__xludf.DUMMYFUNCTION("""COMPUTED_VALUE"""),"2.508 €/m2")</f>
        <v>2.508 €/m2</v>
      </c>
      <c r="C187" s="1" t="str">
        <f>IFERROR(__xludf.DUMMYFUNCTION("""COMPUTED_VALUE"""),"- 0,5 %")</f>
        <v>- 0,5 %</v>
      </c>
      <c r="D187" s="1" t="str">
        <f>IFERROR(__xludf.DUMMYFUNCTION("""COMPUTED_VALUE"""),"- 0,2 %")</f>
        <v>- 0,2 %</v>
      </c>
      <c r="E187" s="1" t="str">
        <f>IFERROR(__xludf.DUMMYFUNCTION("""COMPUTED_VALUE"""),"- 6,4 %")</f>
        <v>- 6,4 %</v>
      </c>
    </row>
    <row r="188">
      <c r="A188" s="2">
        <f>IFERROR(__xludf.DUMMYFUNCTION("""COMPUTED_VALUE"""),40513.0)</f>
        <v>40513</v>
      </c>
      <c r="B188" s="1" t="str">
        <f>IFERROR(__xludf.DUMMYFUNCTION("""COMPUTED_VALUE"""),"2.521 €/m2")</f>
        <v>2.521 €/m2</v>
      </c>
      <c r="C188" s="1" t="str">
        <f>IFERROR(__xludf.DUMMYFUNCTION("""COMPUTED_VALUE"""),"- 0,5 %")</f>
        <v>- 0,5 %</v>
      </c>
      <c r="D188" s="1" t="str">
        <f>IFERROR(__xludf.DUMMYFUNCTION("""COMPUTED_VALUE"""),"- 0,6 %")</f>
        <v>- 0,6 %</v>
      </c>
      <c r="E188" s="1" t="str">
        <f>IFERROR(__xludf.DUMMYFUNCTION("""COMPUTED_VALUE"""),"- 6,3 %")</f>
        <v>- 6,3 %</v>
      </c>
    </row>
    <row r="189">
      <c r="A189" s="2">
        <f>IFERROR(__xludf.DUMMYFUNCTION("""COMPUTED_VALUE"""),40483.0)</f>
        <v>40483</v>
      </c>
      <c r="B189" s="1" t="str">
        <f>IFERROR(__xludf.DUMMYFUNCTION("""COMPUTED_VALUE"""),"2.534 €/m2")</f>
        <v>2.534 €/m2</v>
      </c>
      <c r="C189" s="1" t="str">
        <f>IFERROR(__xludf.DUMMYFUNCTION("""COMPUTED_VALUE"""),"+ 0,8 %")</f>
        <v>+ 0,8 %</v>
      </c>
      <c r="D189" s="1" t="str">
        <f>IFERROR(__xludf.DUMMYFUNCTION("""COMPUTED_VALUE"""),"+ 0,4 %")</f>
        <v>+ 0,4 %</v>
      </c>
      <c r="E189" s="1" t="str">
        <f>IFERROR(__xludf.DUMMYFUNCTION("""COMPUTED_VALUE"""),"- 6,8 %")</f>
        <v>- 6,8 %</v>
      </c>
    </row>
    <row r="190">
      <c r="A190" s="2">
        <f>IFERROR(__xludf.DUMMYFUNCTION("""COMPUTED_VALUE"""),40452.0)</f>
        <v>40452</v>
      </c>
      <c r="B190" s="1" t="str">
        <f>IFERROR(__xludf.DUMMYFUNCTION("""COMPUTED_VALUE"""),"2.514 €/m2")</f>
        <v>2.514 €/m2</v>
      </c>
      <c r="C190" s="1" t="str">
        <f>IFERROR(__xludf.DUMMYFUNCTION("""COMPUTED_VALUE"""),"- 0,9 %")</f>
        <v>- 0,9 %</v>
      </c>
      <c r="D190" s="1" t="str">
        <f>IFERROR(__xludf.DUMMYFUNCTION("""COMPUTED_VALUE"""),"- 0,5 %")</f>
        <v>- 0,5 %</v>
      </c>
      <c r="E190" s="1" t="str">
        <f>IFERROR(__xludf.DUMMYFUNCTION("""COMPUTED_VALUE"""),"- 7,5 %")</f>
        <v>- 7,5 %</v>
      </c>
    </row>
    <row r="191">
      <c r="A191" s="2">
        <f>IFERROR(__xludf.DUMMYFUNCTION("""COMPUTED_VALUE"""),40422.0)</f>
        <v>40422</v>
      </c>
      <c r="B191" s="1" t="str">
        <f>IFERROR(__xludf.DUMMYFUNCTION("""COMPUTED_VALUE"""),"2.537 €/m2")</f>
        <v>2.537 €/m2</v>
      </c>
      <c r="C191" s="1" t="str">
        <f>IFERROR(__xludf.DUMMYFUNCTION("""COMPUTED_VALUE"""),"+ 0,6 %")</f>
        <v>+ 0,6 %</v>
      </c>
      <c r="D191" s="1" t="str">
        <f>IFERROR(__xludf.DUMMYFUNCTION("""COMPUTED_VALUE"""),"+ 0,6 %")</f>
        <v>+ 0,6 %</v>
      </c>
      <c r="E191" s="1" t="str">
        <f>IFERROR(__xludf.DUMMYFUNCTION("""COMPUTED_VALUE"""),"- 5,5 %")</f>
        <v>- 5,5 %</v>
      </c>
    </row>
    <row r="192">
      <c r="A192" s="2">
        <f>IFERROR(__xludf.DUMMYFUNCTION("""COMPUTED_VALUE"""),40391.0)</f>
        <v>40391</v>
      </c>
      <c r="B192" s="1" t="str">
        <f>IFERROR(__xludf.DUMMYFUNCTION("""COMPUTED_VALUE"""),"2.522 €/m2")</f>
        <v>2.522 €/m2</v>
      </c>
      <c r="C192" s="1" t="str">
        <f>IFERROR(__xludf.DUMMYFUNCTION("""COMPUTED_VALUE"""),"- 0,1 %")</f>
        <v>- 0,1 %</v>
      </c>
      <c r="D192" s="1" t="str">
        <f>IFERROR(__xludf.DUMMYFUNCTION("""COMPUTED_VALUE"""),"- 2,2 %")</f>
        <v>- 2,2 %</v>
      </c>
      <c r="E192" s="1" t="str">
        <f>IFERROR(__xludf.DUMMYFUNCTION("""COMPUTED_VALUE"""),"- 7,1 %")</f>
        <v>- 7,1 %</v>
      </c>
    </row>
    <row r="193">
      <c r="A193" s="2">
        <f>IFERROR(__xludf.DUMMYFUNCTION("""COMPUTED_VALUE"""),40360.0)</f>
        <v>40360</v>
      </c>
      <c r="B193" s="1" t="str">
        <f>IFERROR(__xludf.DUMMYFUNCTION("""COMPUTED_VALUE"""),"2.526 €/m2")</f>
        <v>2.526 €/m2</v>
      </c>
      <c r="C193" s="1" t="str">
        <f>IFERROR(__xludf.DUMMYFUNCTION("""COMPUTED_VALUE"""),"+ 0,2 %")</f>
        <v>+ 0,2 %</v>
      </c>
      <c r="D193" s="1" t="str">
        <f>IFERROR(__xludf.DUMMYFUNCTION("""COMPUTED_VALUE"""),"- 3,9 %")</f>
        <v>- 3,9 %</v>
      </c>
      <c r="E193" s="1" t="str">
        <f>IFERROR(__xludf.DUMMYFUNCTION("""COMPUTED_VALUE"""),"- 6,8 %")</f>
        <v>- 6,8 %</v>
      </c>
    </row>
    <row r="194">
      <c r="A194" s="2">
        <f>IFERROR(__xludf.DUMMYFUNCTION("""COMPUTED_VALUE"""),40330.0)</f>
        <v>40330</v>
      </c>
      <c r="B194" s="1" t="str">
        <f>IFERROR(__xludf.DUMMYFUNCTION("""COMPUTED_VALUE"""),"2.521 €/m2")</f>
        <v>2.521 €/m2</v>
      </c>
      <c r="C194" s="1" t="str">
        <f>IFERROR(__xludf.DUMMYFUNCTION("""COMPUTED_VALUE"""),"- 2,2 %")</f>
        <v>- 2,2 %</v>
      </c>
      <c r="D194" s="1" t="str">
        <f>IFERROR(__xludf.DUMMYFUNCTION("""COMPUTED_VALUE"""),"- 5,6 %")</f>
        <v>- 5,6 %</v>
      </c>
      <c r="E194" s="1" t="str">
        <f>IFERROR(__xludf.DUMMYFUNCTION("""COMPUTED_VALUE"""),"- 6,3 %")</f>
        <v>- 6,3 %</v>
      </c>
    </row>
    <row r="195">
      <c r="A195" s="2">
        <f>IFERROR(__xludf.DUMMYFUNCTION("""COMPUTED_VALUE"""),40299.0)</f>
        <v>40299</v>
      </c>
      <c r="B195" s="1" t="str">
        <f>IFERROR(__xludf.DUMMYFUNCTION("""COMPUTED_VALUE"""),"2.579 €/m2")</f>
        <v>2.579 €/m2</v>
      </c>
      <c r="C195" s="1" t="str">
        <f>IFERROR(__xludf.DUMMYFUNCTION("""COMPUTED_VALUE"""),"- 1,9 %")</f>
        <v>- 1,9 %</v>
      </c>
      <c r="D195" s="1" t="str">
        <f>IFERROR(__xludf.DUMMYFUNCTION("""COMPUTED_VALUE"""),"- 2,6 %")</f>
        <v>- 2,6 %</v>
      </c>
      <c r="E195" s="1" t="str">
        <f>IFERROR(__xludf.DUMMYFUNCTION("""COMPUTED_VALUE"""),"- 5,0 %")</f>
        <v>- 5,0 %</v>
      </c>
    </row>
    <row r="196">
      <c r="A196" s="2">
        <f>IFERROR(__xludf.DUMMYFUNCTION("""COMPUTED_VALUE"""),40269.0)</f>
        <v>40269</v>
      </c>
      <c r="B196" s="1" t="str">
        <f>IFERROR(__xludf.DUMMYFUNCTION("""COMPUTED_VALUE"""),"2.627 €/m2")</f>
        <v>2.627 €/m2</v>
      </c>
      <c r="C196" s="1" t="str">
        <f>IFERROR(__xludf.DUMMYFUNCTION("""COMPUTED_VALUE"""),"- 1,6 %")</f>
        <v>- 1,6 %</v>
      </c>
      <c r="D196" s="1" t="str">
        <f>IFERROR(__xludf.DUMMYFUNCTION("""COMPUTED_VALUE"""),"- 2,0 %")</f>
        <v>- 2,0 %</v>
      </c>
      <c r="E196" s="1" t="str">
        <f>IFERROR(__xludf.DUMMYFUNCTION("""COMPUTED_VALUE"""),"- 5,4 %")</f>
        <v>- 5,4 %</v>
      </c>
    </row>
    <row r="197">
      <c r="A197" s="2">
        <f>IFERROR(__xludf.DUMMYFUNCTION("""COMPUTED_VALUE"""),40238.0)</f>
        <v>40238</v>
      </c>
      <c r="B197" s="1" t="str">
        <f>IFERROR(__xludf.DUMMYFUNCTION("""COMPUTED_VALUE"""),"2.671 €/m2")</f>
        <v>2.671 €/m2</v>
      </c>
      <c r="C197" s="1" t="str">
        <f>IFERROR(__xludf.DUMMYFUNCTION("""COMPUTED_VALUE"""),"+ 0,9 %")</f>
        <v>+ 0,9 %</v>
      </c>
      <c r="D197" s="1" t="str">
        <f>IFERROR(__xludf.DUMMYFUNCTION("""COMPUTED_VALUE"""),"- 0,7 %")</f>
        <v>- 0,7 %</v>
      </c>
      <c r="E197" s="1" t="str">
        <f>IFERROR(__xludf.DUMMYFUNCTION("""COMPUTED_VALUE"""),"- 6,2 %")</f>
        <v>- 6,2 %</v>
      </c>
    </row>
    <row r="198">
      <c r="A198" s="2">
        <f>IFERROR(__xludf.DUMMYFUNCTION("""COMPUTED_VALUE"""),40210.0)</f>
        <v>40210</v>
      </c>
      <c r="B198" s="1" t="str">
        <f>IFERROR(__xludf.DUMMYFUNCTION("""COMPUTED_VALUE"""),"2.647 €/m2")</f>
        <v>2.647 €/m2</v>
      </c>
      <c r="C198" s="1" t="str">
        <f>IFERROR(__xludf.DUMMYFUNCTION("""COMPUTED_VALUE"""),"- 1,2 %")</f>
        <v>- 1,2 %</v>
      </c>
      <c r="D198" s="1" t="str">
        <f>IFERROR(__xludf.DUMMYFUNCTION("""COMPUTED_VALUE"""),"- 2,6 %")</f>
        <v>- 2,6 %</v>
      </c>
      <c r="E198" s="1" t="str">
        <f>IFERROR(__xludf.DUMMYFUNCTION("""COMPUTED_VALUE"""),"- 5,5 %")</f>
        <v>- 5,5 %</v>
      </c>
    </row>
    <row r="199">
      <c r="A199" s="2">
        <f>IFERROR(__xludf.DUMMYFUNCTION("""COMPUTED_VALUE"""),40179.0)</f>
        <v>40179</v>
      </c>
      <c r="B199" s="1" t="str">
        <f>IFERROR(__xludf.DUMMYFUNCTION("""COMPUTED_VALUE"""),"2.680 €/m2")</f>
        <v>2.680 €/m2</v>
      </c>
      <c r="C199" s="1" t="str">
        <f>IFERROR(__xludf.DUMMYFUNCTION("""COMPUTED_VALUE"""),"- 0,4 %")</f>
        <v>- 0,4 %</v>
      </c>
      <c r="D199" s="1" t="str">
        <f>IFERROR(__xludf.DUMMYFUNCTION("""COMPUTED_VALUE"""),"- 1,4 %")</f>
        <v>- 1,4 %</v>
      </c>
      <c r="E199" s="1" t="str">
        <f>IFERROR(__xludf.DUMMYFUNCTION("""COMPUTED_VALUE"""),"- 4,1 %")</f>
        <v>- 4,1 %</v>
      </c>
    </row>
    <row r="200">
      <c r="A200" s="2">
        <f>IFERROR(__xludf.DUMMYFUNCTION("""COMPUTED_VALUE"""),40148.0)</f>
        <v>40148</v>
      </c>
      <c r="B200" s="1" t="str">
        <f>IFERROR(__xludf.DUMMYFUNCTION("""COMPUTED_VALUE"""),"2.690 €/m2")</f>
        <v>2.690 €/m2</v>
      </c>
      <c r="C200" s="1" t="str">
        <f>IFERROR(__xludf.DUMMYFUNCTION("""COMPUTED_VALUE"""),"- 1,0 %")</f>
        <v>- 1,0 %</v>
      </c>
      <c r="D200" s="1" t="str">
        <f>IFERROR(__xludf.DUMMYFUNCTION("""COMPUTED_VALUE"""),"+ 0,2 %")</f>
        <v>+ 0,2 %</v>
      </c>
      <c r="E200" s="1" t="str">
        <f>IFERROR(__xludf.DUMMYFUNCTION("""COMPUTED_VALUE"""),"- 1,8 %")</f>
        <v>- 1,8 %</v>
      </c>
    </row>
    <row r="201">
      <c r="A201" s="2">
        <f>IFERROR(__xludf.DUMMYFUNCTION("""COMPUTED_VALUE"""),40118.0)</f>
        <v>40118</v>
      </c>
      <c r="B201" s="1" t="str">
        <f>IFERROR(__xludf.DUMMYFUNCTION("""COMPUTED_VALUE"""),"2.718 €/m2")</f>
        <v>2.718 €/m2</v>
      </c>
      <c r="C201" s="1" t="str">
        <f>IFERROR(__xludf.DUMMYFUNCTION("""COMPUTED_VALUE"""),"0,0 %")</f>
        <v>0,0 %</v>
      </c>
      <c r="D201" s="1" t="str">
        <f>IFERROR(__xludf.DUMMYFUNCTION("""COMPUTED_VALUE"""),"+ 0,1 %")</f>
        <v>+ 0,1 %</v>
      </c>
      <c r="E201" s="1" t="str">
        <f>IFERROR(__xludf.DUMMYFUNCTION("""COMPUTED_VALUE"""),"- 7,2 %")</f>
        <v>- 7,2 %</v>
      </c>
    </row>
    <row r="202">
      <c r="A202" s="2">
        <f>IFERROR(__xludf.DUMMYFUNCTION("""COMPUTED_VALUE"""),40087.0)</f>
        <v>40087</v>
      </c>
      <c r="B202" s="1" t="str">
        <f>IFERROR(__xludf.DUMMYFUNCTION("""COMPUTED_VALUE"""),"2.718 €/m2")</f>
        <v>2.718 €/m2</v>
      </c>
      <c r="C202" s="1" t="str">
        <f>IFERROR(__xludf.DUMMYFUNCTION("""COMPUTED_VALUE"""),"+ 1,3 %")</f>
        <v>+ 1,3 %</v>
      </c>
      <c r="D202" s="1" t="str">
        <f>IFERROR(__xludf.DUMMYFUNCTION("""COMPUTED_VALUE"""),"+ 0,3 %")</f>
        <v>+ 0,3 %</v>
      </c>
      <c r="E202" s="1" t="str">
        <f>IFERROR(__xludf.DUMMYFUNCTION("""COMPUTED_VALUE"""),"- 7,5 %")</f>
        <v>- 7,5 %</v>
      </c>
    </row>
    <row r="203">
      <c r="A203" s="2">
        <f>IFERROR(__xludf.DUMMYFUNCTION("""COMPUTED_VALUE"""),40057.0)</f>
        <v>40057</v>
      </c>
      <c r="B203" s="1" t="str">
        <f>IFERROR(__xludf.DUMMYFUNCTION("""COMPUTED_VALUE"""),"2.684 €/m2")</f>
        <v>2.684 €/m2</v>
      </c>
      <c r="C203" s="1" t="str">
        <f>IFERROR(__xludf.DUMMYFUNCTION("""COMPUTED_VALUE"""),"- 1,1 %")</f>
        <v>- 1,1 %</v>
      </c>
      <c r="D203" s="1" t="str">
        <f>IFERROR(__xludf.DUMMYFUNCTION("""COMPUTED_VALUE"""),"- 0,2 %")</f>
        <v>- 0,2 %</v>
      </c>
      <c r="E203" s="1" t="str">
        <f>IFERROR(__xludf.DUMMYFUNCTION("""COMPUTED_VALUE"""),"- 8,6 %")</f>
        <v>- 8,6 %</v>
      </c>
    </row>
    <row r="204">
      <c r="A204" s="2">
        <f>IFERROR(__xludf.DUMMYFUNCTION("""COMPUTED_VALUE"""),40026.0)</f>
        <v>40026</v>
      </c>
      <c r="B204" s="1" t="str">
        <f>IFERROR(__xludf.DUMMYFUNCTION("""COMPUTED_VALUE"""),"2.714 €/m2")</f>
        <v>2.714 €/m2</v>
      </c>
      <c r="C204" s="1" t="str">
        <f>IFERROR(__xludf.DUMMYFUNCTION("""COMPUTED_VALUE"""),"+ 0,2 %")</f>
        <v>+ 0,2 %</v>
      </c>
      <c r="D204" s="1" t="str">
        <f>IFERROR(__xludf.DUMMYFUNCTION("""COMPUTED_VALUE"""),"0,0 %")</f>
        <v>0,0 %</v>
      </c>
      <c r="E204" s="1" t="str">
        <f>IFERROR(__xludf.DUMMYFUNCTION("""COMPUTED_VALUE"""),"- 5,1 %")</f>
        <v>- 5,1 %</v>
      </c>
    </row>
    <row r="205">
      <c r="A205" s="2">
        <f>IFERROR(__xludf.DUMMYFUNCTION("""COMPUTED_VALUE"""),39995.0)</f>
        <v>39995</v>
      </c>
      <c r="B205" s="1" t="str">
        <f>IFERROR(__xludf.DUMMYFUNCTION("""COMPUTED_VALUE"""),"2.710 €/m2")</f>
        <v>2.710 €/m2</v>
      </c>
      <c r="C205" s="1" t="str">
        <f>IFERROR(__xludf.DUMMYFUNCTION("""COMPUTED_VALUE"""),"+ 0,7 %")</f>
        <v>+ 0,7 %</v>
      </c>
      <c r="D205" s="1" t="str">
        <f>IFERROR(__xludf.DUMMYFUNCTION("""COMPUTED_VALUE"""),"- 2,5 %")</f>
        <v>- 2,5 %</v>
      </c>
      <c r="E205" s="1" t="str">
        <f>IFERROR(__xludf.DUMMYFUNCTION("""COMPUTED_VALUE"""),"- 6,3 %")</f>
        <v>- 6,3 %</v>
      </c>
    </row>
    <row r="206">
      <c r="A206" s="2">
        <f>IFERROR(__xludf.DUMMYFUNCTION("""COMPUTED_VALUE"""),39965.0)</f>
        <v>39965</v>
      </c>
      <c r="B206" s="1" t="str">
        <f>IFERROR(__xludf.DUMMYFUNCTION("""COMPUTED_VALUE"""),"2.690 €/m2")</f>
        <v>2.690 €/m2</v>
      </c>
      <c r="C206" s="1" t="str">
        <f>IFERROR(__xludf.DUMMYFUNCTION("""COMPUTED_VALUE"""),"- 0,9 %")</f>
        <v>- 0,9 %</v>
      </c>
      <c r="D206" s="1" t="str">
        <f>IFERROR(__xludf.DUMMYFUNCTION("""COMPUTED_VALUE"""),"- 5,6 %")</f>
        <v>- 5,6 %</v>
      </c>
      <c r="E206" s="1" t="str">
        <f>IFERROR(__xludf.DUMMYFUNCTION("""COMPUTED_VALUE"""),"- 8,1 %")</f>
        <v>- 8,1 %</v>
      </c>
    </row>
    <row r="207">
      <c r="A207" s="2">
        <f>IFERROR(__xludf.DUMMYFUNCTION("""COMPUTED_VALUE"""),39934.0)</f>
        <v>39934</v>
      </c>
      <c r="B207" s="1" t="str">
        <f>IFERROR(__xludf.DUMMYFUNCTION("""COMPUTED_VALUE"""),"2.713 €/m2")</f>
        <v>2.713 €/m2</v>
      </c>
      <c r="C207" s="1" t="str">
        <f>IFERROR(__xludf.DUMMYFUNCTION("""COMPUTED_VALUE"""),"- 2,3 %")</f>
        <v>- 2,3 %</v>
      </c>
      <c r="D207" s="1" t="str">
        <f>IFERROR(__xludf.DUMMYFUNCTION("""COMPUTED_VALUE"""),"- 3,1 %")</f>
        <v>- 3,1 %</v>
      </c>
      <c r="E207" s="1" t="str">
        <f>IFERROR(__xludf.DUMMYFUNCTION("""COMPUTED_VALUE"""),"- 9,8 %")</f>
        <v>- 9,8 %</v>
      </c>
    </row>
    <row r="208">
      <c r="A208" s="2">
        <f>IFERROR(__xludf.DUMMYFUNCTION("""COMPUTED_VALUE"""),39904.0)</f>
        <v>39904</v>
      </c>
      <c r="B208" s="1" t="str">
        <f>IFERROR(__xludf.DUMMYFUNCTION("""COMPUTED_VALUE"""),"2.778 €/m2")</f>
        <v>2.778 €/m2</v>
      </c>
      <c r="C208" s="1" t="str">
        <f>IFERROR(__xludf.DUMMYFUNCTION("""COMPUTED_VALUE"""),"- 2,4 %")</f>
        <v>- 2,4 %</v>
      </c>
      <c r="D208" s="1" t="str">
        <f>IFERROR(__xludf.DUMMYFUNCTION("""COMPUTED_VALUE"""),"- 0,6 %")</f>
        <v>- 0,6 %</v>
      </c>
      <c r="E208" s="1" t="str">
        <f>IFERROR(__xludf.DUMMYFUNCTION("""COMPUTED_VALUE"""),"- 7,6 %")</f>
        <v>- 7,6 %</v>
      </c>
    </row>
    <row r="209">
      <c r="A209" s="2">
        <f>IFERROR(__xludf.DUMMYFUNCTION("""COMPUTED_VALUE"""),39873.0)</f>
        <v>39873</v>
      </c>
      <c r="B209" s="1" t="str">
        <f>IFERROR(__xludf.DUMMYFUNCTION("""COMPUTED_VALUE"""),"2.848 €/m2")</f>
        <v>2.848 €/m2</v>
      </c>
      <c r="C209" s="1" t="str">
        <f>IFERROR(__xludf.DUMMYFUNCTION("""COMPUTED_VALUE"""),"+ 1,7 %")</f>
        <v>+ 1,7 %</v>
      </c>
      <c r="D209" s="1" t="str">
        <f>IFERROR(__xludf.DUMMYFUNCTION("""COMPUTED_VALUE"""),"+ 4,0 %")</f>
        <v>+ 4,0 %</v>
      </c>
      <c r="E209" s="1" t="str">
        <f>IFERROR(__xludf.DUMMYFUNCTION("""COMPUTED_VALUE"""),"- 4,6 %")</f>
        <v>- 4,6 %</v>
      </c>
    </row>
    <row r="210">
      <c r="A210" s="2">
        <f>IFERROR(__xludf.DUMMYFUNCTION("""COMPUTED_VALUE"""),39845.0)</f>
        <v>39845</v>
      </c>
      <c r="B210" s="1" t="str">
        <f>IFERROR(__xludf.DUMMYFUNCTION("""COMPUTED_VALUE"""),"2.800 €/m2")</f>
        <v>2.800 €/m2</v>
      </c>
      <c r="C210" s="1" t="str">
        <f>IFERROR(__xludf.DUMMYFUNCTION("""COMPUTED_VALUE"""),"+ 0,1 %")</f>
        <v>+ 0,1 %</v>
      </c>
      <c r="D210" s="1" t="str">
        <f>IFERROR(__xludf.DUMMYFUNCTION("""COMPUTED_VALUE"""),"- 4,4 %")</f>
        <v>- 4,4 %</v>
      </c>
      <c r="E210" s="1" t="str">
        <f>IFERROR(__xludf.DUMMYFUNCTION("""COMPUTED_VALUE"""),"- 3,6 %")</f>
        <v>- 3,6 %</v>
      </c>
    </row>
    <row r="211">
      <c r="A211" s="2">
        <f>IFERROR(__xludf.DUMMYFUNCTION("""COMPUTED_VALUE"""),39814.0)</f>
        <v>39814</v>
      </c>
      <c r="B211" s="1" t="str">
        <f>IFERROR(__xludf.DUMMYFUNCTION("""COMPUTED_VALUE"""),"2.796 €/m2")</f>
        <v>2.796 €/m2</v>
      </c>
      <c r="C211" s="1" t="str">
        <f>IFERROR(__xludf.DUMMYFUNCTION("""COMPUTED_VALUE"""),"+ 2,1 %")</f>
        <v>+ 2,1 %</v>
      </c>
      <c r="D211" s="1" t="str">
        <f>IFERROR(__xludf.DUMMYFUNCTION("""COMPUTED_VALUE"""),"- 4,9 %")</f>
        <v>- 4,9 %</v>
      </c>
      <c r="E211" s="1" t="str">
        <f>IFERROR(__xludf.DUMMYFUNCTION("""COMPUTED_VALUE"""),"- 2,7 %")</f>
        <v>- 2,7 %</v>
      </c>
    </row>
    <row r="212">
      <c r="A212" s="2">
        <f>IFERROR(__xludf.DUMMYFUNCTION("""COMPUTED_VALUE"""),39783.0)</f>
        <v>39783</v>
      </c>
      <c r="B212" s="1" t="str">
        <f>IFERROR(__xludf.DUMMYFUNCTION("""COMPUTED_VALUE"""),"2.739 €/m2")</f>
        <v>2.739 €/m2</v>
      </c>
      <c r="C212" s="1" t="str">
        <f>IFERROR(__xludf.DUMMYFUNCTION("""COMPUTED_VALUE"""),"- 6,5 %")</f>
        <v>- 6,5 %</v>
      </c>
      <c r="D212" s="1" t="str">
        <f>IFERROR(__xludf.DUMMYFUNCTION("""COMPUTED_VALUE"""),"- 6,7 %")</f>
        <v>- 6,7 %</v>
      </c>
      <c r="E212" s="1" t="str">
        <f>IFERROR(__xludf.DUMMYFUNCTION("""COMPUTED_VALUE"""),"- 7,4 %")</f>
        <v>- 7,4 %</v>
      </c>
    </row>
    <row r="213">
      <c r="A213" s="2">
        <f>IFERROR(__xludf.DUMMYFUNCTION("""COMPUTED_VALUE"""),39753.0)</f>
        <v>39753</v>
      </c>
      <c r="B213" s="1" t="str">
        <f>IFERROR(__xludf.DUMMYFUNCTION("""COMPUTED_VALUE"""),"2.929 €/m2")</f>
        <v>2.929 €/m2</v>
      </c>
      <c r="C213" s="1" t="str">
        <f>IFERROR(__xludf.DUMMYFUNCTION("""COMPUTED_VALUE"""),"- 0,4 %")</f>
        <v>- 0,4 %</v>
      </c>
      <c r="D213" s="1" t="str">
        <f>IFERROR(__xludf.DUMMYFUNCTION("""COMPUTED_VALUE"""),"+ 2,4 %")</f>
        <v>+ 2,4 %</v>
      </c>
      <c r="E213" s="1" t="str">
        <f>IFERROR(__xludf.DUMMYFUNCTION("""COMPUTED_VALUE"""),"- 4,2 %")</f>
        <v>- 4,2 %</v>
      </c>
    </row>
    <row r="214">
      <c r="A214" s="2">
        <f>IFERROR(__xludf.DUMMYFUNCTION("""COMPUTED_VALUE"""),39722.0)</f>
        <v>39722</v>
      </c>
      <c r="B214" s="1" t="str">
        <f>IFERROR(__xludf.DUMMYFUNCTION("""COMPUTED_VALUE"""),"2.940 €/m2")</f>
        <v>2.940 €/m2</v>
      </c>
      <c r="C214" s="1" t="str">
        <f>IFERROR(__xludf.DUMMYFUNCTION("""COMPUTED_VALUE"""),"+ 0,2 %")</f>
        <v>+ 0,2 %</v>
      </c>
      <c r="D214" s="1" t="str">
        <f>IFERROR(__xludf.DUMMYFUNCTION("""COMPUTED_VALUE"""),"+ 1,7 %")</f>
        <v>+ 1,7 %</v>
      </c>
      <c r="E214" s="1" t="str">
        <f>IFERROR(__xludf.DUMMYFUNCTION("""COMPUTED_VALUE"""),"n.d.")</f>
        <v>n.d.</v>
      </c>
    </row>
    <row r="215">
      <c r="A215" s="2">
        <f>IFERROR(__xludf.DUMMYFUNCTION("""COMPUTED_VALUE"""),39692.0)</f>
        <v>39692</v>
      </c>
      <c r="B215" s="1" t="str">
        <f>IFERROR(__xludf.DUMMYFUNCTION("""COMPUTED_VALUE"""),"2.935 €/m2")</f>
        <v>2.935 €/m2</v>
      </c>
      <c r="C215" s="1" t="str">
        <f>IFERROR(__xludf.DUMMYFUNCTION("""COMPUTED_VALUE"""),"+ 2,6 %")</f>
        <v>+ 2,6 %</v>
      </c>
      <c r="D215" s="1" t="str">
        <f>IFERROR(__xludf.DUMMYFUNCTION("""COMPUTED_VALUE"""),"+ 0,3 %")</f>
        <v>+ 0,3 %</v>
      </c>
      <c r="E215" s="1" t="str">
        <f>IFERROR(__xludf.DUMMYFUNCTION("""COMPUTED_VALUE"""),"n.d.")</f>
        <v>n.d.</v>
      </c>
    </row>
    <row r="216">
      <c r="A216" s="2">
        <f>IFERROR(__xludf.DUMMYFUNCTION("""COMPUTED_VALUE"""),39661.0)</f>
        <v>39661</v>
      </c>
      <c r="B216" s="1" t="str">
        <f>IFERROR(__xludf.DUMMYFUNCTION("""COMPUTED_VALUE"""),"2.861 €/m2")</f>
        <v>2.861 €/m2</v>
      </c>
      <c r="C216" s="1" t="str">
        <f>IFERROR(__xludf.DUMMYFUNCTION("""COMPUTED_VALUE"""),"- 1,0 %")</f>
        <v>- 1,0 %</v>
      </c>
      <c r="D216" s="1" t="str">
        <f>IFERROR(__xludf.DUMMYFUNCTION("""COMPUTED_VALUE"""),"- 4,9 %")</f>
        <v>- 4,9 %</v>
      </c>
      <c r="E216" s="1" t="str">
        <f>IFERROR(__xludf.DUMMYFUNCTION("""COMPUTED_VALUE"""),"n.d.")</f>
        <v>n.d.</v>
      </c>
    </row>
    <row r="217">
      <c r="A217" s="2">
        <f>IFERROR(__xludf.DUMMYFUNCTION("""COMPUTED_VALUE"""),39630.0)</f>
        <v>39630</v>
      </c>
      <c r="B217" s="1" t="str">
        <f>IFERROR(__xludf.DUMMYFUNCTION("""COMPUTED_VALUE"""),"2.891 €/m2")</f>
        <v>2.891 €/m2</v>
      </c>
      <c r="C217" s="1" t="str">
        <f>IFERROR(__xludf.DUMMYFUNCTION("""COMPUTED_VALUE"""),"- 1,2 %")</f>
        <v>- 1,2 %</v>
      </c>
      <c r="D217" s="1" t="str">
        <f>IFERROR(__xludf.DUMMYFUNCTION("""COMPUTED_VALUE"""),"- 3,9 %")</f>
        <v>- 3,9 %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IFERROR(__xludf.DUMMYFUNCTION("""COMPUTED_VALUE"""),"2.926 €/m2")</f>
        <v>2.926 €/m2</v>
      </c>
      <c r="C218" s="1" t="str">
        <f>IFERROR(__xludf.DUMMYFUNCTION("""COMPUTED_VALUE"""),"- 2,7 %")</f>
        <v>- 2,7 %</v>
      </c>
      <c r="D218" s="1" t="str">
        <f>IFERROR(__xludf.DUMMYFUNCTION("""COMPUTED_VALUE"""),"- 2,0 %")</f>
        <v>- 2,0 %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IFERROR(__xludf.DUMMYFUNCTION("""COMPUTED_VALUE"""),"3.007 €/m2")</f>
        <v>3.007 €/m2</v>
      </c>
      <c r="C219" s="1" t="str">
        <f>IFERROR(__xludf.DUMMYFUNCTION("""COMPUTED_VALUE"""),"0,0 %")</f>
        <v>0,0 %</v>
      </c>
      <c r="D219" s="1" t="str">
        <f>IFERROR(__xludf.DUMMYFUNCTION("""COMPUTED_VALUE"""),"+ 3,5 %")</f>
        <v>+ 3,5 %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IFERROR(__xludf.DUMMYFUNCTION("""COMPUTED_VALUE"""),"3.008 €/m2")</f>
        <v>3.008 €/m2</v>
      </c>
      <c r="C220" s="1" t="str">
        <f>IFERROR(__xludf.DUMMYFUNCTION("""COMPUTED_VALUE"""),"+ 0,8 %")</f>
        <v>+ 0,8 %</v>
      </c>
      <c r="D220" s="1" t="str">
        <f>IFERROR(__xludf.DUMMYFUNCTION("""COMPUTED_VALUE"""),"+ 4,7 %")</f>
        <v>+ 4,7 %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IFERROR(__xludf.DUMMYFUNCTION("""COMPUTED_VALUE"""),"2.985 €/m2")</f>
        <v>2.985 €/m2</v>
      </c>
      <c r="C221" s="1" t="str">
        <f>IFERROR(__xludf.DUMMYFUNCTION("""COMPUTED_VALUE"""),"+ 2,8 %")</f>
        <v>+ 2,8 %</v>
      </c>
      <c r="D221" s="1" t="str">
        <f>IFERROR(__xludf.DUMMYFUNCTION("""COMPUTED_VALUE"""),"+ 0,9 %")</f>
        <v>+ 0,9 %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IFERROR(__xludf.DUMMYFUNCTION("""COMPUTED_VALUE"""),"2.904 €/m2")</f>
        <v>2.904 €/m2</v>
      </c>
      <c r="C222" s="1" t="str">
        <f>IFERROR(__xludf.DUMMYFUNCTION("""COMPUTED_VALUE"""),"+ 1,1 %")</f>
        <v>+ 1,1 %</v>
      </c>
      <c r="D222" s="1" t="str">
        <f>IFERROR(__xludf.DUMMYFUNCTION("""COMPUTED_VALUE"""),"- 5,0 %")</f>
        <v>- 5,0 %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IFERROR(__xludf.DUMMYFUNCTION("""COMPUTED_VALUE"""),"2.873 €/m2")</f>
        <v>2.873 €/m2</v>
      </c>
      <c r="C223" s="1" t="str">
        <f>IFERROR(__xludf.DUMMYFUNCTION("""COMPUTED_VALUE"""),"- 2,8 %")</f>
        <v>- 2,8 %</v>
      </c>
      <c r="D223" s="1" t="str">
        <f>IFERROR(__xludf.DUMMYFUNCTION("""COMPUTED_VALUE"""),"n.d.")</f>
        <v>n.d.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IFERROR(__xludf.DUMMYFUNCTION("""COMPUTED_VALUE"""),"2.957 €/m2")</f>
        <v>2.957 €/m2</v>
      </c>
      <c r="C224" s="1" t="str">
        <f>IFERROR(__xludf.DUMMYFUNCTION("""COMPUTED_VALUE"""),"- 3,3 %")</f>
        <v>- 3,3 %</v>
      </c>
      <c r="D224" s="1" t="str">
        <f>IFERROR(__xludf.DUMMYFUNCTION("""COMPUTED_VALUE"""),"n.d.")</f>
        <v>n.d.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IFERROR(__xludf.DUMMYFUNCTION("""COMPUTED_VALUE"""),"3.058 €/m2")</f>
        <v>3.058 €/m2</v>
      </c>
      <c r="C225" s="1" t="str">
        <f>IFERROR(__xludf.DUMMYFUNCTION("""COMPUTED_VALUE"""),"n.d.")</f>
        <v>n.d.</v>
      </c>
      <c r="D225" s="1" t="str">
        <f>IFERROR(__xludf.DUMMYFUNCTION("""COMPUTED_VALUE"""),"n.d.")</f>
        <v>n.d.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IFERROR(__xludf.DUMMYFUNCTION("""COMPUTED_VALUE"""),"n.d.")</f>
        <v>n.d.</v>
      </c>
      <c r="C226" s="1" t="str">
        <f>IFERROR(__xludf.DUMMYFUNCTION("""COMPUTED_VALUE"""),"n.d.")</f>
        <v>n.d.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IFERROR(__xludf.DUMMYFUNCTION("""COMPUTED_VALUE"""),"n.d.")</f>
        <v>n.d.</v>
      </c>
      <c r="C227" s="1" t="str">
        <f>IFERROR(__xludf.DUMMYFUNCTION("""COMPUTED_VALUE"""),"n.d.")</f>
        <v>n.d.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IFERROR(__xludf.DUMMYFUNCTION("""COMPUTED_VALUE"""),"n.d.")</f>
        <v>n.d.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IFERROR(__xludf.DUMMYFUNCTION("IMPORTHTML(""https://www.idealista.com/sala-de-prensa/informes-precio-vivienda/venta/madrid-comunidad/madrid-provincia/madrid/moncloa/historico/"",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IFERROR(__xludf.DUMMYFUNCTION("""COMPUTED_VALUE"""),"6.293 €/m2")</f>
        <v>6.293 €/m2</v>
      </c>
      <c r="C2" s="1" t="str">
        <f>IFERROR(__xludf.DUMMYFUNCTION("""COMPUTED_VALUE"""),"- 0,3 %")</f>
        <v>- 0,3 %</v>
      </c>
      <c r="D2" s="1" t="str">
        <f>IFERROR(__xludf.DUMMYFUNCTION("""COMPUTED_VALUE"""),"+ 1,0 %")</f>
        <v>+ 1,0 %</v>
      </c>
      <c r="E2" s="1" t="str">
        <f>IFERROR(__xludf.DUMMYFUNCTION("""COMPUTED_VALUE"""),"+ 8,3 %")</f>
        <v>+ 8,3 %</v>
      </c>
    </row>
    <row r="3">
      <c r="A3" s="2">
        <f>IFERROR(__xludf.DUMMYFUNCTION("""COMPUTED_VALUE"""),46143.0)</f>
        <v>46143</v>
      </c>
      <c r="B3" s="1" t="str">
        <f>IFERROR(__xludf.DUMMYFUNCTION("""COMPUTED_VALUE"""),"6.313 €/m2")</f>
        <v>6.313 €/m2</v>
      </c>
      <c r="C3" s="1" t="str">
        <f>IFERROR(__xludf.DUMMYFUNCTION("""COMPUTED_VALUE"""),"- 1,0 %")</f>
        <v>- 1,0 %</v>
      </c>
      <c r="D3" s="1" t="str">
        <f>IFERROR(__xludf.DUMMYFUNCTION("""COMPUTED_VALUE"""),"+ 1,2 %")</f>
        <v>+ 1,2 %</v>
      </c>
      <c r="E3" s="1" t="str">
        <f>IFERROR(__xludf.DUMMYFUNCTION("""COMPUTED_VALUE"""),"+ 10,9 %")</f>
        <v>+ 10,9 %</v>
      </c>
    </row>
    <row r="4">
      <c r="A4" s="2">
        <f>IFERROR(__xludf.DUMMYFUNCTION("""COMPUTED_VALUE"""),46113.0)</f>
        <v>46113</v>
      </c>
      <c r="B4" s="1" t="str">
        <f>IFERROR(__xludf.DUMMYFUNCTION("""COMPUTED_VALUE"""),"6.376 €/m2")</f>
        <v>6.376 €/m2</v>
      </c>
      <c r="C4" s="1" t="str">
        <f>IFERROR(__xludf.DUMMYFUNCTION("""COMPUTED_VALUE"""),"+ 2,3 %")</f>
        <v>+ 2,3 %</v>
      </c>
      <c r="D4" s="1" t="str">
        <f>IFERROR(__xludf.DUMMYFUNCTION("""COMPUTED_VALUE"""),"+ 2,0 %")</f>
        <v>+ 2,0 %</v>
      </c>
      <c r="E4" s="1" t="str">
        <f>IFERROR(__xludf.DUMMYFUNCTION("""COMPUTED_VALUE"""),"+ 13,9 %")</f>
        <v>+ 13,9 %</v>
      </c>
    </row>
    <row r="5">
      <c r="A5" s="2">
        <f>IFERROR(__xludf.DUMMYFUNCTION("""COMPUTED_VALUE"""),46082.0)</f>
        <v>46082</v>
      </c>
      <c r="B5" s="1" t="str">
        <f>IFERROR(__xludf.DUMMYFUNCTION("""COMPUTED_VALUE"""),"6.230 €/m2")</f>
        <v>6.230 €/m2</v>
      </c>
      <c r="C5" s="1" t="str">
        <f>IFERROR(__xludf.DUMMYFUNCTION("""COMPUTED_VALUE"""),"- 0,1 %")</f>
        <v>- 0,1 %</v>
      </c>
      <c r="D5" s="1" t="str">
        <f>IFERROR(__xludf.DUMMYFUNCTION("""COMPUTED_VALUE"""),"- 0,8 %")</f>
        <v>- 0,8 %</v>
      </c>
      <c r="E5" s="1" t="str">
        <f>IFERROR(__xludf.DUMMYFUNCTION("""COMPUTED_VALUE"""),"+ 13,3 %")</f>
        <v>+ 13,3 %</v>
      </c>
    </row>
    <row r="6">
      <c r="A6" s="2">
        <f>IFERROR(__xludf.DUMMYFUNCTION("""COMPUTED_VALUE"""),46054.0)</f>
        <v>46054</v>
      </c>
      <c r="B6" s="1" t="str">
        <f>IFERROR(__xludf.DUMMYFUNCTION("""COMPUTED_VALUE"""),"6.236 €/m2")</f>
        <v>6.236 €/m2</v>
      </c>
      <c r="C6" s="1" t="str">
        <f>IFERROR(__xludf.DUMMYFUNCTION("""COMPUTED_VALUE"""),"- 0,3 %")</f>
        <v>- 0,3 %</v>
      </c>
      <c r="D6" s="1" t="str">
        <f>IFERROR(__xludf.DUMMYFUNCTION("""COMPUTED_VALUE"""),"- 0,1 %")</f>
        <v>- 0,1 %</v>
      </c>
      <c r="E6" s="1" t="str">
        <f>IFERROR(__xludf.DUMMYFUNCTION("""COMPUTED_VALUE"""),"+ 15,7 %")</f>
        <v>+ 15,7 %</v>
      </c>
    </row>
    <row r="7">
      <c r="A7" s="2">
        <f>IFERROR(__xludf.DUMMYFUNCTION("""COMPUTED_VALUE"""),46023.0)</f>
        <v>46023</v>
      </c>
      <c r="B7" s="1" t="str">
        <f>IFERROR(__xludf.DUMMYFUNCTION("""COMPUTED_VALUE"""),"6.253 €/m2")</f>
        <v>6.253 €/m2</v>
      </c>
      <c r="C7" s="1" t="str">
        <f>IFERROR(__xludf.DUMMYFUNCTION("""COMPUTED_VALUE"""),"- 0,5 %")</f>
        <v>- 0,5 %</v>
      </c>
      <c r="D7" s="1" t="str">
        <f>IFERROR(__xludf.DUMMYFUNCTION("""COMPUTED_VALUE"""),"+ 0,8 %")</f>
        <v>+ 0,8 %</v>
      </c>
      <c r="E7" s="1" t="str">
        <f>IFERROR(__xludf.DUMMYFUNCTION("""COMPUTED_VALUE"""),"+ 17,3 %")</f>
        <v>+ 17,3 %</v>
      </c>
    </row>
    <row r="8">
      <c r="A8" s="2">
        <f>IFERROR(__xludf.DUMMYFUNCTION("""COMPUTED_VALUE"""),45992.0)</f>
        <v>45992</v>
      </c>
      <c r="B8" s="1" t="str">
        <f>IFERROR(__xludf.DUMMYFUNCTION("""COMPUTED_VALUE"""),"6.282 €/m2")</f>
        <v>6.282 €/m2</v>
      </c>
      <c r="C8" s="1" t="str">
        <f>IFERROR(__xludf.DUMMYFUNCTION("""COMPUTED_VALUE"""),"+ 0,7 %")</f>
        <v>+ 0,7 %</v>
      </c>
      <c r="D8" s="1" t="str">
        <f>IFERROR(__xludf.DUMMYFUNCTION("""COMPUTED_VALUE"""),"+ 3,4 %")</f>
        <v>+ 3,4 %</v>
      </c>
      <c r="E8" s="1" t="str">
        <f>IFERROR(__xludf.DUMMYFUNCTION("""COMPUTED_VALUE"""),"+ 18,0 %")</f>
        <v>+ 18,0 %</v>
      </c>
    </row>
    <row r="9">
      <c r="A9" s="2">
        <f>IFERROR(__xludf.DUMMYFUNCTION("""COMPUTED_VALUE"""),45962.0)</f>
        <v>45962</v>
      </c>
      <c r="B9" s="1" t="str">
        <f>IFERROR(__xludf.DUMMYFUNCTION("""COMPUTED_VALUE"""),"6.240 €/m2")</f>
        <v>6.240 €/m2</v>
      </c>
      <c r="C9" s="1" t="str">
        <f>IFERROR(__xludf.DUMMYFUNCTION("""COMPUTED_VALUE"""),"+ 0,5 %")</f>
        <v>+ 0,5 %</v>
      </c>
      <c r="D9" s="1" t="str">
        <f>IFERROR(__xludf.DUMMYFUNCTION("""COMPUTED_VALUE"""),"+ 3,8 %")</f>
        <v>+ 3,8 %</v>
      </c>
      <c r="E9" s="1" t="str">
        <f>IFERROR(__xludf.DUMMYFUNCTION("""COMPUTED_VALUE"""),"+ 21,2 %")</f>
        <v>+ 21,2 %</v>
      </c>
    </row>
    <row r="10">
      <c r="A10" s="2">
        <f>IFERROR(__xludf.DUMMYFUNCTION("""COMPUTED_VALUE"""),45931.0)</f>
        <v>45931</v>
      </c>
      <c r="B10" s="1" t="str">
        <f>IFERROR(__xludf.DUMMYFUNCTION("""COMPUTED_VALUE"""),"6.206 €/m2")</f>
        <v>6.206 €/m2</v>
      </c>
      <c r="C10" s="1" t="str">
        <f>IFERROR(__xludf.DUMMYFUNCTION("""COMPUTED_VALUE"""),"+ 2,2 %")</f>
        <v>+ 2,2 %</v>
      </c>
      <c r="D10" s="1" t="str">
        <f>IFERROR(__xludf.DUMMYFUNCTION("""COMPUTED_VALUE"""),"+ 5,6 %")</f>
        <v>+ 5,6 %</v>
      </c>
      <c r="E10" s="1" t="str">
        <f>IFERROR(__xludf.DUMMYFUNCTION("""COMPUTED_VALUE"""),"+ 21,8 %")</f>
        <v>+ 21,8 %</v>
      </c>
    </row>
    <row r="11">
      <c r="A11" s="2">
        <f>IFERROR(__xludf.DUMMYFUNCTION("""COMPUTED_VALUE"""),45901.0)</f>
        <v>45901</v>
      </c>
      <c r="B11" s="1" t="str">
        <f>IFERROR(__xludf.DUMMYFUNCTION("""COMPUTED_VALUE"""),"6.074 €/m2")</f>
        <v>6.074 €/m2</v>
      </c>
      <c r="C11" s="1" t="str">
        <f>IFERROR(__xludf.DUMMYFUNCTION("""COMPUTED_VALUE"""),"+ 1,1 %")</f>
        <v>+ 1,1 %</v>
      </c>
      <c r="D11" s="1" t="str">
        <f>IFERROR(__xludf.DUMMYFUNCTION("""COMPUTED_VALUE"""),"+ 4,5 %")</f>
        <v>+ 4,5 %</v>
      </c>
      <c r="E11" s="1" t="str">
        <f>IFERROR(__xludf.DUMMYFUNCTION("""COMPUTED_VALUE"""),"+ 20,8 %")</f>
        <v>+ 20,8 %</v>
      </c>
    </row>
    <row r="12">
      <c r="A12" s="2">
        <f>IFERROR(__xludf.DUMMYFUNCTION("""COMPUTED_VALUE"""),45870.0)</f>
        <v>45870</v>
      </c>
      <c r="B12" s="1" t="str">
        <f>IFERROR(__xludf.DUMMYFUNCTION("""COMPUTED_VALUE"""),"6.011 €/m2")</f>
        <v>6.011 €/m2</v>
      </c>
      <c r="C12" s="1" t="str">
        <f>IFERROR(__xludf.DUMMYFUNCTION("""COMPUTED_VALUE"""),"+ 2,3 %")</f>
        <v>+ 2,3 %</v>
      </c>
      <c r="D12" s="1" t="str">
        <f>IFERROR(__xludf.DUMMYFUNCTION("""COMPUTED_VALUE"""),"+ 5,6 %")</f>
        <v>+ 5,6 %</v>
      </c>
      <c r="E12" s="1" t="str">
        <f>IFERROR(__xludf.DUMMYFUNCTION("""COMPUTED_VALUE"""),"+ 20,0 %")</f>
        <v>+ 20,0 %</v>
      </c>
    </row>
    <row r="13">
      <c r="A13" s="2">
        <f>IFERROR(__xludf.DUMMYFUNCTION("""COMPUTED_VALUE"""),45839.0)</f>
        <v>45839</v>
      </c>
      <c r="B13" s="1" t="str">
        <f>IFERROR(__xludf.DUMMYFUNCTION("""COMPUTED_VALUE"""),"5.876 €/m2")</f>
        <v>5.876 €/m2</v>
      </c>
      <c r="C13" s="1" t="str">
        <f>IFERROR(__xludf.DUMMYFUNCTION("""COMPUTED_VALUE"""),"+ 1,1 %")</f>
        <v>+ 1,1 %</v>
      </c>
      <c r="D13" s="1" t="str">
        <f>IFERROR(__xludf.DUMMYFUNCTION("""COMPUTED_VALUE"""),"+ 5,0 %")</f>
        <v>+ 5,0 %</v>
      </c>
      <c r="E13" s="1" t="str">
        <f>IFERROR(__xludf.DUMMYFUNCTION("""COMPUTED_VALUE"""),"+ 19,8 %")</f>
        <v>+ 19,8 %</v>
      </c>
    </row>
    <row r="14">
      <c r="A14" s="2">
        <f>IFERROR(__xludf.DUMMYFUNCTION("""COMPUTED_VALUE"""),45809.0)</f>
        <v>45809</v>
      </c>
      <c r="B14" s="1" t="str">
        <f>IFERROR(__xludf.DUMMYFUNCTION("""COMPUTED_VALUE"""),"5.811 €/m2")</f>
        <v>5.811 €/m2</v>
      </c>
      <c r="C14" s="1" t="str">
        <f>IFERROR(__xludf.DUMMYFUNCTION("""COMPUTED_VALUE"""),"+ 2,1 %")</f>
        <v>+ 2,1 %</v>
      </c>
      <c r="D14" s="1" t="str">
        <f>IFERROR(__xludf.DUMMYFUNCTION("""COMPUTED_VALUE"""),"+ 5,7 %")</f>
        <v>+ 5,7 %</v>
      </c>
      <c r="E14" s="1" t="str">
        <f>IFERROR(__xludf.DUMMYFUNCTION("""COMPUTED_VALUE"""),"+ 19,2 %")</f>
        <v>+ 19,2 %</v>
      </c>
    </row>
    <row r="15">
      <c r="A15" s="2">
        <f>IFERROR(__xludf.DUMMYFUNCTION("""COMPUTED_VALUE"""),45778.0)</f>
        <v>45778</v>
      </c>
      <c r="B15" s="1" t="str">
        <f>IFERROR(__xludf.DUMMYFUNCTION("""COMPUTED_VALUE"""),"5.691 €/m2")</f>
        <v>5.691 €/m2</v>
      </c>
      <c r="C15" s="1" t="str">
        <f>IFERROR(__xludf.DUMMYFUNCTION("""COMPUTED_VALUE"""),"+ 1,7 %")</f>
        <v>+ 1,7 %</v>
      </c>
      <c r="D15" s="1" t="str">
        <f>IFERROR(__xludf.DUMMYFUNCTION("""COMPUTED_VALUE"""),"+ 5,6 %")</f>
        <v>+ 5,6 %</v>
      </c>
      <c r="E15" s="1" t="str">
        <f>IFERROR(__xludf.DUMMYFUNCTION("""COMPUTED_VALUE"""),"+ 17,7 %")</f>
        <v>+ 17,7 %</v>
      </c>
    </row>
    <row r="16">
      <c r="A16" s="2">
        <f>IFERROR(__xludf.DUMMYFUNCTION("""COMPUTED_VALUE"""),45748.0)</f>
        <v>45748</v>
      </c>
      <c r="B16" s="1" t="str">
        <f>IFERROR(__xludf.DUMMYFUNCTION("""COMPUTED_VALUE"""),"5.596 €/m2")</f>
        <v>5.596 €/m2</v>
      </c>
      <c r="C16" s="1" t="str">
        <f>IFERROR(__xludf.DUMMYFUNCTION("""COMPUTED_VALUE"""),"+ 1,7 %")</f>
        <v>+ 1,7 %</v>
      </c>
      <c r="D16" s="1" t="str">
        <f>IFERROR(__xludf.DUMMYFUNCTION("""COMPUTED_VALUE"""),"+ 5,0 %")</f>
        <v>+ 5,0 %</v>
      </c>
      <c r="E16" s="1" t="str">
        <f>IFERROR(__xludf.DUMMYFUNCTION("""COMPUTED_VALUE"""),"+ 17,4 %")</f>
        <v>+ 17,4 %</v>
      </c>
    </row>
    <row r="17">
      <c r="A17" s="2">
        <f>IFERROR(__xludf.DUMMYFUNCTION("""COMPUTED_VALUE"""),45717.0)</f>
        <v>45717</v>
      </c>
      <c r="B17" s="1" t="str">
        <f>IFERROR(__xludf.DUMMYFUNCTION("""COMPUTED_VALUE"""),"5.500 €/m2")</f>
        <v>5.500 €/m2</v>
      </c>
      <c r="C17" s="1" t="str">
        <f>IFERROR(__xludf.DUMMYFUNCTION("""COMPUTED_VALUE"""),"+ 2,0 %")</f>
        <v>+ 2,0 %</v>
      </c>
      <c r="D17" s="1" t="str">
        <f>IFERROR(__xludf.DUMMYFUNCTION("""COMPUTED_VALUE"""),"+ 3,3 %")</f>
        <v>+ 3,3 %</v>
      </c>
      <c r="E17" s="1" t="str">
        <f>IFERROR(__xludf.DUMMYFUNCTION("""COMPUTED_VALUE"""),"+ 17,0 %")</f>
        <v>+ 17,0 %</v>
      </c>
    </row>
    <row r="18">
      <c r="A18" s="2">
        <f>IFERROR(__xludf.DUMMYFUNCTION("""COMPUTED_VALUE"""),45689.0)</f>
        <v>45689</v>
      </c>
      <c r="B18" s="1" t="str">
        <f>IFERROR(__xludf.DUMMYFUNCTION("""COMPUTED_VALUE"""),"5.391 €/m2")</f>
        <v>5.391 €/m2</v>
      </c>
      <c r="C18" s="1" t="str">
        <f>IFERROR(__xludf.DUMMYFUNCTION("""COMPUTED_VALUE"""),"+ 1,1 %")</f>
        <v>+ 1,1 %</v>
      </c>
      <c r="D18" s="1" t="str">
        <f>IFERROR(__xludf.DUMMYFUNCTION("""COMPUTED_VALUE"""),"+ 4,7 %")</f>
        <v>+ 4,7 %</v>
      </c>
      <c r="E18" s="1" t="str">
        <f>IFERROR(__xludf.DUMMYFUNCTION("""COMPUTED_VALUE"""),"+ 15,4 %")</f>
        <v>+ 15,4 %</v>
      </c>
    </row>
    <row r="19">
      <c r="A19" s="2">
        <f>IFERROR(__xludf.DUMMYFUNCTION("""COMPUTED_VALUE"""),45658.0)</f>
        <v>45658</v>
      </c>
      <c r="B19" s="1" t="str">
        <f>IFERROR(__xludf.DUMMYFUNCTION("""COMPUTED_VALUE"""),"5.331 €/m2")</f>
        <v>5.331 €/m2</v>
      </c>
      <c r="C19" s="1" t="str">
        <f>IFERROR(__xludf.DUMMYFUNCTION("""COMPUTED_VALUE"""),"+ 0,2 %")</f>
        <v>+ 0,2 %</v>
      </c>
      <c r="D19" s="1" t="str">
        <f>IFERROR(__xludf.DUMMYFUNCTION("""COMPUTED_VALUE"""),"+ 4,6 %")</f>
        <v>+ 4,6 %</v>
      </c>
      <c r="E19" s="1" t="str">
        <f>IFERROR(__xludf.DUMMYFUNCTION("""COMPUTED_VALUE"""),"+ 15,6 %")</f>
        <v>+ 15,6 %</v>
      </c>
    </row>
    <row r="20">
      <c r="A20" s="2">
        <f>IFERROR(__xludf.DUMMYFUNCTION("""COMPUTED_VALUE"""),45627.0)</f>
        <v>45627</v>
      </c>
      <c r="B20" s="1" t="str">
        <f>IFERROR(__xludf.DUMMYFUNCTION("""COMPUTED_VALUE"""),"5.323 €/m2")</f>
        <v>5.323 €/m2</v>
      </c>
      <c r="C20" s="1" t="str">
        <f>IFERROR(__xludf.DUMMYFUNCTION("""COMPUTED_VALUE"""),"+ 3,4 %")</f>
        <v>+ 3,4 %</v>
      </c>
      <c r="D20" s="1" t="str">
        <f>IFERROR(__xludf.DUMMYFUNCTION("""COMPUTED_VALUE"""),"+ 5,8 %")</f>
        <v>+ 5,8 %</v>
      </c>
      <c r="E20" s="1" t="str">
        <f>IFERROR(__xludf.DUMMYFUNCTION("""COMPUTED_VALUE"""),"+ 16,0 %")</f>
        <v>+ 16,0 %</v>
      </c>
    </row>
    <row r="21">
      <c r="A21" s="2">
        <f>IFERROR(__xludf.DUMMYFUNCTION("""COMPUTED_VALUE"""),45597.0)</f>
        <v>45597</v>
      </c>
      <c r="B21" s="1" t="str">
        <f>IFERROR(__xludf.DUMMYFUNCTION("""COMPUTED_VALUE"""),"5.147 €/m2")</f>
        <v>5.147 €/m2</v>
      </c>
      <c r="C21" s="1" t="str">
        <f>IFERROR(__xludf.DUMMYFUNCTION("""COMPUTED_VALUE"""),"+ 1,0 %")</f>
        <v>+ 1,0 %</v>
      </c>
      <c r="D21" s="1" t="str">
        <f>IFERROR(__xludf.DUMMYFUNCTION("""COMPUTED_VALUE"""),"+ 2,7 %")</f>
        <v>+ 2,7 %</v>
      </c>
      <c r="E21" s="1" t="str">
        <f>IFERROR(__xludf.DUMMYFUNCTION("""COMPUTED_VALUE"""),"+ 13,4 %")</f>
        <v>+ 13,4 %</v>
      </c>
    </row>
    <row r="22">
      <c r="A22" s="2">
        <f>IFERROR(__xludf.DUMMYFUNCTION("""COMPUTED_VALUE"""),45566.0)</f>
        <v>45566</v>
      </c>
      <c r="B22" s="1" t="str">
        <f>IFERROR(__xludf.DUMMYFUNCTION("""COMPUTED_VALUE"""),"5.095 €/m2")</f>
        <v>5.095 €/m2</v>
      </c>
      <c r="C22" s="1" t="str">
        <f>IFERROR(__xludf.DUMMYFUNCTION("""COMPUTED_VALUE"""),"+ 1,3 %")</f>
        <v>+ 1,3 %</v>
      </c>
      <c r="D22" s="1" t="str">
        <f>IFERROR(__xludf.DUMMYFUNCTION("""COMPUTED_VALUE"""),"+ 3,9 %")</f>
        <v>+ 3,9 %</v>
      </c>
      <c r="E22" s="1" t="str">
        <f>IFERROR(__xludf.DUMMYFUNCTION("""COMPUTED_VALUE"""),"+ 13,6 %")</f>
        <v>+ 13,6 %</v>
      </c>
    </row>
    <row r="23">
      <c r="A23" s="2">
        <f>IFERROR(__xludf.DUMMYFUNCTION("""COMPUTED_VALUE"""),45536.0)</f>
        <v>45536</v>
      </c>
      <c r="B23" s="1" t="str">
        <f>IFERROR(__xludf.DUMMYFUNCTION("""COMPUTED_VALUE"""),"5.030 €/m2")</f>
        <v>5.030 €/m2</v>
      </c>
      <c r="C23" s="1" t="str">
        <f>IFERROR(__xludf.DUMMYFUNCTION("""COMPUTED_VALUE"""),"+ 0,4 %")</f>
        <v>+ 0,4 %</v>
      </c>
      <c r="D23" s="1" t="str">
        <f>IFERROR(__xludf.DUMMYFUNCTION("""COMPUTED_VALUE"""),"+ 3,2 %")</f>
        <v>+ 3,2 %</v>
      </c>
      <c r="E23" s="1" t="str">
        <f>IFERROR(__xludf.DUMMYFUNCTION("""COMPUTED_VALUE"""),"+ 13,9 %")</f>
        <v>+ 13,9 %</v>
      </c>
    </row>
    <row r="24">
      <c r="A24" s="2">
        <f>IFERROR(__xludf.DUMMYFUNCTION("""COMPUTED_VALUE"""),45505.0)</f>
        <v>45505</v>
      </c>
      <c r="B24" s="1" t="str">
        <f>IFERROR(__xludf.DUMMYFUNCTION("""COMPUTED_VALUE"""),"5.011 €/m2")</f>
        <v>5.011 €/m2</v>
      </c>
      <c r="C24" s="1" t="str">
        <f>IFERROR(__xludf.DUMMYFUNCTION("""COMPUTED_VALUE"""),"+ 2,2 %")</f>
        <v>+ 2,2 %</v>
      </c>
      <c r="D24" s="1" t="str">
        <f>IFERROR(__xludf.DUMMYFUNCTION("""COMPUTED_VALUE"""),"+ 3,6 %")</f>
        <v>+ 3,6 %</v>
      </c>
      <c r="E24" s="1" t="str">
        <f>IFERROR(__xludf.DUMMYFUNCTION("""COMPUTED_VALUE"""),"+ 13,7 %")</f>
        <v>+ 13,7 %</v>
      </c>
    </row>
    <row r="25">
      <c r="A25" s="2">
        <f>IFERROR(__xludf.DUMMYFUNCTION("""COMPUTED_VALUE"""),45474.0)</f>
        <v>45474</v>
      </c>
      <c r="B25" s="1" t="str">
        <f>IFERROR(__xludf.DUMMYFUNCTION("""COMPUTED_VALUE"""),"4.904 €/m2")</f>
        <v>4.904 €/m2</v>
      </c>
      <c r="C25" s="1" t="str">
        <f>IFERROR(__xludf.DUMMYFUNCTION("""COMPUTED_VALUE"""),"+ 0,6 %")</f>
        <v>+ 0,6 %</v>
      </c>
      <c r="D25" s="1" t="str">
        <f>IFERROR(__xludf.DUMMYFUNCTION("""COMPUTED_VALUE"""),"+ 2,9 %")</f>
        <v>+ 2,9 %</v>
      </c>
      <c r="E25" s="1" t="str">
        <f>IFERROR(__xludf.DUMMYFUNCTION("""COMPUTED_VALUE"""),"+ 12,3 %")</f>
        <v>+ 12,3 %</v>
      </c>
    </row>
    <row r="26">
      <c r="A26" s="2">
        <f>IFERROR(__xludf.DUMMYFUNCTION("""COMPUTED_VALUE"""),45444.0)</f>
        <v>45444</v>
      </c>
      <c r="B26" s="1" t="str">
        <f>IFERROR(__xludf.DUMMYFUNCTION("""COMPUTED_VALUE"""),"4.876 €/m2")</f>
        <v>4.876 €/m2</v>
      </c>
      <c r="C26" s="1" t="str">
        <f>IFERROR(__xludf.DUMMYFUNCTION("""COMPUTED_VALUE"""),"+ 0,8 %")</f>
        <v>+ 0,8 %</v>
      </c>
      <c r="D26" s="1" t="str">
        <f>IFERROR(__xludf.DUMMYFUNCTION("""COMPUTED_VALUE"""),"+ 3,7 %")</f>
        <v>+ 3,7 %</v>
      </c>
      <c r="E26" s="1" t="str">
        <f>IFERROR(__xludf.DUMMYFUNCTION("""COMPUTED_VALUE"""),"+ 10,5 %")</f>
        <v>+ 10,5 %</v>
      </c>
    </row>
    <row r="27">
      <c r="A27" s="2">
        <f>IFERROR(__xludf.DUMMYFUNCTION("""COMPUTED_VALUE"""),45413.0)</f>
        <v>45413</v>
      </c>
      <c r="B27" s="1" t="str">
        <f>IFERROR(__xludf.DUMMYFUNCTION("""COMPUTED_VALUE"""),"4.837 €/m2")</f>
        <v>4.837 €/m2</v>
      </c>
      <c r="C27" s="1" t="str">
        <f>IFERROR(__xludf.DUMMYFUNCTION("""COMPUTED_VALUE"""),"+ 1,5 %")</f>
        <v>+ 1,5 %</v>
      </c>
      <c r="D27" s="1" t="str">
        <f>IFERROR(__xludf.DUMMYFUNCTION("""COMPUTED_VALUE"""),"+ 3,5 %")</f>
        <v>+ 3,5 %</v>
      </c>
      <c r="E27" s="1" t="str">
        <f>IFERROR(__xludf.DUMMYFUNCTION("""COMPUTED_VALUE"""),"+ 9,8 %")</f>
        <v>+ 9,8 %</v>
      </c>
    </row>
    <row r="28">
      <c r="A28" s="2">
        <f>IFERROR(__xludf.DUMMYFUNCTION("""COMPUTED_VALUE"""),45383.0)</f>
        <v>45383</v>
      </c>
      <c r="B28" s="1" t="str">
        <f>IFERROR(__xludf.DUMMYFUNCTION("""COMPUTED_VALUE"""),"4.765 €/m2")</f>
        <v>4.765 €/m2</v>
      </c>
      <c r="C28" s="1" t="str">
        <f>IFERROR(__xludf.DUMMYFUNCTION("""COMPUTED_VALUE"""),"+ 1,4 %")</f>
        <v>+ 1,4 %</v>
      </c>
      <c r="D28" s="1" t="str">
        <f>IFERROR(__xludf.DUMMYFUNCTION("""COMPUTED_VALUE"""),"+ 3,3 %")</f>
        <v>+ 3,3 %</v>
      </c>
      <c r="E28" s="1" t="str">
        <f>IFERROR(__xludf.DUMMYFUNCTION("""COMPUTED_VALUE"""),"+ 8,4 %")</f>
        <v>+ 8,4 %</v>
      </c>
    </row>
    <row r="29">
      <c r="A29" s="2">
        <f>IFERROR(__xludf.DUMMYFUNCTION("""COMPUTED_VALUE"""),45352.0)</f>
        <v>45352</v>
      </c>
      <c r="B29" s="1" t="str">
        <f>IFERROR(__xludf.DUMMYFUNCTION("""COMPUTED_VALUE"""),"4.700 €/m2")</f>
        <v>4.700 €/m2</v>
      </c>
      <c r="C29" s="1" t="str">
        <f>IFERROR(__xludf.DUMMYFUNCTION("""COMPUTED_VALUE"""),"+ 0,6 %")</f>
        <v>+ 0,6 %</v>
      </c>
      <c r="D29" s="1" t="str">
        <f>IFERROR(__xludf.DUMMYFUNCTION("""COMPUTED_VALUE"""),"+ 2,5 %")</f>
        <v>+ 2,5 %</v>
      </c>
      <c r="E29" s="1" t="str">
        <f>IFERROR(__xludf.DUMMYFUNCTION("""COMPUTED_VALUE"""),"+ 8,1 %")</f>
        <v>+ 8,1 %</v>
      </c>
    </row>
    <row r="30">
      <c r="A30" s="2">
        <f>IFERROR(__xludf.DUMMYFUNCTION("""COMPUTED_VALUE"""),45323.0)</f>
        <v>45323</v>
      </c>
      <c r="B30" s="1" t="str">
        <f>IFERROR(__xludf.DUMMYFUNCTION("""COMPUTED_VALUE"""),"4.673 €/m2")</f>
        <v>4.673 €/m2</v>
      </c>
      <c r="C30" s="1" t="str">
        <f>IFERROR(__xludf.DUMMYFUNCTION("""COMPUTED_VALUE"""),"+ 1,4 %")</f>
        <v>+ 1,4 %</v>
      </c>
      <c r="D30" s="1" t="str">
        <f>IFERROR(__xludf.DUMMYFUNCTION("""COMPUTED_VALUE"""),"+ 3,0 %")</f>
        <v>+ 3,0 %</v>
      </c>
      <c r="E30" s="1" t="str">
        <f>IFERROR(__xludf.DUMMYFUNCTION("""COMPUTED_VALUE"""),"+ 7,6 %")</f>
        <v>+ 7,6 %</v>
      </c>
    </row>
    <row r="31">
      <c r="A31" s="2">
        <f>IFERROR(__xludf.DUMMYFUNCTION("""COMPUTED_VALUE"""),45292.0)</f>
        <v>45292</v>
      </c>
      <c r="B31" s="1" t="str">
        <f>IFERROR(__xludf.DUMMYFUNCTION("""COMPUTED_VALUE"""),"4.611 €/m2")</f>
        <v>4.611 €/m2</v>
      </c>
      <c r="C31" s="1" t="str">
        <f>IFERROR(__xludf.DUMMYFUNCTION("""COMPUTED_VALUE"""),"+ 0,5 %")</f>
        <v>+ 0,5 %</v>
      </c>
      <c r="D31" s="1" t="str">
        <f>IFERROR(__xludf.DUMMYFUNCTION("""COMPUTED_VALUE"""),"+ 2,8 %")</f>
        <v>+ 2,8 %</v>
      </c>
      <c r="E31" s="1" t="str">
        <f>IFERROR(__xludf.DUMMYFUNCTION("""COMPUTED_VALUE"""),"+ 7,7 %")</f>
        <v>+ 7,7 %</v>
      </c>
    </row>
    <row r="32">
      <c r="A32" s="2">
        <f>IFERROR(__xludf.DUMMYFUNCTION("""COMPUTED_VALUE"""),45261.0)</f>
        <v>45261</v>
      </c>
      <c r="B32" s="1" t="str">
        <f>IFERROR(__xludf.DUMMYFUNCTION("""COMPUTED_VALUE"""),"4.587 €/m2")</f>
        <v>4.587 €/m2</v>
      </c>
      <c r="C32" s="1" t="str">
        <f>IFERROR(__xludf.DUMMYFUNCTION("""COMPUTED_VALUE"""),"+ 1,1 %")</f>
        <v>+ 1,1 %</v>
      </c>
      <c r="D32" s="1" t="str">
        <f>IFERROR(__xludf.DUMMYFUNCTION("""COMPUTED_VALUE"""),"+ 3,8 %")</f>
        <v>+ 3,8 %</v>
      </c>
      <c r="E32" s="1" t="str">
        <f>IFERROR(__xludf.DUMMYFUNCTION("""COMPUTED_VALUE"""),"+ 7,0 %")</f>
        <v>+ 7,0 %</v>
      </c>
    </row>
    <row r="33">
      <c r="A33" s="2">
        <f>IFERROR(__xludf.DUMMYFUNCTION("""COMPUTED_VALUE"""),45231.0)</f>
        <v>45231</v>
      </c>
      <c r="B33" s="1" t="str">
        <f>IFERROR(__xludf.DUMMYFUNCTION("""COMPUTED_VALUE"""),"4.537 €/m2")</f>
        <v>4.537 €/m2</v>
      </c>
      <c r="C33" s="1" t="str">
        <f>IFERROR(__xludf.DUMMYFUNCTION("""COMPUTED_VALUE"""),"+ 1,2 %")</f>
        <v>+ 1,2 %</v>
      </c>
      <c r="D33" s="1" t="str">
        <f>IFERROR(__xludf.DUMMYFUNCTION("""COMPUTED_VALUE"""),"+ 3,0 %")</f>
        <v>+ 3,0 %</v>
      </c>
      <c r="E33" s="1" t="str">
        <f>IFERROR(__xludf.DUMMYFUNCTION("""COMPUTED_VALUE"""),"+ 5,5 %")</f>
        <v>+ 5,5 %</v>
      </c>
    </row>
    <row r="34">
      <c r="A34" s="2">
        <f>IFERROR(__xludf.DUMMYFUNCTION("""COMPUTED_VALUE"""),45200.0)</f>
        <v>45200</v>
      </c>
      <c r="B34" s="1" t="str">
        <f>IFERROR(__xludf.DUMMYFUNCTION("""COMPUTED_VALUE"""),"4.485 €/m2")</f>
        <v>4.485 €/m2</v>
      </c>
      <c r="C34" s="1" t="str">
        <f>IFERROR(__xludf.DUMMYFUNCTION("""COMPUTED_VALUE"""),"+ 1,5 %")</f>
        <v>+ 1,5 %</v>
      </c>
      <c r="D34" s="1" t="str">
        <f>IFERROR(__xludf.DUMMYFUNCTION("""COMPUTED_VALUE"""),"+ 2,8 %")</f>
        <v>+ 2,8 %</v>
      </c>
      <c r="E34" s="1" t="str">
        <f>IFERROR(__xludf.DUMMYFUNCTION("""COMPUTED_VALUE"""),"+ 4,8 %")</f>
        <v>+ 4,8 %</v>
      </c>
    </row>
    <row r="35">
      <c r="A35" s="2">
        <f>IFERROR(__xludf.DUMMYFUNCTION("""COMPUTED_VALUE"""),45170.0)</f>
        <v>45170</v>
      </c>
      <c r="B35" s="1" t="str">
        <f>IFERROR(__xludf.DUMMYFUNCTION("""COMPUTED_VALUE"""),"4.417 €/m2")</f>
        <v>4.417 €/m2</v>
      </c>
      <c r="C35" s="1" t="str">
        <f>IFERROR(__xludf.DUMMYFUNCTION("""COMPUTED_VALUE"""),"+ 0,3 %")</f>
        <v>+ 0,3 %</v>
      </c>
      <c r="D35" s="1" t="str">
        <f>IFERROR(__xludf.DUMMYFUNCTION("""COMPUTED_VALUE"""),"+ 0,1 %")</f>
        <v>+ 0,1 %</v>
      </c>
      <c r="E35" s="1" t="str">
        <f>IFERROR(__xludf.DUMMYFUNCTION("""COMPUTED_VALUE"""),"+ 4,5 %")</f>
        <v>+ 4,5 %</v>
      </c>
    </row>
    <row r="36">
      <c r="A36" s="2">
        <f>IFERROR(__xludf.DUMMYFUNCTION("""COMPUTED_VALUE"""),45139.0)</f>
        <v>45139</v>
      </c>
      <c r="B36" s="1" t="str">
        <f>IFERROR(__xludf.DUMMYFUNCTION("""COMPUTED_VALUE"""),"4.406 €/m2")</f>
        <v>4.406 €/m2</v>
      </c>
      <c r="C36" s="1" t="str">
        <f>IFERROR(__xludf.DUMMYFUNCTION("""COMPUTED_VALUE"""),"+ 0,9 %")</f>
        <v>+ 0,9 %</v>
      </c>
      <c r="D36" s="1" t="str">
        <f>IFERROR(__xludf.DUMMYFUNCTION("""COMPUTED_VALUE"""),"0,0 %")</f>
        <v>0,0 %</v>
      </c>
      <c r="E36" s="1" t="str">
        <f>IFERROR(__xludf.DUMMYFUNCTION("""COMPUTED_VALUE"""),"+ 4,7 %")</f>
        <v>+ 4,7 %</v>
      </c>
    </row>
    <row r="37">
      <c r="A37" s="2">
        <f>IFERROR(__xludf.DUMMYFUNCTION("""COMPUTED_VALUE"""),45108.0)</f>
        <v>45108</v>
      </c>
      <c r="B37" s="1" t="str">
        <f>IFERROR(__xludf.DUMMYFUNCTION("""COMPUTED_VALUE"""),"4.365 €/m2")</f>
        <v>4.365 €/m2</v>
      </c>
      <c r="C37" s="1" t="str">
        <f>IFERROR(__xludf.DUMMYFUNCTION("""COMPUTED_VALUE"""),"- 1,1 %")</f>
        <v>- 1,1 %</v>
      </c>
      <c r="D37" s="1" t="str">
        <f>IFERROR(__xludf.DUMMYFUNCTION("""COMPUTED_VALUE"""),"- 0,7 %")</f>
        <v>- 0,7 %</v>
      </c>
      <c r="E37" s="1" t="str">
        <f>IFERROR(__xludf.DUMMYFUNCTION("""COMPUTED_VALUE"""),"+ 4,2 %")</f>
        <v>+ 4,2 %</v>
      </c>
    </row>
    <row r="38">
      <c r="A38" s="2">
        <f>IFERROR(__xludf.DUMMYFUNCTION("""COMPUTED_VALUE"""),45078.0)</f>
        <v>45078</v>
      </c>
      <c r="B38" s="1" t="str">
        <f>IFERROR(__xludf.DUMMYFUNCTION("""COMPUTED_VALUE"""),"4.413 €/m2")</f>
        <v>4.413 €/m2</v>
      </c>
      <c r="C38" s="1" t="str">
        <f>IFERROR(__xludf.DUMMYFUNCTION("""COMPUTED_VALUE"""),"+ 0,2 %")</f>
        <v>+ 0,2 %</v>
      </c>
      <c r="D38" s="1" t="str">
        <f>IFERROR(__xludf.DUMMYFUNCTION("""COMPUTED_VALUE"""),"+ 1,5 %")</f>
        <v>+ 1,5 %</v>
      </c>
      <c r="E38" s="1" t="str">
        <f>IFERROR(__xludf.DUMMYFUNCTION("""COMPUTED_VALUE"""),"+ 4,8 %")</f>
        <v>+ 4,8 %</v>
      </c>
    </row>
    <row r="39">
      <c r="A39" s="2">
        <f>IFERROR(__xludf.DUMMYFUNCTION("""COMPUTED_VALUE"""),45047.0)</f>
        <v>45047</v>
      </c>
      <c r="B39" s="1" t="str">
        <f>IFERROR(__xludf.DUMMYFUNCTION("""COMPUTED_VALUE"""),"4.406 €/m2")</f>
        <v>4.406 €/m2</v>
      </c>
      <c r="C39" s="1" t="str">
        <f>IFERROR(__xludf.DUMMYFUNCTION("""COMPUTED_VALUE"""),"+ 0,2 %")</f>
        <v>+ 0,2 %</v>
      </c>
      <c r="D39" s="1" t="str">
        <f>IFERROR(__xludf.DUMMYFUNCTION("""COMPUTED_VALUE"""),"+ 1,5 %")</f>
        <v>+ 1,5 %</v>
      </c>
      <c r="E39" s="1" t="str">
        <f>IFERROR(__xludf.DUMMYFUNCTION("""COMPUTED_VALUE"""),"+ 4,8 %")</f>
        <v>+ 4,8 %</v>
      </c>
    </row>
    <row r="40">
      <c r="A40" s="2">
        <f>IFERROR(__xludf.DUMMYFUNCTION("""COMPUTED_VALUE"""),45017.0)</f>
        <v>45017</v>
      </c>
      <c r="B40" s="1" t="str">
        <f>IFERROR(__xludf.DUMMYFUNCTION("""COMPUTED_VALUE"""),"4.397 €/m2")</f>
        <v>4.397 €/m2</v>
      </c>
      <c r="C40" s="1" t="str">
        <f>IFERROR(__xludf.DUMMYFUNCTION("""COMPUTED_VALUE"""),"+ 1,1 %")</f>
        <v>+ 1,1 %</v>
      </c>
      <c r="D40" s="1" t="str">
        <f>IFERROR(__xludf.DUMMYFUNCTION("""COMPUTED_VALUE"""),"+ 2,7 %")</f>
        <v>+ 2,7 %</v>
      </c>
      <c r="E40" s="1" t="str">
        <f>IFERROR(__xludf.DUMMYFUNCTION("""COMPUTED_VALUE"""),"+ 5,2 %")</f>
        <v>+ 5,2 %</v>
      </c>
    </row>
    <row r="41">
      <c r="A41" s="2">
        <f>IFERROR(__xludf.DUMMYFUNCTION("""COMPUTED_VALUE"""),44986.0)</f>
        <v>44986</v>
      </c>
      <c r="B41" s="1" t="str">
        <f>IFERROR(__xludf.DUMMYFUNCTION("""COMPUTED_VALUE"""),"4.348 €/m2")</f>
        <v>4.348 €/m2</v>
      </c>
      <c r="C41" s="1" t="str">
        <f>IFERROR(__xludf.DUMMYFUNCTION("""COMPUTED_VALUE"""),"+ 0,1 %")</f>
        <v>+ 0,1 %</v>
      </c>
      <c r="D41" s="1" t="str">
        <f>IFERROR(__xludf.DUMMYFUNCTION("""COMPUTED_VALUE"""),"+ 1,4 %")</f>
        <v>+ 1,4 %</v>
      </c>
      <c r="E41" s="1" t="str">
        <f>IFERROR(__xludf.DUMMYFUNCTION("""COMPUTED_VALUE"""),"+ 5,1 %")</f>
        <v>+ 5,1 %</v>
      </c>
    </row>
    <row r="42">
      <c r="A42" s="2">
        <f>IFERROR(__xludf.DUMMYFUNCTION("""COMPUTED_VALUE"""),44958.0)</f>
        <v>44958</v>
      </c>
      <c r="B42" s="1" t="str">
        <f>IFERROR(__xludf.DUMMYFUNCTION("""COMPUTED_VALUE"""),"4.343 €/m2")</f>
        <v>4.343 €/m2</v>
      </c>
      <c r="C42" s="1" t="str">
        <f>IFERROR(__xludf.DUMMYFUNCTION("""COMPUTED_VALUE"""),"+ 1,4 %")</f>
        <v>+ 1,4 %</v>
      </c>
      <c r="D42" s="1" t="str">
        <f>IFERROR(__xludf.DUMMYFUNCTION("""COMPUTED_VALUE"""),"+ 1,0 %")</f>
        <v>+ 1,0 %</v>
      </c>
      <c r="E42" s="1" t="str">
        <f>IFERROR(__xludf.DUMMYFUNCTION("""COMPUTED_VALUE"""),"+ 5,7 %")</f>
        <v>+ 5,7 %</v>
      </c>
    </row>
    <row r="43">
      <c r="A43" s="2">
        <f>IFERROR(__xludf.DUMMYFUNCTION("""COMPUTED_VALUE"""),44927.0)</f>
        <v>44927</v>
      </c>
      <c r="B43" s="1" t="str">
        <f>IFERROR(__xludf.DUMMYFUNCTION("""COMPUTED_VALUE"""),"4.282 €/m2")</f>
        <v>4.282 €/m2</v>
      </c>
      <c r="C43" s="1" t="str">
        <f>IFERROR(__xludf.DUMMYFUNCTION("""COMPUTED_VALUE"""),"- 0,1 %")</f>
        <v>- 0,1 %</v>
      </c>
      <c r="D43" s="1" t="str">
        <f>IFERROR(__xludf.DUMMYFUNCTION("""COMPUTED_VALUE"""),"0,0 %")</f>
        <v>0,0 %</v>
      </c>
      <c r="E43" s="1" t="str">
        <f>IFERROR(__xludf.DUMMYFUNCTION("""COMPUTED_VALUE"""),"+ 4,4 %")</f>
        <v>+ 4,4 %</v>
      </c>
    </row>
    <row r="44">
      <c r="A44" s="2">
        <f>IFERROR(__xludf.DUMMYFUNCTION("""COMPUTED_VALUE"""),44896.0)</f>
        <v>44896</v>
      </c>
      <c r="B44" s="1" t="str">
        <f>IFERROR(__xludf.DUMMYFUNCTION("""COMPUTED_VALUE"""),"4.287 €/m2")</f>
        <v>4.287 €/m2</v>
      </c>
      <c r="C44" s="1" t="str">
        <f>IFERROR(__xludf.DUMMYFUNCTION("""COMPUTED_VALUE"""),"- 0,3 %")</f>
        <v>- 0,3 %</v>
      </c>
      <c r="D44" s="1" t="str">
        <f>IFERROR(__xludf.DUMMYFUNCTION("""COMPUTED_VALUE"""),"+ 1,4 %")</f>
        <v>+ 1,4 %</v>
      </c>
      <c r="E44" s="1" t="str">
        <f>IFERROR(__xludf.DUMMYFUNCTION("""COMPUTED_VALUE"""),"+ 4,9 %")</f>
        <v>+ 4,9 %</v>
      </c>
    </row>
    <row r="45">
      <c r="A45" s="2">
        <f>IFERROR(__xludf.DUMMYFUNCTION("""COMPUTED_VALUE"""),44866.0)</f>
        <v>44866</v>
      </c>
      <c r="B45" s="1" t="str">
        <f>IFERROR(__xludf.DUMMYFUNCTION("""COMPUTED_VALUE"""),"4.299 €/m2")</f>
        <v>4.299 €/m2</v>
      </c>
      <c r="C45" s="1" t="str">
        <f>IFERROR(__xludf.DUMMYFUNCTION("""COMPUTED_VALUE"""),"+ 0,4 %")</f>
        <v>+ 0,4 %</v>
      </c>
      <c r="D45" s="1" t="str">
        <f>IFERROR(__xludf.DUMMYFUNCTION("""COMPUTED_VALUE"""),"+ 2,1 %")</f>
        <v>+ 2,1 %</v>
      </c>
      <c r="E45" s="1" t="str">
        <f>IFERROR(__xludf.DUMMYFUNCTION("""COMPUTED_VALUE"""),"+ 6,1 %")</f>
        <v>+ 6,1 %</v>
      </c>
    </row>
    <row r="46">
      <c r="A46" s="2">
        <f>IFERROR(__xludf.DUMMYFUNCTION("""COMPUTED_VALUE"""),44835.0)</f>
        <v>44835</v>
      </c>
      <c r="B46" s="1" t="str">
        <f>IFERROR(__xludf.DUMMYFUNCTION("""COMPUTED_VALUE"""),"4.281 €/m2")</f>
        <v>4.281 €/m2</v>
      </c>
      <c r="C46" s="1" t="str">
        <f>IFERROR(__xludf.DUMMYFUNCTION("""COMPUTED_VALUE"""),"+ 1,3 %")</f>
        <v>+ 1,3 %</v>
      </c>
      <c r="D46" s="1" t="str">
        <f>IFERROR(__xludf.DUMMYFUNCTION("""COMPUTED_VALUE"""),"+ 2,2 %")</f>
        <v>+ 2,2 %</v>
      </c>
      <c r="E46" s="1" t="str">
        <f>IFERROR(__xludf.DUMMYFUNCTION("""COMPUTED_VALUE"""),"+ 6,3 %")</f>
        <v>+ 6,3 %</v>
      </c>
    </row>
    <row r="47">
      <c r="A47" s="2">
        <f>IFERROR(__xludf.DUMMYFUNCTION("""COMPUTED_VALUE"""),44805.0)</f>
        <v>44805</v>
      </c>
      <c r="B47" s="1" t="str">
        <f>IFERROR(__xludf.DUMMYFUNCTION("""COMPUTED_VALUE"""),"4.227 €/m2")</f>
        <v>4.227 €/m2</v>
      </c>
      <c r="C47" s="1" t="str">
        <f>IFERROR(__xludf.DUMMYFUNCTION("""COMPUTED_VALUE"""),"+ 0,4 %")</f>
        <v>+ 0,4 %</v>
      </c>
      <c r="D47" s="1" t="str">
        <f>IFERROR(__xludf.DUMMYFUNCTION("""COMPUTED_VALUE"""),"+ 0,4 %")</f>
        <v>+ 0,4 %</v>
      </c>
      <c r="E47" s="1" t="str">
        <f>IFERROR(__xludf.DUMMYFUNCTION("""COMPUTED_VALUE"""),"+ 4,9 %")</f>
        <v>+ 4,9 %</v>
      </c>
    </row>
    <row r="48">
      <c r="A48" s="2">
        <f>IFERROR(__xludf.DUMMYFUNCTION("""COMPUTED_VALUE"""),44774.0)</f>
        <v>44774</v>
      </c>
      <c r="B48" s="1" t="str">
        <f>IFERROR(__xludf.DUMMYFUNCTION("""COMPUTED_VALUE"""),"4.209 €/m2")</f>
        <v>4.209 €/m2</v>
      </c>
      <c r="C48" s="1" t="str">
        <f>IFERROR(__xludf.DUMMYFUNCTION("""COMPUTED_VALUE"""),"+ 0,5 %")</f>
        <v>+ 0,5 %</v>
      </c>
      <c r="D48" s="1" t="str">
        <f>IFERROR(__xludf.DUMMYFUNCTION("""COMPUTED_VALUE"""),"+ 0,1 %")</f>
        <v>+ 0,1 %</v>
      </c>
      <c r="E48" s="1" t="str">
        <f>IFERROR(__xludf.DUMMYFUNCTION("""COMPUTED_VALUE"""),"+ 5,0 %")</f>
        <v>+ 5,0 %</v>
      </c>
    </row>
    <row r="49">
      <c r="A49" s="2">
        <f>IFERROR(__xludf.DUMMYFUNCTION("""COMPUTED_VALUE"""),44743.0)</f>
        <v>44743</v>
      </c>
      <c r="B49" s="1" t="str">
        <f>IFERROR(__xludf.DUMMYFUNCTION("""COMPUTED_VALUE"""),"4.187 €/m2")</f>
        <v>4.187 €/m2</v>
      </c>
      <c r="C49" s="1" t="str">
        <f>IFERROR(__xludf.DUMMYFUNCTION("""COMPUTED_VALUE"""),"- 0,6 %")</f>
        <v>- 0,6 %</v>
      </c>
      <c r="D49" s="1" t="str">
        <f>IFERROR(__xludf.DUMMYFUNCTION("""COMPUTED_VALUE"""),"+ 0,2 %")</f>
        <v>+ 0,2 %</v>
      </c>
      <c r="E49" s="1" t="str">
        <f>IFERROR(__xludf.DUMMYFUNCTION("""COMPUTED_VALUE"""),"+ 4,2 %")</f>
        <v>+ 4,2 %</v>
      </c>
    </row>
    <row r="50">
      <c r="A50" s="2">
        <f>IFERROR(__xludf.DUMMYFUNCTION("""COMPUTED_VALUE"""),44713.0)</f>
        <v>44713</v>
      </c>
      <c r="B50" s="1" t="str">
        <f>IFERROR(__xludf.DUMMYFUNCTION("""COMPUTED_VALUE"""),"4.212 €/m2")</f>
        <v>4.212 €/m2</v>
      </c>
      <c r="C50" s="1" t="str">
        <f>IFERROR(__xludf.DUMMYFUNCTION("""COMPUTED_VALUE"""),"+ 0,2 %")</f>
        <v>+ 0,2 %</v>
      </c>
      <c r="D50" s="1" t="str">
        <f>IFERROR(__xludf.DUMMYFUNCTION("""COMPUTED_VALUE"""),"+ 1,9 %")</f>
        <v>+ 1,9 %</v>
      </c>
      <c r="E50" s="1" t="str">
        <f>IFERROR(__xludf.DUMMYFUNCTION("""COMPUTED_VALUE"""),"+ 5,3 %")</f>
        <v>+ 5,3 %</v>
      </c>
    </row>
    <row r="51">
      <c r="A51" s="2">
        <f>IFERROR(__xludf.DUMMYFUNCTION("""COMPUTED_VALUE"""),44682.0)</f>
        <v>44682</v>
      </c>
      <c r="B51" s="1" t="str">
        <f>IFERROR(__xludf.DUMMYFUNCTION("""COMPUTED_VALUE"""),"4.203 €/m2")</f>
        <v>4.203 €/m2</v>
      </c>
      <c r="C51" s="1" t="str">
        <f>IFERROR(__xludf.DUMMYFUNCTION("""COMPUTED_VALUE"""),"+ 0,6 %")</f>
        <v>+ 0,6 %</v>
      </c>
      <c r="D51" s="1" t="str">
        <f>IFERROR(__xludf.DUMMYFUNCTION("""COMPUTED_VALUE"""),"+ 2,3 %")</f>
        <v>+ 2,3 %</v>
      </c>
      <c r="E51" s="1" t="str">
        <f>IFERROR(__xludf.DUMMYFUNCTION("""COMPUTED_VALUE"""),"+ 5,0 %")</f>
        <v>+ 5,0 %</v>
      </c>
    </row>
    <row r="52">
      <c r="A52" s="2">
        <f>IFERROR(__xludf.DUMMYFUNCTION("""COMPUTED_VALUE"""),44652.0)</f>
        <v>44652</v>
      </c>
      <c r="B52" s="1" t="str">
        <f>IFERROR(__xludf.DUMMYFUNCTION("""COMPUTED_VALUE"""),"4.178 €/m2")</f>
        <v>4.178 €/m2</v>
      </c>
      <c r="C52" s="1" t="str">
        <f>IFERROR(__xludf.DUMMYFUNCTION("""COMPUTED_VALUE"""),"+ 1,0 %")</f>
        <v>+ 1,0 %</v>
      </c>
      <c r="D52" s="1" t="str">
        <f>IFERROR(__xludf.DUMMYFUNCTION("""COMPUTED_VALUE"""),"+ 1,9 %")</f>
        <v>+ 1,9 %</v>
      </c>
      <c r="E52" s="1" t="str">
        <f>IFERROR(__xludf.DUMMYFUNCTION("""COMPUTED_VALUE"""),"+ 5,0 %")</f>
        <v>+ 5,0 %</v>
      </c>
    </row>
    <row r="53">
      <c r="A53" s="2">
        <f>IFERROR(__xludf.DUMMYFUNCTION("""COMPUTED_VALUE"""),44621.0)</f>
        <v>44621</v>
      </c>
      <c r="B53" s="1" t="str">
        <f>IFERROR(__xludf.DUMMYFUNCTION("""COMPUTED_VALUE"""),"4.135 €/m2")</f>
        <v>4.135 €/m2</v>
      </c>
      <c r="C53" s="1" t="str">
        <f>IFERROR(__xludf.DUMMYFUNCTION("""COMPUTED_VALUE"""),"+ 0,7 %")</f>
        <v>+ 0,7 %</v>
      </c>
      <c r="D53" s="1" t="str">
        <f>IFERROR(__xludf.DUMMYFUNCTION("""COMPUTED_VALUE"""),"+ 1,1 %")</f>
        <v>+ 1,1 %</v>
      </c>
      <c r="E53" s="1" t="str">
        <f>IFERROR(__xludf.DUMMYFUNCTION("""COMPUTED_VALUE"""),"+ 4,2 %")</f>
        <v>+ 4,2 %</v>
      </c>
    </row>
    <row r="54">
      <c r="A54" s="2">
        <f>IFERROR(__xludf.DUMMYFUNCTION("""COMPUTED_VALUE"""),44593.0)</f>
        <v>44593</v>
      </c>
      <c r="B54" s="1" t="str">
        <f>IFERROR(__xludf.DUMMYFUNCTION("""COMPUTED_VALUE"""),"4.107 €/m2")</f>
        <v>4.107 €/m2</v>
      </c>
      <c r="C54" s="1" t="str">
        <f>IFERROR(__xludf.DUMMYFUNCTION("""COMPUTED_VALUE"""),"+ 0,1 %")</f>
        <v>+ 0,1 %</v>
      </c>
      <c r="D54" s="1" t="str">
        <f>IFERROR(__xludf.DUMMYFUNCTION("""COMPUTED_VALUE"""),"+ 1,4 %")</f>
        <v>+ 1,4 %</v>
      </c>
      <c r="E54" s="1" t="str">
        <f>IFERROR(__xludf.DUMMYFUNCTION("""COMPUTED_VALUE"""),"+ 3,5 %")</f>
        <v>+ 3,5 %</v>
      </c>
    </row>
    <row r="55">
      <c r="A55" s="2">
        <f>IFERROR(__xludf.DUMMYFUNCTION("""COMPUTED_VALUE"""),44562.0)</f>
        <v>44562</v>
      </c>
      <c r="B55" s="1" t="str">
        <f>IFERROR(__xludf.DUMMYFUNCTION("""COMPUTED_VALUE"""),"4.102 €/m2")</f>
        <v>4.102 €/m2</v>
      </c>
      <c r="C55" s="1" t="str">
        <f>IFERROR(__xludf.DUMMYFUNCTION("""COMPUTED_VALUE"""),"+ 0,3 %")</f>
        <v>+ 0,3 %</v>
      </c>
      <c r="D55" s="1" t="str">
        <f>IFERROR(__xludf.DUMMYFUNCTION("""COMPUTED_VALUE"""),"+ 1,9 %")</f>
        <v>+ 1,9 %</v>
      </c>
      <c r="E55" s="1" t="str">
        <f>IFERROR(__xludf.DUMMYFUNCTION("""COMPUTED_VALUE"""),"+ 5,3 %")</f>
        <v>+ 5,3 %</v>
      </c>
    </row>
    <row r="56">
      <c r="A56" s="2">
        <f>IFERROR(__xludf.DUMMYFUNCTION("""COMPUTED_VALUE"""),44531.0)</f>
        <v>44531</v>
      </c>
      <c r="B56" s="1" t="str">
        <f>IFERROR(__xludf.DUMMYFUNCTION("""COMPUTED_VALUE"""),"4.088 €/m2")</f>
        <v>4.088 €/m2</v>
      </c>
      <c r="C56" s="1" t="str">
        <f>IFERROR(__xludf.DUMMYFUNCTION("""COMPUTED_VALUE"""),"+ 0,9 %")</f>
        <v>+ 0,9 %</v>
      </c>
      <c r="D56" s="1" t="str">
        <f>IFERROR(__xludf.DUMMYFUNCTION("""COMPUTED_VALUE"""),"+ 1,4 %")</f>
        <v>+ 1,4 %</v>
      </c>
      <c r="E56" s="1" t="str">
        <f>IFERROR(__xludf.DUMMYFUNCTION("""COMPUTED_VALUE"""),"+ 5,2 %")</f>
        <v>+ 5,2 %</v>
      </c>
    </row>
    <row r="57">
      <c r="A57" s="2">
        <f>IFERROR(__xludf.DUMMYFUNCTION("""COMPUTED_VALUE"""),44501.0)</f>
        <v>44501</v>
      </c>
      <c r="B57" s="1" t="str">
        <f>IFERROR(__xludf.DUMMYFUNCTION("""COMPUTED_VALUE"""),"4.051 €/m2")</f>
        <v>4.051 €/m2</v>
      </c>
      <c r="C57" s="1" t="str">
        <f>IFERROR(__xludf.DUMMYFUNCTION("""COMPUTED_VALUE"""),"+ 0,6 %")</f>
        <v>+ 0,6 %</v>
      </c>
      <c r="D57" s="1" t="str">
        <f>IFERROR(__xludf.DUMMYFUNCTION("""COMPUTED_VALUE"""),"+ 1,1 %")</f>
        <v>+ 1,1 %</v>
      </c>
      <c r="E57" s="1" t="str">
        <f>IFERROR(__xludf.DUMMYFUNCTION("""COMPUTED_VALUE"""),"+ 3,7 %")</f>
        <v>+ 3,7 %</v>
      </c>
    </row>
    <row r="58">
      <c r="A58" s="2">
        <f>IFERROR(__xludf.DUMMYFUNCTION("""COMPUTED_VALUE"""),44470.0)</f>
        <v>44470</v>
      </c>
      <c r="B58" s="1" t="str">
        <f>IFERROR(__xludf.DUMMYFUNCTION("""COMPUTED_VALUE"""),"4.027 €/m2")</f>
        <v>4.027 €/m2</v>
      </c>
      <c r="C58" s="1" t="str">
        <f>IFERROR(__xludf.DUMMYFUNCTION("""COMPUTED_VALUE"""),"- 0,1 %")</f>
        <v>- 0,1 %</v>
      </c>
      <c r="D58" s="1" t="str">
        <f>IFERROR(__xludf.DUMMYFUNCTION("""COMPUTED_VALUE"""),"+ 0,2 %")</f>
        <v>+ 0,2 %</v>
      </c>
      <c r="E58" s="1" t="str">
        <f>IFERROR(__xludf.DUMMYFUNCTION("""COMPUTED_VALUE"""),"+ 3,0 %")</f>
        <v>+ 3,0 %</v>
      </c>
    </row>
    <row r="59">
      <c r="A59" s="2">
        <f>IFERROR(__xludf.DUMMYFUNCTION("""COMPUTED_VALUE"""),44440.0)</f>
        <v>44440</v>
      </c>
      <c r="B59" s="1" t="str">
        <f>IFERROR(__xludf.DUMMYFUNCTION("""COMPUTED_VALUE"""),"4.031 €/m2")</f>
        <v>4.031 €/m2</v>
      </c>
      <c r="C59" s="1" t="str">
        <f>IFERROR(__xludf.DUMMYFUNCTION("""COMPUTED_VALUE"""),"+ 0,6 %")</f>
        <v>+ 0,6 %</v>
      </c>
      <c r="D59" s="1" t="str">
        <f>IFERROR(__xludf.DUMMYFUNCTION("""COMPUTED_VALUE"""),"+ 0,7 %")</f>
        <v>+ 0,7 %</v>
      </c>
      <c r="E59" s="1" t="str">
        <f>IFERROR(__xludf.DUMMYFUNCTION("""COMPUTED_VALUE"""),"+ 2,5 %")</f>
        <v>+ 2,5 %</v>
      </c>
    </row>
    <row r="60">
      <c r="A60" s="2">
        <f>IFERROR(__xludf.DUMMYFUNCTION("""COMPUTED_VALUE"""),44409.0)</f>
        <v>44409</v>
      </c>
      <c r="B60" s="1" t="str">
        <f>IFERROR(__xludf.DUMMYFUNCTION("""COMPUTED_VALUE"""),"4.008 €/m2")</f>
        <v>4.008 €/m2</v>
      </c>
      <c r="C60" s="1" t="str">
        <f>IFERROR(__xludf.DUMMYFUNCTION("""COMPUTED_VALUE"""),"- 0,3 %")</f>
        <v>- 0,3 %</v>
      </c>
      <c r="D60" s="1" t="str">
        <f>IFERROR(__xludf.DUMMYFUNCTION("""COMPUTED_VALUE"""),"+ 0,2 %")</f>
        <v>+ 0,2 %</v>
      </c>
      <c r="E60" s="1" t="str">
        <f>IFERROR(__xludf.DUMMYFUNCTION("""COMPUTED_VALUE"""),"+ 2,7 %")</f>
        <v>+ 2,7 %</v>
      </c>
    </row>
    <row r="61">
      <c r="A61" s="2">
        <f>IFERROR(__xludf.DUMMYFUNCTION("""COMPUTED_VALUE"""),44378.0)</f>
        <v>44378</v>
      </c>
      <c r="B61" s="1" t="str">
        <f>IFERROR(__xludf.DUMMYFUNCTION("""COMPUTED_VALUE"""),"4.019 €/m2")</f>
        <v>4.019 €/m2</v>
      </c>
      <c r="C61" s="1" t="str">
        <f>IFERROR(__xludf.DUMMYFUNCTION("""COMPUTED_VALUE"""),"+ 0,4 %")</f>
        <v>+ 0,4 %</v>
      </c>
      <c r="D61" s="1" t="str">
        <f>IFERROR(__xludf.DUMMYFUNCTION("""COMPUTED_VALUE"""),"+ 1,0 %")</f>
        <v>+ 1,0 %</v>
      </c>
      <c r="E61" s="1" t="str">
        <f>IFERROR(__xludf.DUMMYFUNCTION("""COMPUTED_VALUE"""),"+ 2,7 %")</f>
        <v>+ 2,7 %</v>
      </c>
    </row>
    <row r="62">
      <c r="A62" s="2">
        <f>IFERROR(__xludf.DUMMYFUNCTION("""COMPUTED_VALUE"""),44348.0)</f>
        <v>44348</v>
      </c>
      <c r="B62" s="1" t="str">
        <f>IFERROR(__xludf.DUMMYFUNCTION("""COMPUTED_VALUE"""),"4.001 €/m2")</f>
        <v>4.001 €/m2</v>
      </c>
      <c r="C62" s="1" t="str">
        <f>IFERROR(__xludf.DUMMYFUNCTION("""COMPUTED_VALUE"""),"0,0 %")</f>
        <v>0,0 %</v>
      </c>
      <c r="D62" s="1" t="str">
        <f>IFERROR(__xludf.DUMMYFUNCTION("""COMPUTED_VALUE"""),"+ 0,9 %")</f>
        <v>+ 0,9 %</v>
      </c>
      <c r="E62" s="1" t="str">
        <f>IFERROR(__xludf.DUMMYFUNCTION("""COMPUTED_VALUE"""),"+ 2,5 %")</f>
        <v>+ 2,5 %</v>
      </c>
    </row>
    <row r="63">
      <c r="A63" s="2">
        <f>IFERROR(__xludf.DUMMYFUNCTION("""COMPUTED_VALUE"""),44317.0)</f>
        <v>44317</v>
      </c>
      <c r="B63" s="1" t="str">
        <f>IFERROR(__xludf.DUMMYFUNCTION("""COMPUTED_VALUE"""),"4.002 €/m2")</f>
        <v>4.002 €/m2</v>
      </c>
      <c r="C63" s="1" t="str">
        <f>IFERROR(__xludf.DUMMYFUNCTION("""COMPUTED_VALUE"""),"+ 0,5 %")</f>
        <v>+ 0,5 %</v>
      </c>
      <c r="D63" s="1" t="str">
        <f>IFERROR(__xludf.DUMMYFUNCTION("""COMPUTED_VALUE"""),"+ 0,8 %")</f>
        <v>+ 0,8 %</v>
      </c>
      <c r="E63" s="1" t="str">
        <f>IFERROR(__xludf.DUMMYFUNCTION("""COMPUTED_VALUE"""),"+ 2,3 %")</f>
        <v>+ 2,3 %</v>
      </c>
    </row>
    <row r="64">
      <c r="A64" s="2">
        <f>IFERROR(__xludf.DUMMYFUNCTION("""COMPUTED_VALUE"""),44287.0)</f>
        <v>44287</v>
      </c>
      <c r="B64" s="1" t="str">
        <f>IFERROR(__xludf.DUMMYFUNCTION("""COMPUTED_VALUE"""),"3.981 €/m2")</f>
        <v>3.981 €/m2</v>
      </c>
      <c r="C64" s="1" t="str">
        <f>IFERROR(__xludf.DUMMYFUNCTION("""COMPUTED_VALUE"""),"+ 0,4 %")</f>
        <v>+ 0,4 %</v>
      </c>
      <c r="D64" s="1" t="str">
        <f>IFERROR(__xludf.DUMMYFUNCTION("""COMPUTED_VALUE"""),"+ 2,2 %")</f>
        <v>+ 2,2 %</v>
      </c>
      <c r="E64" s="1" t="str">
        <f>IFERROR(__xludf.DUMMYFUNCTION("""COMPUTED_VALUE"""),"+ 1,4 %")</f>
        <v>+ 1,4 %</v>
      </c>
    </row>
    <row r="65">
      <c r="A65" s="2">
        <f>IFERROR(__xludf.DUMMYFUNCTION("""COMPUTED_VALUE"""),44256.0)</f>
        <v>44256</v>
      </c>
      <c r="B65" s="1" t="str">
        <f>IFERROR(__xludf.DUMMYFUNCTION("""COMPUTED_VALUE"""),"3.967 €/m2")</f>
        <v>3.967 €/m2</v>
      </c>
      <c r="C65" s="1" t="str">
        <f>IFERROR(__xludf.DUMMYFUNCTION("""COMPUTED_VALUE"""),"- 0,1 %")</f>
        <v>- 0,1 %</v>
      </c>
      <c r="D65" s="1" t="str">
        <f>IFERROR(__xludf.DUMMYFUNCTION("""COMPUTED_VALUE"""),"+ 2,0 %")</f>
        <v>+ 2,0 %</v>
      </c>
      <c r="E65" s="1" t="str">
        <f>IFERROR(__xludf.DUMMYFUNCTION("""COMPUTED_VALUE"""),"+ 0,6 %")</f>
        <v>+ 0,6 %</v>
      </c>
    </row>
    <row r="66">
      <c r="A66" s="2">
        <f>IFERROR(__xludf.DUMMYFUNCTION("""COMPUTED_VALUE"""),44228.0)</f>
        <v>44228</v>
      </c>
      <c r="B66" s="1" t="str">
        <f>IFERROR(__xludf.DUMMYFUNCTION("""COMPUTED_VALUE"""),"3.969 €/m2")</f>
        <v>3.969 €/m2</v>
      </c>
      <c r="C66" s="1" t="str">
        <f>IFERROR(__xludf.DUMMYFUNCTION("""COMPUTED_VALUE"""),"+ 1,9 %")</f>
        <v>+ 1,9 %</v>
      </c>
      <c r="D66" s="1" t="str">
        <f>IFERROR(__xludf.DUMMYFUNCTION("""COMPUTED_VALUE"""),"+ 1,6 %")</f>
        <v>+ 1,6 %</v>
      </c>
      <c r="E66" s="1" t="str">
        <f>IFERROR(__xludf.DUMMYFUNCTION("""COMPUTED_VALUE"""),"+ 0,5 %")</f>
        <v>+ 0,5 %</v>
      </c>
    </row>
    <row r="67">
      <c r="A67" s="2">
        <f>IFERROR(__xludf.DUMMYFUNCTION("""COMPUTED_VALUE"""),44197.0)</f>
        <v>44197</v>
      </c>
      <c r="B67" s="1" t="str">
        <f>IFERROR(__xludf.DUMMYFUNCTION("""COMPUTED_VALUE"""),"3.896 €/m2")</f>
        <v>3.896 €/m2</v>
      </c>
      <c r="C67" s="1" t="str">
        <f>IFERROR(__xludf.DUMMYFUNCTION("""COMPUTED_VALUE"""),"+ 0,2 %")</f>
        <v>+ 0,2 %</v>
      </c>
      <c r="D67" s="1" t="str">
        <f>IFERROR(__xludf.DUMMYFUNCTION("""COMPUTED_VALUE"""),"- 0,3 %")</f>
        <v>- 0,3 %</v>
      </c>
      <c r="E67" s="1" t="str">
        <f>IFERROR(__xludf.DUMMYFUNCTION("""COMPUTED_VALUE"""),"- 0,9 %")</f>
        <v>- 0,9 %</v>
      </c>
    </row>
    <row r="68">
      <c r="A68" s="2">
        <f>IFERROR(__xludf.DUMMYFUNCTION("""COMPUTED_VALUE"""),44166.0)</f>
        <v>44166</v>
      </c>
      <c r="B68" s="1" t="str">
        <f>IFERROR(__xludf.DUMMYFUNCTION("""COMPUTED_VALUE"""),"3.888 €/m2")</f>
        <v>3.888 €/m2</v>
      </c>
      <c r="C68" s="1" t="str">
        <f>IFERROR(__xludf.DUMMYFUNCTION("""COMPUTED_VALUE"""),"- 0,4 %")</f>
        <v>- 0,4 %</v>
      </c>
      <c r="D68" s="1" t="str">
        <f>IFERROR(__xludf.DUMMYFUNCTION("""COMPUTED_VALUE"""),"- 1,1 %")</f>
        <v>- 1,1 %</v>
      </c>
      <c r="E68" s="1" t="str">
        <f>IFERROR(__xludf.DUMMYFUNCTION("""COMPUTED_VALUE"""),"- 1,6 %")</f>
        <v>- 1,6 %</v>
      </c>
    </row>
    <row r="69">
      <c r="A69" s="2">
        <f>IFERROR(__xludf.DUMMYFUNCTION("""COMPUTED_VALUE"""),44136.0)</f>
        <v>44136</v>
      </c>
      <c r="B69" s="1" t="str">
        <f>IFERROR(__xludf.DUMMYFUNCTION("""COMPUTED_VALUE"""),"3.905 €/m2")</f>
        <v>3.905 €/m2</v>
      </c>
      <c r="C69" s="1" t="str">
        <f>IFERROR(__xludf.DUMMYFUNCTION("""COMPUTED_VALUE"""),"- 0,1 %")</f>
        <v>- 0,1 %</v>
      </c>
      <c r="D69" s="1" t="str">
        <f>IFERROR(__xludf.DUMMYFUNCTION("""COMPUTED_VALUE"""),"+ 0,1 %")</f>
        <v>+ 0,1 %</v>
      </c>
      <c r="E69" s="1" t="str">
        <f>IFERROR(__xludf.DUMMYFUNCTION("""COMPUTED_VALUE"""),"- 1,1 %")</f>
        <v>- 1,1 %</v>
      </c>
    </row>
    <row r="70">
      <c r="A70" s="2">
        <f>IFERROR(__xludf.DUMMYFUNCTION("""COMPUTED_VALUE"""),44105.0)</f>
        <v>44105</v>
      </c>
      <c r="B70" s="1" t="str">
        <f>IFERROR(__xludf.DUMMYFUNCTION("""COMPUTED_VALUE"""),"3.909 €/m2")</f>
        <v>3.909 €/m2</v>
      </c>
      <c r="C70" s="1" t="str">
        <f>IFERROR(__xludf.DUMMYFUNCTION("""COMPUTED_VALUE"""),"- 0,6 %")</f>
        <v>- 0,6 %</v>
      </c>
      <c r="D70" s="1" t="str">
        <f>IFERROR(__xludf.DUMMYFUNCTION("""COMPUTED_VALUE"""),"- 0,1 %")</f>
        <v>- 0,1 %</v>
      </c>
      <c r="E70" s="1" t="str">
        <f>IFERROR(__xludf.DUMMYFUNCTION("""COMPUTED_VALUE"""),"- 0,5 %")</f>
        <v>- 0,5 %</v>
      </c>
    </row>
    <row r="71">
      <c r="A71" s="2">
        <f>IFERROR(__xludf.DUMMYFUNCTION("""COMPUTED_VALUE"""),44075.0)</f>
        <v>44075</v>
      </c>
      <c r="B71" s="1" t="str">
        <f>IFERROR(__xludf.DUMMYFUNCTION("""COMPUTED_VALUE"""),"3.931 €/m2")</f>
        <v>3.931 €/m2</v>
      </c>
      <c r="C71" s="1" t="str">
        <f>IFERROR(__xludf.DUMMYFUNCTION("""COMPUTED_VALUE"""),"+ 0,8 %")</f>
        <v>+ 0,8 %</v>
      </c>
      <c r="D71" s="1" t="str">
        <f>IFERROR(__xludf.DUMMYFUNCTION("""COMPUTED_VALUE"""),"+ 0,7 %")</f>
        <v>+ 0,7 %</v>
      </c>
      <c r="E71" s="1" t="str">
        <f>IFERROR(__xludf.DUMMYFUNCTION("""COMPUTED_VALUE"""),"+ 0,9 %")</f>
        <v>+ 0,9 %</v>
      </c>
    </row>
    <row r="72">
      <c r="A72" s="2">
        <f>IFERROR(__xludf.DUMMYFUNCTION("""COMPUTED_VALUE"""),44044.0)</f>
        <v>44044</v>
      </c>
      <c r="B72" s="1" t="str">
        <f>IFERROR(__xludf.DUMMYFUNCTION("""COMPUTED_VALUE"""),"3.901 €/m2")</f>
        <v>3.901 €/m2</v>
      </c>
      <c r="C72" s="1" t="str">
        <f>IFERROR(__xludf.DUMMYFUNCTION("""COMPUTED_VALUE"""),"- 0,3 %")</f>
        <v>- 0,3 %</v>
      </c>
      <c r="D72" s="1" t="str">
        <f>IFERROR(__xludf.DUMMYFUNCTION("""COMPUTED_VALUE"""),"- 0,3 %")</f>
        <v>- 0,3 %</v>
      </c>
      <c r="E72" s="1" t="str">
        <f>IFERROR(__xludf.DUMMYFUNCTION("""COMPUTED_VALUE"""),"- 0,5 %")</f>
        <v>- 0,5 %</v>
      </c>
    </row>
    <row r="73">
      <c r="A73" s="2">
        <f>IFERROR(__xludf.DUMMYFUNCTION("""COMPUTED_VALUE"""),44013.0)</f>
        <v>44013</v>
      </c>
      <c r="B73" s="1" t="str">
        <f>IFERROR(__xludf.DUMMYFUNCTION("""COMPUTED_VALUE"""),"3.913 €/m2")</f>
        <v>3.913 €/m2</v>
      </c>
      <c r="C73" s="1" t="str">
        <f>IFERROR(__xludf.DUMMYFUNCTION("""COMPUTED_VALUE"""),"+ 0,3 %")</f>
        <v>+ 0,3 %</v>
      </c>
      <c r="D73" s="1" t="str">
        <f>IFERROR(__xludf.DUMMYFUNCTION("""COMPUTED_VALUE"""),"- 0,3 %")</f>
        <v>- 0,3 %</v>
      </c>
      <c r="E73" s="1" t="str">
        <f>IFERROR(__xludf.DUMMYFUNCTION("""COMPUTED_VALUE"""),"- 0,5 %")</f>
        <v>- 0,5 %</v>
      </c>
    </row>
    <row r="74">
      <c r="A74" s="2">
        <f>IFERROR(__xludf.DUMMYFUNCTION("""COMPUTED_VALUE"""),43983.0)</f>
        <v>43983</v>
      </c>
      <c r="B74" s="1" t="str">
        <f>IFERROR(__xludf.DUMMYFUNCTION("""COMPUTED_VALUE"""),"3.903 €/m2")</f>
        <v>3.903 €/m2</v>
      </c>
      <c r="C74" s="1" t="str">
        <f>IFERROR(__xludf.DUMMYFUNCTION("""COMPUTED_VALUE"""),"- 0,2 %")</f>
        <v>- 0,2 %</v>
      </c>
      <c r="D74" s="1" t="str">
        <f>IFERROR(__xludf.DUMMYFUNCTION("""COMPUTED_VALUE"""),"- 1,0 %")</f>
        <v>- 1,0 %</v>
      </c>
      <c r="E74" s="1" t="str">
        <f>IFERROR(__xludf.DUMMYFUNCTION("""COMPUTED_VALUE"""),"0,0 %")</f>
        <v>0,0 %</v>
      </c>
    </row>
    <row r="75">
      <c r="A75" s="2">
        <f>IFERROR(__xludf.DUMMYFUNCTION("""COMPUTED_VALUE"""),43952.0)</f>
        <v>43952</v>
      </c>
      <c r="B75" s="1" t="str">
        <f>IFERROR(__xludf.DUMMYFUNCTION("""COMPUTED_VALUE"""),"3.912 €/m2")</f>
        <v>3.912 €/m2</v>
      </c>
      <c r="C75" s="1" t="str">
        <f>IFERROR(__xludf.DUMMYFUNCTION("""COMPUTED_VALUE"""),"- 0,4 %")</f>
        <v>- 0,4 %</v>
      </c>
      <c r="D75" s="1" t="str">
        <f>IFERROR(__xludf.DUMMYFUNCTION("""COMPUTED_VALUE"""),"- 1,0 %")</f>
        <v>- 1,0 %</v>
      </c>
      <c r="E75" s="1" t="str">
        <f>IFERROR(__xludf.DUMMYFUNCTION("""COMPUTED_VALUE"""),"- 0,7 %")</f>
        <v>- 0,7 %</v>
      </c>
    </row>
    <row r="76">
      <c r="A76" s="2">
        <f>IFERROR(__xludf.DUMMYFUNCTION("""COMPUTED_VALUE"""),43922.0)</f>
        <v>43922</v>
      </c>
      <c r="B76" s="1" t="str">
        <f>IFERROR(__xludf.DUMMYFUNCTION("""COMPUTED_VALUE"""),"3.926 €/m2")</f>
        <v>3.926 €/m2</v>
      </c>
      <c r="C76" s="1" t="str">
        <f>IFERROR(__xludf.DUMMYFUNCTION("""COMPUTED_VALUE"""),"- 0,4 %")</f>
        <v>- 0,4 %</v>
      </c>
      <c r="D76" s="1" t="str">
        <f>IFERROR(__xludf.DUMMYFUNCTION("""COMPUTED_VALUE"""),"- 0,1 %")</f>
        <v>- 0,1 %</v>
      </c>
      <c r="E76" s="1" t="str">
        <f>IFERROR(__xludf.DUMMYFUNCTION("""COMPUTED_VALUE"""),"+ 0,3 %")</f>
        <v>+ 0,3 %</v>
      </c>
    </row>
    <row r="77">
      <c r="A77" s="2">
        <f>IFERROR(__xludf.DUMMYFUNCTION("""COMPUTED_VALUE"""),43891.0)</f>
        <v>43891</v>
      </c>
      <c r="B77" s="1" t="str">
        <f>IFERROR(__xludf.DUMMYFUNCTION("""COMPUTED_VALUE"""),"3.943 €/m2")</f>
        <v>3.943 €/m2</v>
      </c>
      <c r="C77" s="1" t="str">
        <f>IFERROR(__xludf.DUMMYFUNCTION("""COMPUTED_VALUE"""),"- 0,2 %")</f>
        <v>- 0,2 %</v>
      </c>
      <c r="D77" s="1" t="str">
        <f>IFERROR(__xludf.DUMMYFUNCTION("""COMPUTED_VALUE"""),"- 0,2 %")</f>
        <v>- 0,2 %</v>
      </c>
      <c r="E77" s="1" t="str">
        <f>IFERROR(__xludf.DUMMYFUNCTION("""COMPUTED_VALUE"""),"+ 0,4 %")</f>
        <v>+ 0,4 %</v>
      </c>
    </row>
    <row r="78">
      <c r="A78" s="2">
        <f>IFERROR(__xludf.DUMMYFUNCTION("""COMPUTED_VALUE"""),43862.0)</f>
        <v>43862</v>
      </c>
      <c r="B78" s="1" t="str">
        <f>IFERROR(__xludf.DUMMYFUNCTION("""COMPUTED_VALUE"""),"3.950 €/m2")</f>
        <v>3.950 €/m2</v>
      </c>
      <c r="C78" s="1" t="str">
        <f>IFERROR(__xludf.DUMMYFUNCTION("""COMPUTED_VALUE"""),"+ 0,5 %")</f>
        <v>+ 0,5 %</v>
      </c>
      <c r="D78" s="1" t="str">
        <f>IFERROR(__xludf.DUMMYFUNCTION("""COMPUTED_VALUE"""),"0,0 %")</f>
        <v>0,0 %</v>
      </c>
      <c r="E78" s="1" t="str">
        <f>IFERROR(__xludf.DUMMYFUNCTION("""COMPUTED_VALUE"""),"+ 1,5 %")</f>
        <v>+ 1,5 %</v>
      </c>
    </row>
    <row r="79">
      <c r="A79" s="2">
        <f>IFERROR(__xludf.DUMMYFUNCTION("""COMPUTED_VALUE"""),43831.0)</f>
        <v>43831</v>
      </c>
      <c r="B79" s="1" t="str">
        <f>IFERROR(__xludf.DUMMYFUNCTION("""COMPUTED_VALUE"""),"3.930 €/m2")</f>
        <v>3.930 €/m2</v>
      </c>
      <c r="C79" s="1" t="str">
        <f>IFERROR(__xludf.DUMMYFUNCTION("""COMPUTED_VALUE"""),"- 0,5 %")</f>
        <v>- 0,5 %</v>
      </c>
      <c r="D79" s="1" t="str">
        <f>IFERROR(__xludf.DUMMYFUNCTION("""COMPUTED_VALUE"""),"+ 0,1 %")</f>
        <v>+ 0,1 %</v>
      </c>
      <c r="E79" s="1" t="str">
        <f>IFERROR(__xludf.DUMMYFUNCTION("""COMPUTED_VALUE"""),"+ 2,3 %")</f>
        <v>+ 2,3 %</v>
      </c>
    </row>
    <row r="80">
      <c r="A80" s="2">
        <f>IFERROR(__xludf.DUMMYFUNCTION("""COMPUTED_VALUE"""),43800.0)</f>
        <v>43800</v>
      </c>
      <c r="B80" s="1" t="str">
        <f>IFERROR(__xludf.DUMMYFUNCTION("""COMPUTED_VALUE"""),"3.950 €/m2")</f>
        <v>3.950 €/m2</v>
      </c>
      <c r="C80" s="1" t="str">
        <f>IFERROR(__xludf.DUMMYFUNCTION("""COMPUTED_VALUE"""),"0,0 %")</f>
        <v>0,0 %</v>
      </c>
      <c r="D80" s="1" t="str">
        <f>IFERROR(__xludf.DUMMYFUNCTION("""COMPUTED_VALUE"""),"+ 1,4 %")</f>
        <v>+ 1,4 %</v>
      </c>
      <c r="E80" s="1" t="str">
        <f>IFERROR(__xludf.DUMMYFUNCTION("""COMPUTED_VALUE"""),"+ 3,9 %")</f>
        <v>+ 3,9 %</v>
      </c>
    </row>
    <row r="81">
      <c r="A81" s="2">
        <f>IFERROR(__xludf.DUMMYFUNCTION("""COMPUTED_VALUE"""),43770.0)</f>
        <v>43770</v>
      </c>
      <c r="B81" s="1" t="str">
        <f>IFERROR(__xludf.DUMMYFUNCTION("""COMPUTED_VALUE"""),"3.950 €/m2")</f>
        <v>3.950 €/m2</v>
      </c>
      <c r="C81" s="1" t="str">
        <f>IFERROR(__xludf.DUMMYFUNCTION("""COMPUTED_VALUE"""),"+ 0,6 %")</f>
        <v>+ 0,6 %</v>
      </c>
      <c r="D81" s="1" t="str">
        <f>IFERROR(__xludf.DUMMYFUNCTION("""COMPUTED_VALUE"""),"+ 0,7 %")</f>
        <v>+ 0,7 %</v>
      </c>
      <c r="E81" s="1" t="str">
        <f>IFERROR(__xludf.DUMMYFUNCTION("""COMPUTED_VALUE"""),"+ 4,2 %")</f>
        <v>+ 4,2 %</v>
      </c>
    </row>
    <row r="82">
      <c r="A82" s="2">
        <f>IFERROR(__xludf.DUMMYFUNCTION("""COMPUTED_VALUE"""),43739.0)</f>
        <v>43739</v>
      </c>
      <c r="B82" s="1" t="str">
        <f>IFERROR(__xludf.DUMMYFUNCTION("""COMPUTED_VALUE"""),"3.927 €/m2")</f>
        <v>3.927 €/m2</v>
      </c>
      <c r="C82" s="1" t="str">
        <f>IFERROR(__xludf.DUMMYFUNCTION("""COMPUTED_VALUE"""),"+ 0,8 %")</f>
        <v>+ 0,8 %</v>
      </c>
      <c r="D82" s="1" t="str">
        <f>IFERROR(__xludf.DUMMYFUNCTION("""COMPUTED_VALUE"""),"- 0,2 %")</f>
        <v>- 0,2 %</v>
      </c>
      <c r="E82" s="1" t="str">
        <f>IFERROR(__xludf.DUMMYFUNCTION("""COMPUTED_VALUE"""),"+ 3,4 %")</f>
        <v>+ 3,4 %</v>
      </c>
    </row>
    <row r="83">
      <c r="A83" s="2">
        <f>IFERROR(__xludf.DUMMYFUNCTION("""COMPUTED_VALUE"""),43709.0)</f>
        <v>43709</v>
      </c>
      <c r="B83" s="1" t="str">
        <f>IFERROR(__xludf.DUMMYFUNCTION("""COMPUTED_VALUE"""),"3.897 €/m2")</f>
        <v>3.897 €/m2</v>
      </c>
      <c r="C83" s="1" t="str">
        <f>IFERROR(__xludf.DUMMYFUNCTION("""COMPUTED_VALUE"""),"- 0,6 %")</f>
        <v>- 0,6 %</v>
      </c>
      <c r="D83" s="1" t="str">
        <f>IFERROR(__xludf.DUMMYFUNCTION("""COMPUTED_VALUE"""),"- 0,2 %")</f>
        <v>- 0,2 %</v>
      </c>
      <c r="E83" s="1" t="str">
        <f>IFERROR(__xludf.DUMMYFUNCTION("""COMPUTED_VALUE"""),"+ 2,6 %")</f>
        <v>+ 2,6 %</v>
      </c>
    </row>
    <row r="84">
      <c r="A84" s="2">
        <f>IFERROR(__xludf.DUMMYFUNCTION("""COMPUTED_VALUE"""),43678.0)</f>
        <v>43678</v>
      </c>
      <c r="B84" s="1" t="str">
        <f>IFERROR(__xludf.DUMMYFUNCTION("""COMPUTED_VALUE"""),"3.921 €/m2")</f>
        <v>3.921 €/m2</v>
      </c>
      <c r="C84" s="1" t="str">
        <f>IFERROR(__xludf.DUMMYFUNCTION("""COMPUTED_VALUE"""),"- 0,3 %")</f>
        <v>- 0,3 %</v>
      </c>
      <c r="D84" s="1" t="str">
        <f>IFERROR(__xludf.DUMMYFUNCTION("""COMPUTED_VALUE"""),"- 0,4 %")</f>
        <v>- 0,4 %</v>
      </c>
      <c r="E84" s="1" t="str">
        <f>IFERROR(__xludf.DUMMYFUNCTION("""COMPUTED_VALUE"""),"+ 3,6 %")</f>
        <v>+ 3,6 %</v>
      </c>
    </row>
    <row r="85">
      <c r="A85" s="2">
        <f>IFERROR(__xludf.DUMMYFUNCTION("""COMPUTED_VALUE"""),43647.0)</f>
        <v>43647</v>
      </c>
      <c r="B85" s="1" t="str">
        <f>IFERROR(__xludf.DUMMYFUNCTION("""COMPUTED_VALUE"""),"3.934 €/m2")</f>
        <v>3.934 €/m2</v>
      </c>
      <c r="C85" s="1" t="str">
        <f>IFERROR(__xludf.DUMMYFUNCTION("""COMPUTED_VALUE"""),"+ 0,8 %")</f>
        <v>+ 0,8 %</v>
      </c>
      <c r="D85" s="1" t="str">
        <f>IFERROR(__xludf.DUMMYFUNCTION("""COMPUTED_VALUE"""),"+ 0,5 %")</f>
        <v>+ 0,5 %</v>
      </c>
      <c r="E85" s="1" t="str">
        <f>IFERROR(__xludf.DUMMYFUNCTION("""COMPUTED_VALUE"""),"+ 4,8 %")</f>
        <v>+ 4,8 %</v>
      </c>
    </row>
    <row r="86">
      <c r="A86" s="2">
        <f>IFERROR(__xludf.DUMMYFUNCTION("""COMPUTED_VALUE"""),43617.0)</f>
        <v>43617</v>
      </c>
      <c r="B86" s="1" t="str">
        <f>IFERROR(__xludf.DUMMYFUNCTION("""COMPUTED_VALUE"""),"3.903 €/m2")</f>
        <v>3.903 €/m2</v>
      </c>
      <c r="C86" s="1" t="str">
        <f>IFERROR(__xludf.DUMMYFUNCTION("""COMPUTED_VALUE"""),"- 0,9 %")</f>
        <v>- 0,9 %</v>
      </c>
      <c r="D86" s="1" t="str">
        <f>IFERROR(__xludf.DUMMYFUNCTION("""COMPUTED_VALUE"""),"- 0,6 %")</f>
        <v>- 0,6 %</v>
      </c>
      <c r="E86" s="1" t="str">
        <f>IFERROR(__xludf.DUMMYFUNCTION("""COMPUTED_VALUE"""),"+ 4,4 %")</f>
        <v>+ 4,4 %</v>
      </c>
    </row>
    <row r="87">
      <c r="A87" s="2">
        <f>IFERROR(__xludf.DUMMYFUNCTION("""COMPUTED_VALUE"""),43586.0)</f>
        <v>43586</v>
      </c>
      <c r="B87" s="1" t="str">
        <f>IFERROR(__xludf.DUMMYFUNCTION("""COMPUTED_VALUE"""),"3.939 €/m2")</f>
        <v>3.939 €/m2</v>
      </c>
      <c r="C87" s="1" t="str">
        <f>IFERROR(__xludf.DUMMYFUNCTION("""COMPUTED_VALUE"""),"+ 0,7 %")</f>
        <v>+ 0,7 %</v>
      </c>
      <c r="D87" s="1" t="str">
        <f>IFERROR(__xludf.DUMMYFUNCTION("""COMPUTED_VALUE"""),"+ 1,2 %")</f>
        <v>+ 1,2 %</v>
      </c>
      <c r="E87" s="1" t="str">
        <f>IFERROR(__xludf.DUMMYFUNCTION("""COMPUTED_VALUE"""),"+ 5,5 %")</f>
        <v>+ 5,5 %</v>
      </c>
    </row>
    <row r="88">
      <c r="A88" s="2">
        <f>IFERROR(__xludf.DUMMYFUNCTION("""COMPUTED_VALUE"""),43556.0)</f>
        <v>43556</v>
      </c>
      <c r="B88" s="1" t="str">
        <f>IFERROR(__xludf.DUMMYFUNCTION("""COMPUTED_VALUE"""),"3.913 €/m2")</f>
        <v>3.913 €/m2</v>
      </c>
      <c r="C88" s="1" t="str">
        <f>IFERROR(__xludf.DUMMYFUNCTION("""COMPUTED_VALUE"""),"- 0,3 %")</f>
        <v>- 0,3 %</v>
      </c>
      <c r="D88" s="1" t="str">
        <f>IFERROR(__xludf.DUMMYFUNCTION("""COMPUTED_VALUE"""),"+ 1,8 %")</f>
        <v>+ 1,8 %</v>
      </c>
      <c r="E88" s="1" t="str">
        <f>IFERROR(__xludf.DUMMYFUNCTION("""COMPUTED_VALUE"""),"+ 5,3 %")</f>
        <v>+ 5,3 %</v>
      </c>
    </row>
    <row r="89">
      <c r="A89" s="2">
        <f>IFERROR(__xludf.DUMMYFUNCTION("""COMPUTED_VALUE"""),43525.0)</f>
        <v>43525</v>
      </c>
      <c r="B89" s="1" t="str">
        <f>IFERROR(__xludf.DUMMYFUNCTION("""COMPUTED_VALUE"""),"3.927 €/m2")</f>
        <v>3.927 €/m2</v>
      </c>
      <c r="C89" s="1" t="str">
        <f>IFERROR(__xludf.DUMMYFUNCTION("""COMPUTED_VALUE"""),"+ 0,9 %")</f>
        <v>+ 0,9 %</v>
      </c>
      <c r="D89" s="1" t="str">
        <f>IFERROR(__xludf.DUMMYFUNCTION("""COMPUTED_VALUE"""),"+ 3,3 %")</f>
        <v>+ 3,3 %</v>
      </c>
      <c r="E89" s="1" t="str">
        <f>IFERROR(__xludf.DUMMYFUNCTION("""COMPUTED_VALUE"""),"+ 5,3 %")</f>
        <v>+ 5,3 %</v>
      </c>
    </row>
    <row r="90">
      <c r="A90" s="2">
        <f>IFERROR(__xludf.DUMMYFUNCTION("""COMPUTED_VALUE"""),43497.0)</f>
        <v>43497</v>
      </c>
      <c r="B90" s="1" t="str">
        <f>IFERROR(__xludf.DUMMYFUNCTION("""COMPUTED_VALUE"""),"3.893 €/m2")</f>
        <v>3.893 €/m2</v>
      </c>
      <c r="C90" s="1" t="str">
        <f>IFERROR(__xludf.DUMMYFUNCTION("""COMPUTED_VALUE"""),"+ 1,3 %")</f>
        <v>+ 1,3 %</v>
      </c>
      <c r="D90" s="1" t="str">
        <f>IFERROR(__xludf.DUMMYFUNCTION("""COMPUTED_VALUE"""),"+ 2,7 %")</f>
        <v>+ 2,7 %</v>
      </c>
      <c r="E90" s="1" t="str">
        <f>IFERROR(__xludf.DUMMYFUNCTION("""COMPUTED_VALUE"""),"+ 4,2 %")</f>
        <v>+ 4,2 %</v>
      </c>
    </row>
    <row r="91">
      <c r="A91" s="2">
        <f>IFERROR(__xludf.DUMMYFUNCTION("""COMPUTED_VALUE"""),43466.0)</f>
        <v>43466</v>
      </c>
      <c r="B91" s="1" t="str">
        <f>IFERROR(__xludf.DUMMYFUNCTION("""COMPUTED_VALUE"""),"3.843 €/m2")</f>
        <v>3.843 €/m2</v>
      </c>
      <c r="C91" s="1" t="str">
        <f>IFERROR(__xludf.DUMMYFUNCTION("""COMPUTED_VALUE"""),"+ 1,1 %")</f>
        <v>+ 1,1 %</v>
      </c>
      <c r="D91" s="1" t="str">
        <f>IFERROR(__xludf.DUMMYFUNCTION("""COMPUTED_VALUE"""),"+ 1,2 %")</f>
        <v>+ 1,2 %</v>
      </c>
      <c r="E91" s="1" t="str">
        <f>IFERROR(__xludf.DUMMYFUNCTION("""COMPUTED_VALUE"""),"+ 6,4 %")</f>
        <v>+ 6,4 %</v>
      </c>
    </row>
    <row r="92">
      <c r="A92" s="2">
        <f>IFERROR(__xludf.DUMMYFUNCTION("""COMPUTED_VALUE"""),43435.0)</f>
        <v>43435</v>
      </c>
      <c r="B92" s="1" t="str">
        <f>IFERROR(__xludf.DUMMYFUNCTION("""COMPUTED_VALUE"""),"3.802 €/m2")</f>
        <v>3.802 €/m2</v>
      </c>
      <c r="C92" s="1" t="str">
        <f>IFERROR(__xludf.DUMMYFUNCTION("""COMPUTED_VALUE"""),"+ 0,3 %")</f>
        <v>+ 0,3 %</v>
      </c>
      <c r="D92" s="1" t="str">
        <f>IFERROR(__xludf.DUMMYFUNCTION("""COMPUTED_VALUE"""),"+ 0,1 %")</f>
        <v>+ 0,1 %</v>
      </c>
      <c r="E92" s="1" t="str">
        <f>IFERROR(__xludf.DUMMYFUNCTION("""COMPUTED_VALUE"""),"+ 7,0 %")</f>
        <v>+ 7,0 %</v>
      </c>
    </row>
    <row r="93">
      <c r="A93" s="2">
        <f>IFERROR(__xludf.DUMMYFUNCTION("""COMPUTED_VALUE"""),43405.0)</f>
        <v>43405</v>
      </c>
      <c r="B93" s="1" t="str">
        <f>IFERROR(__xludf.DUMMYFUNCTION("""COMPUTED_VALUE"""),"3.792 €/m2")</f>
        <v>3.792 €/m2</v>
      </c>
      <c r="C93" s="1" t="str">
        <f>IFERROR(__xludf.DUMMYFUNCTION("""COMPUTED_VALUE"""),"- 0,1 %")</f>
        <v>- 0,1 %</v>
      </c>
      <c r="D93" s="1" t="str">
        <f>IFERROR(__xludf.DUMMYFUNCTION("""COMPUTED_VALUE"""),"+ 0,2 %")</f>
        <v>+ 0,2 %</v>
      </c>
      <c r="E93" s="1" t="str">
        <f>IFERROR(__xludf.DUMMYFUNCTION("""COMPUTED_VALUE"""),"+ 8,4 %")</f>
        <v>+ 8,4 %</v>
      </c>
    </row>
    <row r="94">
      <c r="A94" s="2">
        <f>IFERROR(__xludf.DUMMYFUNCTION("""COMPUTED_VALUE"""),43374.0)</f>
        <v>43374</v>
      </c>
      <c r="B94" s="1" t="str">
        <f>IFERROR(__xludf.DUMMYFUNCTION("""COMPUTED_VALUE"""),"3.797 €/m2")</f>
        <v>3.797 €/m2</v>
      </c>
      <c r="C94" s="1" t="str">
        <f>IFERROR(__xludf.DUMMYFUNCTION("""COMPUTED_VALUE"""),"0,0 %")</f>
        <v>0,0 %</v>
      </c>
      <c r="D94" s="1" t="str">
        <f>IFERROR(__xludf.DUMMYFUNCTION("""COMPUTED_VALUE"""),"+ 1,1 %")</f>
        <v>+ 1,1 %</v>
      </c>
      <c r="E94" s="1" t="str">
        <f>IFERROR(__xludf.DUMMYFUNCTION("""COMPUTED_VALUE"""),"+ 9,5 %")</f>
        <v>+ 9,5 %</v>
      </c>
    </row>
    <row r="95">
      <c r="A95" s="2">
        <f>IFERROR(__xludf.DUMMYFUNCTION("""COMPUTED_VALUE"""),43344.0)</f>
        <v>43344</v>
      </c>
      <c r="B95" s="1" t="str">
        <f>IFERROR(__xludf.DUMMYFUNCTION("""COMPUTED_VALUE"""),"3.796 €/m2")</f>
        <v>3.796 €/m2</v>
      </c>
      <c r="C95" s="1" t="str">
        <f>IFERROR(__xludf.DUMMYFUNCTION("""COMPUTED_VALUE"""),"+ 0,3 %")</f>
        <v>+ 0,3 %</v>
      </c>
      <c r="D95" s="1" t="str">
        <f>IFERROR(__xludf.DUMMYFUNCTION("""COMPUTED_VALUE"""),"+ 1,5 %")</f>
        <v>+ 1,5 %</v>
      </c>
      <c r="E95" s="1" t="str">
        <f>IFERROR(__xludf.DUMMYFUNCTION("""COMPUTED_VALUE"""),"+ 10,4 %")</f>
        <v>+ 10,4 %</v>
      </c>
    </row>
    <row r="96">
      <c r="A96" s="2">
        <f>IFERROR(__xludf.DUMMYFUNCTION("""COMPUTED_VALUE"""),43313.0)</f>
        <v>43313</v>
      </c>
      <c r="B96" s="1" t="str">
        <f>IFERROR(__xludf.DUMMYFUNCTION("""COMPUTED_VALUE"""),"3.784 €/m2")</f>
        <v>3.784 €/m2</v>
      </c>
      <c r="C96" s="1" t="str">
        <f>IFERROR(__xludf.DUMMYFUNCTION("""COMPUTED_VALUE"""),"+ 0,8 %")</f>
        <v>+ 0,8 %</v>
      </c>
      <c r="D96" s="1" t="str">
        <f>IFERROR(__xludf.DUMMYFUNCTION("""COMPUTED_VALUE"""),"+ 1,4 %")</f>
        <v>+ 1,4 %</v>
      </c>
      <c r="E96" s="1" t="str">
        <f>IFERROR(__xludf.DUMMYFUNCTION("""COMPUTED_VALUE"""),"+ 11,1 %")</f>
        <v>+ 11,1 %</v>
      </c>
    </row>
    <row r="97">
      <c r="A97" s="2">
        <f>IFERROR(__xludf.DUMMYFUNCTION("""COMPUTED_VALUE"""),43282.0)</f>
        <v>43282</v>
      </c>
      <c r="B97" s="1" t="str">
        <f>IFERROR(__xludf.DUMMYFUNCTION("""COMPUTED_VALUE"""),"3.755 €/m2")</f>
        <v>3.755 €/m2</v>
      </c>
      <c r="C97" s="1" t="str">
        <f>IFERROR(__xludf.DUMMYFUNCTION("""COMPUTED_VALUE"""),"+ 0,4 %")</f>
        <v>+ 0,4 %</v>
      </c>
      <c r="D97" s="1" t="str">
        <f>IFERROR(__xludf.DUMMYFUNCTION("""COMPUTED_VALUE"""),"+ 1,0 %")</f>
        <v>+ 1,0 %</v>
      </c>
      <c r="E97" s="1" t="str">
        <f>IFERROR(__xludf.DUMMYFUNCTION("""COMPUTED_VALUE"""),"+ 10,5 %")</f>
        <v>+ 10,5 %</v>
      </c>
    </row>
    <row r="98">
      <c r="A98" s="2">
        <f>IFERROR(__xludf.DUMMYFUNCTION("""COMPUTED_VALUE"""),43252.0)</f>
        <v>43252</v>
      </c>
      <c r="B98" s="1" t="str">
        <f>IFERROR(__xludf.DUMMYFUNCTION("""COMPUTED_VALUE"""),"3.740 €/m2")</f>
        <v>3.740 €/m2</v>
      </c>
      <c r="C98" s="1" t="str">
        <f>IFERROR(__xludf.DUMMYFUNCTION("""COMPUTED_VALUE"""),"+ 0,2 %")</f>
        <v>+ 0,2 %</v>
      </c>
      <c r="D98" s="1" t="str">
        <f>IFERROR(__xludf.DUMMYFUNCTION("""COMPUTED_VALUE"""),"+ 0,3 %")</f>
        <v>+ 0,3 %</v>
      </c>
      <c r="E98" s="1" t="str">
        <f>IFERROR(__xludf.DUMMYFUNCTION("""COMPUTED_VALUE"""),"+ 11,5 %")</f>
        <v>+ 11,5 %</v>
      </c>
    </row>
    <row r="99">
      <c r="A99" s="2">
        <f>IFERROR(__xludf.DUMMYFUNCTION("""COMPUTED_VALUE"""),43221.0)</f>
        <v>43221</v>
      </c>
      <c r="B99" s="1" t="str">
        <f>IFERROR(__xludf.DUMMYFUNCTION("""COMPUTED_VALUE"""),"3.732 €/m2")</f>
        <v>3.732 €/m2</v>
      </c>
      <c r="C99" s="1" t="str">
        <f>IFERROR(__xludf.DUMMYFUNCTION("""COMPUTED_VALUE"""),"+ 0,4 %")</f>
        <v>+ 0,4 %</v>
      </c>
      <c r="D99" s="1" t="str">
        <f>IFERROR(__xludf.DUMMYFUNCTION("""COMPUTED_VALUE"""),"- 0,1 %")</f>
        <v>- 0,1 %</v>
      </c>
      <c r="E99" s="1" t="str">
        <f>IFERROR(__xludf.DUMMYFUNCTION("""COMPUTED_VALUE"""),"+ 10,7 %")</f>
        <v>+ 10,7 %</v>
      </c>
    </row>
    <row r="100">
      <c r="A100" s="2">
        <f>IFERROR(__xludf.DUMMYFUNCTION("""COMPUTED_VALUE"""),43191.0)</f>
        <v>43191</v>
      </c>
      <c r="B100" s="1" t="str">
        <f>IFERROR(__xludf.DUMMYFUNCTION("""COMPUTED_VALUE"""),"3.716 €/m2")</f>
        <v>3.716 €/m2</v>
      </c>
      <c r="C100" s="1" t="str">
        <f>IFERROR(__xludf.DUMMYFUNCTION("""COMPUTED_VALUE"""),"- 0,3 %")</f>
        <v>- 0,3 %</v>
      </c>
      <c r="D100" s="1" t="str">
        <f>IFERROR(__xludf.DUMMYFUNCTION("""COMPUTED_VALUE"""),"+ 2,9 %")</f>
        <v>+ 2,9 %</v>
      </c>
      <c r="E100" s="1" t="str">
        <f>IFERROR(__xludf.DUMMYFUNCTION("""COMPUTED_VALUE"""),"+ 11,0 %")</f>
        <v>+ 11,0 %</v>
      </c>
    </row>
    <row r="101">
      <c r="A101" s="2">
        <f>IFERROR(__xludf.DUMMYFUNCTION("""COMPUTED_VALUE"""),43160.0)</f>
        <v>43160</v>
      </c>
      <c r="B101" s="1" t="str">
        <f>IFERROR(__xludf.DUMMYFUNCTION("""COMPUTED_VALUE"""),"3.729 €/m2")</f>
        <v>3.729 €/m2</v>
      </c>
      <c r="C101" s="1" t="str">
        <f>IFERROR(__xludf.DUMMYFUNCTION("""COMPUTED_VALUE"""),"- 0,2 %")</f>
        <v>- 0,2 %</v>
      </c>
      <c r="D101" s="1" t="str">
        <f>IFERROR(__xludf.DUMMYFUNCTION("""COMPUTED_VALUE"""),"+ 4,9 %")</f>
        <v>+ 4,9 %</v>
      </c>
      <c r="E101" s="1" t="str">
        <f>IFERROR(__xludf.DUMMYFUNCTION("""COMPUTED_VALUE"""),"+ 13,1 %")</f>
        <v>+ 13,1 %</v>
      </c>
    </row>
    <row r="102">
      <c r="A102" s="2">
        <f>IFERROR(__xludf.DUMMYFUNCTION("""COMPUTED_VALUE"""),43132.0)</f>
        <v>43132</v>
      </c>
      <c r="B102" s="1" t="str">
        <f>IFERROR(__xludf.DUMMYFUNCTION("""COMPUTED_VALUE"""),"3.735 €/m2")</f>
        <v>3.735 €/m2</v>
      </c>
      <c r="C102" s="1" t="str">
        <f>IFERROR(__xludf.DUMMYFUNCTION("""COMPUTED_VALUE"""),"+ 3,4 %")</f>
        <v>+ 3,4 %</v>
      </c>
      <c r="D102" s="1" t="str">
        <f>IFERROR(__xludf.DUMMYFUNCTION("""COMPUTED_VALUE"""),"+ 6,8 %")</f>
        <v>+ 6,8 %</v>
      </c>
      <c r="E102" s="1" t="str">
        <f>IFERROR(__xludf.DUMMYFUNCTION("""COMPUTED_VALUE"""),"+ 14,5 %")</f>
        <v>+ 14,5 %</v>
      </c>
    </row>
    <row r="103">
      <c r="A103" s="2">
        <f>IFERROR(__xludf.DUMMYFUNCTION("""COMPUTED_VALUE"""),43101.0)</f>
        <v>43101</v>
      </c>
      <c r="B103" s="1" t="str">
        <f>IFERROR(__xludf.DUMMYFUNCTION("""COMPUTED_VALUE"""),"3.612 €/m2")</f>
        <v>3.612 €/m2</v>
      </c>
      <c r="C103" s="1" t="str">
        <f>IFERROR(__xludf.DUMMYFUNCTION("""COMPUTED_VALUE"""),"+ 1,7 %")</f>
        <v>+ 1,7 %</v>
      </c>
      <c r="D103" s="1" t="str">
        <f>IFERROR(__xludf.DUMMYFUNCTION("""COMPUTED_VALUE"""),"+ 4,2 %")</f>
        <v>+ 4,2 %</v>
      </c>
      <c r="E103" s="1" t="str">
        <f>IFERROR(__xludf.DUMMYFUNCTION("""COMPUTED_VALUE"""),"+ 11,1 %")</f>
        <v>+ 11,1 %</v>
      </c>
    </row>
    <row r="104">
      <c r="A104" s="2">
        <f>IFERROR(__xludf.DUMMYFUNCTION("""COMPUTED_VALUE"""),43070.0)</f>
        <v>43070</v>
      </c>
      <c r="B104" s="1" t="str">
        <f>IFERROR(__xludf.DUMMYFUNCTION("""COMPUTED_VALUE"""),"3.553 €/m2")</f>
        <v>3.553 €/m2</v>
      </c>
      <c r="C104" s="1" t="str">
        <f>IFERROR(__xludf.DUMMYFUNCTION("""COMPUTED_VALUE"""),"+ 1,6 %")</f>
        <v>+ 1,6 %</v>
      </c>
      <c r="D104" s="1" t="str">
        <f>IFERROR(__xludf.DUMMYFUNCTION("""COMPUTED_VALUE"""),"+ 3,3 %")</f>
        <v>+ 3,3 %</v>
      </c>
      <c r="E104" s="1" t="str">
        <f>IFERROR(__xludf.DUMMYFUNCTION("""COMPUTED_VALUE"""),"+ 11,0 %")</f>
        <v>+ 11,0 %</v>
      </c>
    </row>
    <row r="105">
      <c r="A105" s="2">
        <f>IFERROR(__xludf.DUMMYFUNCTION("""COMPUTED_VALUE"""),43040.0)</f>
        <v>43040</v>
      </c>
      <c r="B105" s="1" t="str">
        <f>IFERROR(__xludf.DUMMYFUNCTION("""COMPUTED_VALUE"""),"3.498 €/m2")</f>
        <v>3.498 €/m2</v>
      </c>
      <c r="C105" s="1" t="str">
        <f>IFERROR(__xludf.DUMMYFUNCTION("""COMPUTED_VALUE"""),"+ 0,9 %")</f>
        <v>+ 0,9 %</v>
      </c>
      <c r="D105" s="1" t="str">
        <f>IFERROR(__xludf.DUMMYFUNCTION("""COMPUTED_VALUE"""),"+ 2,7 %")</f>
        <v>+ 2,7 %</v>
      </c>
      <c r="E105" s="1" t="str">
        <f>IFERROR(__xludf.DUMMYFUNCTION("""COMPUTED_VALUE"""),"+ 9,9 %")</f>
        <v>+ 9,9 %</v>
      </c>
    </row>
    <row r="106">
      <c r="A106" s="2">
        <f>IFERROR(__xludf.DUMMYFUNCTION("""COMPUTED_VALUE"""),43009.0)</f>
        <v>43009</v>
      </c>
      <c r="B106" s="1" t="str">
        <f>IFERROR(__xludf.DUMMYFUNCTION("""COMPUTED_VALUE"""),"3.467 €/m2")</f>
        <v>3.467 €/m2</v>
      </c>
      <c r="C106" s="1" t="str">
        <f>IFERROR(__xludf.DUMMYFUNCTION("""COMPUTED_VALUE"""),"+ 0,9 %")</f>
        <v>+ 0,9 %</v>
      </c>
      <c r="D106" s="1" t="str">
        <f>IFERROR(__xludf.DUMMYFUNCTION("""COMPUTED_VALUE"""),"+ 2,1 %")</f>
        <v>+ 2,1 %</v>
      </c>
      <c r="E106" s="1" t="str">
        <f>IFERROR(__xludf.DUMMYFUNCTION("""COMPUTED_VALUE"""),"+ 8,7 %")</f>
        <v>+ 8,7 %</v>
      </c>
    </row>
    <row r="107">
      <c r="A107" s="2">
        <f>IFERROR(__xludf.DUMMYFUNCTION("""COMPUTED_VALUE"""),42979.0)</f>
        <v>42979</v>
      </c>
      <c r="B107" s="1" t="str">
        <f>IFERROR(__xludf.DUMMYFUNCTION("""COMPUTED_VALUE"""),"3.438 €/m2")</f>
        <v>3.438 €/m2</v>
      </c>
      <c r="C107" s="1" t="str">
        <f>IFERROR(__xludf.DUMMYFUNCTION("""COMPUTED_VALUE"""),"+ 1,0 %")</f>
        <v>+ 1,0 %</v>
      </c>
      <c r="D107" s="1" t="str">
        <f>IFERROR(__xludf.DUMMYFUNCTION("""COMPUTED_VALUE"""),"+ 2,5 %")</f>
        <v>+ 2,5 %</v>
      </c>
      <c r="E107" s="1" t="str">
        <f>IFERROR(__xludf.DUMMYFUNCTION("""COMPUTED_VALUE"""),"+ 7,7 %")</f>
        <v>+ 7,7 %</v>
      </c>
    </row>
    <row r="108">
      <c r="A108" s="2">
        <f>IFERROR(__xludf.DUMMYFUNCTION("""COMPUTED_VALUE"""),42948.0)</f>
        <v>42948</v>
      </c>
      <c r="B108" s="1" t="str">
        <f>IFERROR(__xludf.DUMMYFUNCTION("""COMPUTED_VALUE"""),"3.405 €/m2")</f>
        <v>3.405 €/m2</v>
      </c>
      <c r="C108" s="1" t="str">
        <f>IFERROR(__xludf.DUMMYFUNCTION("""COMPUTED_VALUE"""),"+ 0,2 %")</f>
        <v>+ 0,2 %</v>
      </c>
      <c r="D108" s="1" t="str">
        <f>IFERROR(__xludf.DUMMYFUNCTION("""COMPUTED_VALUE"""),"+ 1,0 %")</f>
        <v>+ 1,0 %</v>
      </c>
      <c r="E108" s="1" t="str">
        <f>IFERROR(__xludf.DUMMYFUNCTION("""COMPUTED_VALUE"""),"+ 7,9 %")</f>
        <v>+ 7,9 %</v>
      </c>
    </row>
    <row r="109">
      <c r="A109" s="2">
        <f>IFERROR(__xludf.DUMMYFUNCTION("""COMPUTED_VALUE"""),42917.0)</f>
        <v>42917</v>
      </c>
      <c r="B109" s="1" t="str">
        <f>IFERROR(__xludf.DUMMYFUNCTION("""COMPUTED_VALUE"""),"3.397 €/m2")</f>
        <v>3.397 €/m2</v>
      </c>
      <c r="C109" s="1" t="str">
        <f>IFERROR(__xludf.DUMMYFUNCTION("""COMPUTED_VALUE"""),"+ 1,3 %")</f>
        <v>+ 1,3 %</v>
      </c>
      <c r="D109" s="1" t="str">
        <f>IFERROR(__xludf.DUMMYFUNCTION("""COMPUTED_VALUE"""),"+ 1,5 %")</f>
        <v>+ 1,5 %</v>
      </c>
      <c r="E109" s="1" t="str">
        <f>IFERROR(__xludf.DUMMYFUNCTION("""COMPUTED_VALUE"""),"+ 7,8 %")</f>
        <v>+ 7,8 %</v>
      </c>
    </row>
    <row r="110">
      <c r="A110" s="2">
        <f>IFERROR(__xludf.DUMMYFUNCTION("""COMPUTED_VALUE"""),42887.0)</f>
        <v>42887</v>
      </c>
      <c r="B110" s="1" t="str">
        <f>IFERROR(__xludf.DUMMYFUNCTION("""COMPUTED_VALUE"""),"3.354 €/m2")</f>
        <v>3.354 €/m2</v>
      </c>
      <c r="C110" s="1" t="str">
        <f>IFERROR(__xludf.DUMMYFUNCTION("""COMPUTED_VALUE"""),"- 0,6 %")</f>
        <v>- 0,6 %</v>
      </c>
      <c r="D110" s="1" t="str">
        <f>IFERROR(__xludf.DUMMYFUNCTION("""COMPUTED_VALUE"""),"+ 1,8 %")</f>
        <v>+ 1,8 %</v>
      </c>
      <c r="E110" s="1" t="str">
        <f>IFERROR(__xludf.DUMMYFUNCTION("""COMPUTED_VALUE"""),"+ 6,4 %")</f>
        <v>+ 6,4 %</v>
      </c>
    </row>
    <row r="111">
      <c r="A111" s="2">
        <f>IFERROR(__xludf.DUMMYFUNCTION("""COMPUTED_VALUE"""),42856.0)</f>
        <v>42856</v>
      </c>
      <c r="B111" s="1" t="str">
        <f>IFERROR(__xludf.DUMMYFUNCTION("""COMPUTED_VALUE"""),"3.373 €/m2")</f>
        <v>3.373 €/m2</v>
      </c>
      <c r="C111" s="1" t="str">
        <f>IFERROR(__xludf.DUMMYFUNCTION("""COMPUTED_VALUE"""),"+ 0,7 %")</f>
        <v>+ 0,7 %</v>
      </c>
      <c r="D111" s="1" t="str">
        <f>IFERROR(__xludf.DUMMYFUNCTION("""COMPUTED_VALUE"""),"+ 3,4 %")</f>
        <v>+ 3,4 %</v>
      </c>
      <c r="E111" s="1" t="str">
        <f>IFERROR(__xludf.DUMMYFUNCTION("""COMPUTED_VALUE"""),"+ 6,8 %")</f>
        <v>+ 6,8 %</v>
      </c>
    </row>
    <row r="112">
      <c r="A112" s="2">
        <f>IFERROR(__xludf.DUMMYFUNCTION("""COMPUTED_VALUE"""),42826.0)</f>
        <v>42826</v>
      </c>
      <c r="B112" s="1" t="str">
        <f>IFERROR(__xludf.DUMMYFUNCTION("""COMPUTED_VALUE"""),"3.348 €/m2")</f>
        <v>3.348 €/m2</v>
      </c>
      <c r="C112" s="1" t="str">
        <f>IFERROR(__xludf.DUMMYFUNCTION("""COMPUTED_VALUE"""),"+ 1,6 %")</f>
        <v>+ 1,6 %</v>
      </c>
      <c r="D112" s="1" t="str">
        <f>IFERROR(__xludf.DUMMYFUNCTION("""COMPUTED_VALUE"""),"+ 3,0 %")</f>
        <v>+ 3,0 %</v>
      </c>
      <c r="E112" s="1" t="str">
        <f>IFERROR(__xludf.DUMMYFUNCTION("""COMPUTED_VALUE"""),"+ 6,4 %")</f>
        <v>+ 6,4 %</v>
      </c>
    </row>
    <row r="113">
      <c r="A113" s="2">
        <f>IFERROR(__xludf.DUMMYFUNCTION("""COMPUTED_VALUE"""),42795.0)</f>
        <v>42795</v>
      </c>
      <c r="B113" s="1" t="str">
        <f>IFERROR(__xludf.DUMMYFUNCTION("""COMPUTED_VALUE"""),"3.296 €/m2")</f>
        <v>3.296 €/m2</v>
      </c>
      <c r="C113" s="1" t="str">
        <f>IFERROR(__xludf.DUMMYFUNCTION("""COMPUTED_VALUE"""),"+ 1,0 %")</f>
        <v>+ 1,0 %</v>
      </c>
      <c r="D113" s="1" t="str">
        <f>IFERROR(__xludf.DUMMYFUNCTION("""COMPUTED_VALUE"""),"+ 3,0 %")</f>
        <v>+ 3,0 %</v>
      </c>
      <c r="E113" s="1" t="str">
        <f>IFERROR(__xludf.DUMMYFUNCTION("""COMPUTED_VALUE"""),"+ 5,1 %")</f>
        <v>+ 5,1 %</v>
      </c>
    </row>
    <row r="114">
      <c r="A114" s="2">
        <f>IFERROR(__xludf.DUMMYFUNCTION("""COMPUTED_VALUE"""),42767.0)</f>
        <v>42767</v>
      </c>
      <c r="B114" s="1" t="str">
        <f>IFERROR(__xludf.DUMMYFUNCTION("""COMPUTED_VALUE"""),"3.262 €/m2")</f>
        <v>3.262 €/m2</v>
      </c>
      <c r="C114" s="1" t="str">
        <f>IFERROR(__xludf.DUMMYFUNCTION("""COMPUTED_VALUE"""),"+ 0,4 %")</f>
        <v>+ 0,4 %</v>
      </c>
      <c r="D114" s="1" t="str">
        <f>IFERROR(__xludf.DUMMYFUNCTION("""COMPUTED_VALUE"""),"+ 2,5 %")</f>
        <v>+ 2,5 %</v>
      </c>
      <c r="E114" s="1" t="str">
        <f>IFERROR(__xludf.DUMMYFUNCTION("""COMPUTED_VALUE"""),"+ 5,2 %")</f>
        <v>+ 5,2 %</v>
      </c>
    </row>
    <row r="115">
      <c r="A115" s="2">
        <f>IFERROR(__xludf.DUMMYFUNCTION("""COMPUTED_VALUE"""),42736.0)</f>
        <v>42736</v>
      </c>
      <c r="B115" s="1" t="str">
        <f>IFERROR(__xludf.DUMMYFUNCTION("""COMPUTED_VALUE"""),"3.250 €/m2")</f>
        <v>3.250 €/m2</v>
      </c>
      <c r="C115" s="1" t="str">
        <f>IFERROR(__xludf.DUMMYFUNCTION("""COMPUTED_VALUE"""),"+ 1,5 %")</f>
        <v>+ 1,5 %</v>
      </c>
      <c r="D115" s="1" t="str">
        <f>IFERROR(__xludf.DUMMYFUNCTION("""COMPUTED_VALUE"""),"+ 1,9 %")</f>
        <v>+ 1,9 %</v>
      </c>
      <c r="E115" s="1" t="str">
        <f>IFERROR(__xludf.DUMMYFUNCTION("""COMPUTED_VALUE"""),"+ 5,1 %")</f>
        <v>+ 5,1 %</v>
      </c>
    </row>
    <row r="116">
      <c r="A116" s="2">
        <f>IFERROR(__xludf.DUMMYFUNCTION("""COMPUTED_VALUE"""),42705.0)</f>
        <v>42705</v>
      </c>
      <c r="B116" s="1" t="str">
        <f>IFERROR(__xludf.DUMMYFUNCTION("""COMPUTED_VALUE"""),"3.201 €/m2")</f>
        <v>3.201 €/m2</v>
      </c>
      <c r="C116" s="1" t="str">
        <f>IFERROR(__xludf.DUMMYFUNCTION("""COMPUTED_VALUE"""),"+ 0,6 %")</f>
        <v>+ 0,6 %</v>
      </c>
      <c r="D116" s="1" t="str">
        <f>IFERROR(__xludf.DUMMYFUNCTION("""COMPUTED_VALUE"""),"+ 0,3 %")</f>
        <v>+ 0,3 %</v>
      </c>
      <c r="E116" s="1" t="str">
        <f>IFERROR(__xludf.DUMMYFUNCTION("""COMPUTED_VALUE"""),"+ 3,8 %")</f>
        <v>+ 3,8 %</v>
      </c>
    </row>
    <row r="117">
      <c r="A117" s="2">
        <f>IFERROR(__xludf.DUMMYFUNCTION("""COMPUTED_VALUE"""),42675.0)</f>
        <v>42675</v>
      </c>
      <c r="B117" s="1" t="str">
        <f>IFERROR(__xludf.DUMMYFUNCTION("""COMPUTED_VALUE"""),"3.183 €/m2")</f>
        <v>3.183 €/m2</v>
      </c>
      <c r="C117" s="1" t="str">
        <f>IFERROR(__xludf.DUMMYFUNCTION("""COMPUTED_VALUE"""),"- 0,2 %")</f>
        <v>- 0,2 %</v>
      </c>
      <c r="D117" s="1" t="str">
        <f>IFERROR(__xludf.DUMMYFUNCTION("""COMPUTED_VALUE"""),"+ 0,8 %")</f>
        <v>+ 0,8 %</v>
      </c>
      <c r="E117" s="1" t="str">
        <f>IFERROR(__xludf.DUMMYFUNCTION("""COMPUTED_VALUE"""),"+ 3,1 %")</f>
        <v>+ 3,1 %</v>
      </c>
    </row>
    <row r="118">
      <c r="A118" s="2">
        <f>IFERROR(__xludf.DUMMYFUNCTION("""COMPUTED_VALUE"""),42644.0)</f>
        <v>42644</v>
      </c>
      <c r="B118" s="1" t="str">
        <f>IFERROR(__xludf.DUMMYFUNCTION("""COMPUTED_VALUE"""),"3.190 €/m2")</f>
        <v>3.190 €/m2</v>
      </c>
      <c r="C118" s="1" t="str">
        <f>IFERROR(__xludf.DUMMYFUNCTION("""COMPUTED_VALUE"""),"- 0,1 %")</f>
        <v>- 0,1 %</v>
      </c>
      <c r="D118" s="1" t="str">
        <f>IFERROR(__xludf.DUMMYFUNCTION("""COMPUTED_VALUE"""),"+ 1,3 %")</f>
        <v>+ 1,3 %</v>
      </c>
      <c r="E118" s="1" t="str">
        <f>IFERROR(__xludf.DUMMYFUNCTION("""COMPUTED_VALUE"""),"+ 3,5 %")</f>
        <v>+ 3,5 %</v>
      </c>
    </row>
    <row r="119">
      <c r="A119" s="2">
        <f>IFERROR(__xludf.DUMMYFUNCTION("""COMPUTED_VALUE"""),42614.0)</f>
        <v>42614</v>
      </c>
      <c r="B119" s="1" t="str">
        <f>IFERROR(__xludf.DUMMYFUNCTION("""COMPUTED_VALUE"""),"3.192 €/m2")</f>
        <v>3.192 €/m2</v>
      </c>
      <c r="C119" s="1" t="str">
        <f>IFERROR(__xludf.DUMMYFUNCTION("""COMPUTED_VALUE"""),"+ 1,1 %")</f>
        <v>+ 1,1 %</v>
      </c>
      <c r="D119" s="1" t="str">
        <f>IFERROR(__xludf.DUMMYFUNCTION("""COMPUTED_VALUE"""),"+ 1,3 %")</f>
        <v>+ 1,3 %</v>
      </c>
      <c r="E119" s="1" t="str">
        <f>IFERROR(__xludf.DUMMYFUNCTION("""COMPUTED_VALUE"""),"+ 3,9 %")</f>
        <v>+ 3,9 %</v>
      </c>
    </row>
    <row r="120">
      <c r="A120" s="2">
        <f>IFERROR(__xludf.DUMMYFUNCTION("""COMPUTED_VALUE"""),42583.0)</f>
        <v>42583</v>
      </c>
      <c r="B120" s="1" t="str">
        <f>IFERROR(__xludf.DUMMYFUNCTION("""COMPUTED_VALUE"""),"3.157 €/m2")</f>
        <v>3.157 €/m2</v>
      </c>
      <c r="C120" s="1" t="str">
        <f>IFERROR(__xludf.DUMMYFUNCTION("""COMPUTED_VALUE"""),"+ 0,2 %")</f>
        <v>+ 0,2 %</v>
      </c>
      <c r="D120" s="1" t="str">
        <f>IFERROR(__xludf.DUMMYFUNCTION("""COMPUTED_VALUE"""),"0,0 %")</f>
        <v>0,0 %</v>
      </c>
      <c r="E120" s="1" t="str">
        <f>IFERROR(__xludf.DUMMYFUNCTION("""COMPUTED_VALUE"""),"+ 3,0 %")</f>
        <v>+ 3,0 %</v>
      </c>
    </row>
    <row r="121">
      <c r="A121" s="2">
        <f>IFERROR(__xludf.DUMMYFUNCTION("""COMPUTED_VALUE"""),42552.0)</f>
        <v>42552</v>
      </c>
      <c r="B121" s="1" t="str">
        <f>IFERROR(__xludf.DUMMYFUNCTION("""COMPUTED_VALUE"""),"3.151 €/m2")</f>
        <v>3.151 €/m2</v>
      </c>
      <c r="C121" s="1" t="str">
        <f>IFERROR(__xludf.DUMMYFUNCTION("""COMPUTED_VALUE"""),"0,0 %")</f>
        <v>0,0 %</v>
      </c>
      <c r="D121" s="1" t="str">
        <f>IFERROR(__xludf.DUMMYFUNCTION("""COMPUTED_VALUE"""),"+ 0,1 %")</f>
        <v>+ 0,1 %</v>
      </c>
      <c r="E121" s="1" t="str">
        <f>IFERROR(__xludf.DUMMYFUNCTION("""COMPUTED_VALUE"""),"+ 2,5 %")</f>
        <v>+ 2,5 %</v>
      </c>
    </row>
    <row r="122">
      <c r="A122" s="2">
        <f>IFERROR(__xludf.DUMMYFUNCTION("""COMPUTED_VALUE"""),42522.0)</f>
        <v>42522</v>
      </c>
      <c r="B122" s="1" t="str">
        <f>IFERROR(__xludf.DUMMYFUNCTION("""COMPUTED_VALUE"""),"3.153 €/m2")</f>
        <v>3.153 €/m2</v>
      </c>
      <c r="C122" s="1" t="str">
        <f>IFERROR(__xludf.DUMMYFUNCTION("""COMPUTED_VALUE"""),"- 0,1 %")</f>
        <v>- 0,1 %</v>
      </c>
      <c r="D122" s="1" t="str">
        <f>IFERROR(__xludf.DUMMYFUNCTION("""COMPUTED_VALUE"""),"+ 0,6 %")</f>
        <v>+ 0,6 %</v>
      </c>
      <c r="E122" s="1" t="str">
        <f>IFERROR(__xludf.DUMMYFUNCTION("""COMPUTED_VALUE"""),"+ 3,0 %")</f>
        <v>+ 3,0 %</v>
      </c>
    </row>
    <row r="123">
      <c r="A123" s="2">
        <f>IFERROR(__xludf.DUMMYFUNCTION("""COMPUTED_VALUE"""),42491.0)</f>
        <v>42491</v>
      </c>
      <c r="B123" s="1" t="str">
        <f>IFERROR(__xludf.DUMMYFUNCTION("""COMPUTED_VALUE"""),"3.157 €/m2")</f>
        <v>3.157 €/m2</v>
      </c>
      <c r="C123" s="1" t="str">
        <f>IFERROR(__xludf.DUMMYFUNCTION("""COMPUTED_VALUE"""),"+ 0,3 %")</f>
        <v>+ 0,3 %</v>
      </c>
      <c r="D123" s="1" t="str">
        <f>IFERROR(__xludf.DUMMYFUNCTION("""COMPUTED_VALUE"""),"+ 1,8 %")</f>
        <v>+ 1,8 %</v>
      </c>
      <c r="E123" s="1" t="str">
        <f>IFERROR(__xludf.DUMMYFUNCTION("""COMPUTED_VALUE"""),"+ 3,6 %")</f>
        <v>+ 3,6 %</v>
      </c>
    </row>
    <row r="124">
      <c r="A124" s="2">
        <f>IFERROR(__xludf.DUMMYFUNCTION("""COMPUTED_VALUE"""),42461.0)</f>
        <v>42461</v>
      </c>
      <c r="B124" s="1" t="str">
        <f>IFERROR(__xludf.DUMMYFUNCTION("""COMPUTED_VALUE"""),"3.147 €/m2")</f>
        <v>3.147 €/m2</v>
      </c>
      <c r="C124" s="1" t="str">
        <f>IFERROR(__xludf.DUMMYFUNCTION("""COMPUTED_VALUE"""),"+ 0,4 %")</f>
        <v>+ 0,4 %</v>
      </c>
      <c r="D124" s="1" t="str">
        <f>IFERROR(__xludf.DUMMYFUNCTION("""COMPUTED_VALUE"""),"+ 1,8 %")</f>
        <v>+ 1,8 %</v>
      </c>
      <c r="E124" s="1" t="str">
        <f>IFERROR(__xludf.DUMMYFUNCTION("""COMPUTED_VALUE"""),"+ 4,5 %")</f>
        <v>+ 4,5 %</v>
      </c>
    </row>
    <row r="125">
      <c r="A125" s="2">
        <f>IFERROR(__xludf.DUMMYFUNCTION("""COMPUTED_VALUE"""),42430.0)</f>
        <v>42430</v>
      </c>
      <c r="B125" s="1" t="str">
        <f>IFERROR(__xludf.DUMMYFUNCTION("""COMPUTED_VALUE"""),"3.135 €/m2")</f>
        <v>3.135 €/m2</v>
      </c>
      <c r="C125" s="1" t="str">
        <f>IFERROR(__xludf.DUMMYFUNCTION("""COMPUTED_VALUE"""),"+ 1,1 %")</f>
        <v>+ 1,1 %</v>
      </c>
      <c r="D125" s="1" t="str">
        <f>IFERROR(__xludf.DUMMYFUNCTION("""COMPUTED_VALUE"""),"+ 1,6 %")</f>
        <v>+ 1,6 %</v>
      </c>
      <c r="E125" s="1" t="str">
        <f>IFERROR(__xludf.DUMMYFUNCTION("""COMPUTED_VALUE"""),"+ 4,0 %")</f>
        <v>+ 4,0 %</v>
      </c>
    </row>
    <row r="126">
      <c r="A126" s="2">
        <f>IFERROR(__xludf.DUMMYFUNCTION("""COMPUTED_VALUE"""),42401.0)</f>
        <v>42401</v>
      </c>
      <c r="B126" s="1" t="str">
        <f>IFERROR(__xludf.DUMMYFUNCTION("""COMPUTED_VALUE"""),"3.101 €/m2")</f>
        <v>3.101 €/m2</v>
      </c>
      <c r="C126" s="1" t="str">
        <f>IFERROR(__xludf.DUMMYFUNCTION("""COMPUTED_VALUE"""),"+ 0,3 %")</f>
        <v>+ 0,3 %</v>
      </c>
      <c r="D126" s="1" t="str">
        <f>IFERROR(__xludf.DUMMYFUNCTION("""COMPUTED_VALUE"""),"+ 0,4 %")</f>
        <v>+ 0,4 %</v>
      </c>
      <c r="E126" s="1" t="str">
        <f>IFERROR(__xludf.DUMMYFUNCTION("""COMPUTED_VALUE"""),"+ 3,7 %")</f>
        <v>+ 3,7 %</v>
      </c>
    </row>
    <row r="127">
      <c r="A127" s="2">
        <f>IFERROR(__xludf.DUMMYFUNCTION("""COMPUTED_VALUE"""),42370.0)</f>
        <v>42370</v>
      </c>
      <c r="B127" s="1" t="str">
        <f>IFERROR(__xludf.DUMMYFUNCTION("""COMPUTED_VALUE"""),"3.092 €/m2")</f>
        <v>3.092 €/m2</v>
      </c>
      <c r="C127" s="1" t="str">
        <f>IFERROR(__xludf.DUMMYFUNCTION("""COMPUTED_VALUE"""),"+ 0,2 %")</f>
        <v>+ 0,2 %</v>
      </c>
      <c r="D127" s="1" t="str">
        <f>IFERROR(__xludf.DUMMYFUNCTION("""COMPUTED_VALUE"""),"+ 0,3 %")</f>
        <v>+ 0,3 %</v>
      </c>
      <c r="E127" s="1" t="str">
        <f>IFERROR(__xludf.DUMMYFUNCTION("""COMPUTED_VALUE"""),"+ 3,0 %")</f>
        <v>+ 3,0 %</v>
      </c>
    </row>
    <row r="128">
      <c r="A128" s="2">
        <f>IFERROR(__xludf.DUMMYFUNCTION("""COMPUTED_VALUE"""),42339.0)</f>
        <v>42339</v>
      </c>
      <c r="B128" s="1" t="str">
        <f>IFERROR(__xludf.DUMMYFUNCTION("""COMPUTED_VALUE"""),"3.084 €/m2")</f>
        <v>3.084 €/m2</v>
      </c>
      <c r="C128" s="1" t="str">
        <f>IFERROR(__xludf.DUMMYFUNCTION("""COMPUTED_VALUE"""),"- 0,1 %")</f>
        <v>- 0,1 %</v>
      </c>
      <c r="D128" s="1" t="str">
        <f>IFERROR(__xludf.DUMMYFUNCTION("""COMPUTED_VALUE"""),"+ 0,3 %")</f>
        <v>+ 0,3 %</v>
      </c>
      <c r="E128" s="1" t="str">
        <f>IFERROR(__xludf.DUMMYFUNCTION("""COMPUTED_VALUE"""),"+ 1,8 %")</f>
        <v>+ 1,8 %</v>
      </c>
    </row>
    <row r="129">
      <c r="A129" s="2">
        <f>IFERROR(__xludf.DUMMYFUNCTION("""COMPUTED_VALUE"""),42309.0)</f>
        <v>42309</v>
      </c>
      <c r="B129" s="1" t="str">
        <f>IFERROR(__xludf.DUMMYFUNCTION("""COMPUTED_VALUE"""),"3.088 €/m2")</f>
        <v>3.088 €/m2</v>
      </c>
      <c r="C129" s="1" t="str">
        <f>IFERROR(__xludf.DUMMYFUNCTION("""COMPUTED_VALUE"""),"+ 0,2 %")</f>
        <v>+ 0,2 %</v>
      </c>
      <c r="D129" s="1" t="str">
        <f>IFERROR(__xludf.DUMMYFUNCTION("""COMPUTED_VALUE"""),"+ 0,7 %")</f>
        <v>+ 0,7 %</v>
      </c>
      <c r="E129" s="1" t="str">
        <f>IFERROR(__xludf.DUMMYFUNCTION("""COMPUTED_VALUE"""),"+ 1,6 %")</f>
        <v>+ 1,6 %</v>
      </c>
    </row>
    <row r="130">
      <c r="A130" s="2">
        <f>IFERROR(__xludf.DUMMYFUNCTION("""COMPUTED_VALUE"""),42278.0)</f>
        <v>42278</v>
      </c>
      <c r="B130" s="1" t="str">
        <f>IFERROR(__xludf.DUMMYFUNCTION("""COMPUTED_VALUE"""),"3.082 €/m2")</f>
        <v>3.082 €/m2</v>
      </c>
      <c r="C130" s="1" t="str">
        <f>IFERROR(__xludf.DUMMYFUNCTION("""COMPUTED_VALUE"""),"+ 0,3 %")</f>
        <v>+ 0,3 %</v>
      </c>
      <c r="D130" s="1" t="str">
        <f>IFERROR(__xludf.DUMMYFUNCTION("""COMPUTED_VALUE"""),"+ 0,3 %")</f>
        <v>+ 0,3 %</v>
      </c>
      <c r="E130" s="1" t="str">
        <f>IFERROR(__xludf.DUMMYFUNCTION("""COMPUTED_VALUE"""),"+ 1,5 %")</f>
        <v>+ 1,5 %</v>
      </c>
    </row>
    <row r="131">
      <c r="A131" s="2">
        <f>IFERROR(__xludf.DUMMYFUNCTION("""COMPUTED_VALUE"""),42248.0)</f>
        <v>42248</v>
      </c>
      <c r="B131" s="1" t="str">
        <f>IFERROR(__xludf.DUMMYFUNCTION("""COMPUTED_VALUE"""),"3.074 €/m2")</f>
        <v>3.074 €/m2</v>
      </c>
      <c r="C131" s="1" t="str">
        <f>IFERROR(__xludf.DUMMYFUNCTION("""COMPUTED_VALUE"""),"+ 0,3 %")</f>
        <v>+ 0,3 %</v>
      </c>
      <c r="D131" s="1" t="str">
        <f>IFERROR(__xludf.DUMMYFUNCTION("""COMPUTED_VALUE"""),"+ 0,5 %")</f>
        <v>+ 0,5 %</v>
      </c>
      <c r="E131" s="1" t="str">
        <f>IFERROR(__xludf.DUMMYFUNCTION("""COMPUTED_VALUE"""),"+ 1,9 %")</f>
        <v>+ 1,9 %</v>
      </c>
    </row>
    <row r="132">
      <c r="A132" s="2">
        <f>IFERROR(__xludf.DUMMYFUNCTION("""COMPUTED_VALUE"""),42217.0)</f>
        <v>42217</v>
      </c>
      <c r="B132" s="1" t="str">
        <f>IFERROR(__xludf.DUMMYFUNCTION("""COMPUTED_VALUE"""),"3.066 €/m2")</f>
        <v>3.066 €/m2</v>
      </c>
      <c r="C132" s="1" t="str">
        <f>IFERROR(__xludf.DUMMYFUNCTION("""COMPUTED_VALUE"""),"- 0,2 %")</f>
        <v>- 0,2 %</v>
      </c>
      <c r="D132" s="1" t="str">
        <f>IFERROR(__xludf.DUMMYFUNCTION("""COMPUTED_VALUE"""),"+ 0,6 %")</f>
        <v>+ 0,6 %</v>
      </c>
      <c r="E132" s="1" t="str">
        <f>IFERROR(__xludf.DUMMYFUNCTION("""COMPUTED_VALUE"""),"+ 1,8 %")</f>
        <v>+ 1,8 %</v>
      </c>
    </row>
    <row r="133">
      <c r="A133" s="2">
        <f>IFERROR(__xludf.DUMMYFUNCTION("""COMPUTED_VALUE"""),42186.0)</f>
        <v>42186</v>
      </c>
      <c r="B133" s="1" t="str">
        <f>IFERROR(__xludf.DUMMYFUNCTION("""COMPUTED_VALUE"""),"3.073 €/m2")</f>
        <v>3.073 €/m2</v>
      </c>
      <c r="C133" s="1" t="str">
        <f>IFERROR(__xludf.DUMMYFUNCTION("""COMPUTED_VALUE"""),"+ 0,4 %")</f>
        <v>+ 0,4 %</v>
      </c>
      <c r="D133" s="1" t="str">
        <f>IFERROR(__xludf.DUMMYFUNCTION("""COMPUTED_VALUE"""),"+ 2,0 %")</f>
        <v>+ 2,0 %</v>
      </c>
      <c r="E133" s="1" t="str">
        <f>IFERROR(__xludf.DUMMYFUNCTION("""COMPUTED_VALUE"""),"+ 1,5 %")</f>
        <v>+ 1,5 %</v>
      </c>
    </row>
    <row r="134">
      <c r="A134" s="2">
        <f>IFERROR(__xludf.DUMMYFUNCTION("""COMPUTED_VALUE"""),42156.0)</f>
        <v>42156</v>
      </c>
      <c r="B134" s="1" t="str">
        <f>IFERROR(__xludf.DUMMYFUNCTION("""COMPUTED_VALUE"""),"3.059 €/m2")</f>
        <v>3.059 €/m2</v>
      </c>
      <c r="C134" s="1" t="str">
        <f>IFERROR(__xludf.DUMMYFUNCTION("""COMPUTED_VALUE"""),"+ 0,4 %")</f>
        <v>+ 0,4 %</v>
      </c>
      <c r="D134" s="1" t="str">
        <f>IFERROR(__xludf.DUMMYFUNCTION("""COMPUTED_VALUE"""),"+ 1,5 %")</f>
        <v>+ 1,5 %</v>
      </c>
      <c r="E134" s="1" t="str">
        <f>IFERROR(__xludf.DUMMYFUNCTION("""COMPUTED_VALUE"""),"+ 1,1 %")</f>
        <v>+ 1,1 %</v>
      </c>
    </row>
    <row r="135">
      <c r="A135" s="2">
        <f>IFERROR(__xludf.DUMMYFUNCTION("""COMPUTED_VALUE"""),42125.0)</f>
        <v>42125</v>
      </c>
      <c r="B135" s="1" t="str">
        <f>IFERROR(__xludf.DUMMYFUNCTION("""COMPUTED_VALUE"""),"3.047 €/m2")</f>
        <v>3.047 €/m2</v>
      </c>
      <c r="C135" s="1" t="str">
        <f>IFERROR(__xludf.DUMMYFUNCTION("""COMPUTED_VALUE"""),"+ 1,1 %")</f>
        <v>+ 1,1 %</v>
      </c>
      <c r="D135" s="1" t="str">
        <f>IFERROR(__xludf.DUMMYFUNCTION("""COMPUTED_VALUE"""),"+ 1,9 %")</f>
        <v>+ 1,9 %</v>
      </c>
      <c r="E135" s="1" t="str">
        <f>IFERROR(__xludf.DUMMYFUNCTION("""COMPUTED_VALUE"""),"+ 0,6 %")</f>
        <v>+ 0,6 %</v>
      </c>
    </row>
    <row r="136">
      <c r="A136" s="2">
        <f>IFERROR(__xludf.DUMMYFUNCTION("""COMPUTED_VALUE"""),42095.0)</f>
        <v>42095</v>
      </c>
      <c r="B136" s="1" t="str">
        <f>IFERROR(__xludf.DUMMYFUNCTION("""COMPUTED_VALUE"""),"3.013 €/m2")</f>
        <v>3.013 €/m2</v>
      </c>
      <c r="C136" s="1" t="str">
        <f>IFERROR(__xludf.DUMMYFUNCTION("""COMPUTED_VALUE"""),"0,0 %")</f>
        <v>0,0 %</v>
      </c>
      <c r="D136" s="1" t="str">
        <f>IFERROR(__xludf.DUMMYFUNCTION("""COMPUTED_VALUE"""),"+ 0,4 %")</f>
        <v>+ 0,4 %</v>
      </c>
      <c r="E136" s="1" t="str">
        <f>IFERROR(__xludf.DUMMYFUNCTION("""COMPUTED_VALUE"""),"- 1,0 %")</f>
        <v>- 1,0 %</v>
      </c>
    </row>
    <row r="137">
      <c r="A137" s="2">
        <f>IFERROR(__xludf.DUMMYFUNCTION("""COMPUTED_VALUE"""),42064.0)</f>
        <v>42064</v>
      </c>
      <c r="B137" s="1" t="str">
        <f>IFERROR(__xludf.DUMMYFUNCTION("""COMPUTED_VALUE"""),"3.013 €/m2")</f>
        <v>3.013 €/m2</v>
      </c>
      <c r="C137" s="1" t="str">
        <f>IFERROR(__xludf.DUMMYFUNCTION("""COMPUTED_VALUE"""),"+ 0,7 %")</f>
        <v>+ 0,7 %</v>
      </c>
      <c r="D137" s="1" t="str">
        <f>IFERROR(__xludf.DUMMYFUNCTION("""COMPUTED_VALUE"""),"- 0,5 %")</f>
        <v>- 0,5 %</v>
      </c>
      <c r="E137" s="1" t="str">
        <f>IFERROR(__xludf.DUMMYFUNCTION("""COMPUTED_VALUE"""),"- 0,8 %")</f>
        <v>- 0,8 %</v>
      </c>
    </row>
    <row r="138">
      <c r="A138" s="2">
        <f>IFERROR(__xludf.DUMMYFUNCTION("""COMPUTED_VALUE"""),42036.0)</f>
        <v>42036</v>
      </c>
      <c r="B138" s="1" t="str">
        <f>IFERROR(__xludf.DUMMYFUNCTION("""COMPUTED_VALUE"""),"2.991 €/m2")</f>
        <v>2.991 €/m2</v>
      </c>
      <c r="C138" s="1" t="str">
        <f>IFERROR(__xludf.DUMMYFUNCTION("""COMPUTED_VALUE"""),"- 0,3 %")</f>
        <v>- 0,3 %</v>
      </c>
      <c r="D138" s="1" t="str">
        <f>IFERROR(__xludf.DUMMYFUNCTION("""COMPUTED_VALUE"""),"- 1,6 %")</f>
        <v>- 1,6 %</v>
      </c>
      <c r="E138" s="1" t="str">
        <f>IFERROR(__xludf.DUMMYFUNCTION("""COMPUTED_VALUE"""),"- 1,6 %")</f>
        <v>- 1,6 %</v>
      </c>
    </row>
    <row r="139">
      <c r="A139" s="2">
        <f>IFERROR(__xludf.DUMMYFUNCTION("""COMPUTED_VALUE"""),42005.0)</f>
        <v>42005</v>
      </c>
      <c r="B139" s="1" t="str">
        <f>IFERROR(__xludf.DUMMYFUNCTION("""COMPUTED_VALUE"""),"3.001 €/m2")</f>
        <v>3.001 €/m2</v>
      </c>
      <c r="C139" s="1" t="str">
        <f>IFERROR(__xludf.DUMMYFUNCTION("""COMPUTED_VALUE"""),"- 0,9 %")</f>
        <v>- 0,9 %</v>
      </c>
      <c r="D139" s="1" t="str">
        <f>IFERROR(__xludf.DUMMYFUNCTION("""COMPUTED_VALUE"""),"- 1,1 %")</f>
        <v>- 1,1 %</v>
      </c>
      <c r="E139" s="1" t="str">
        <f>IFERROR(__xludf.DUMMYFUNCTION("""COMPUTED_VALUE"""),"- 1,7 %")</f>
        <v>- 1,7 %</v>
      </c>
    </row>
    <row r="140">
      <c r="A140" s="2">
        <f>IFERROR(__xludf.DUMMYFUNCTION("""COMPUTED_VALUE"""),41974.0)</f>
        <v>41974</v>
      </c>
      <c r="B140" s="1" t="str">
        <f>IFERROR(__xludf.DUMMYFUNCTION("""COMPUTED_VALUE"""),"3.030 €/m2")</f>
        <v>3.030 €/m2</v>
      </c>
      <c r="C140" s="1" t="str">
        <f>IFERROR(__xludf.DUMMYFUNCTION("""COMPUTED_VALUE"""),"- 0,3 %")</f>
        <v>- 0,3 %</v>
      </c>
      <c r="D140" s="1" t="str">
        <f>IFERROR(__xludf.DUMMYFUNCTION("""COMPUTED_VALUE"""),"+ 0,5 %")</f>
        <v>+ 0,5 %</v>
      </c>
      <c r="E140" s="1" t="str">
        <f>IFERROR(__xludf.DUMMYFUNCTION("""COMPUTED_VALUE"""),"- 1,0 %")</f>
        <v>- 1,0 %</v>
      </c>
    </row>
    <row r="141">
      <c r="A141" s="2">
        <f>IFERROR(__xludf.DUMMYFUNCTION("""COMPUTED_VALUE"""),41944.0)</f>
        <v>41944</v>
      </c>
      <c r="B141" s="1" t="str">
        <f>IFERROR(__xludf.DUMMYFUNCTION("""COMPUTED_VALUE"""),"3.040 €/m2")</f>
        <v>3.040 €/m2</v>
      </c>
      <c r="C141" s="1" t="str">
        <f>IFERROR(__xludf.DUMMYFUNCTION("""COMPUTED_VALUE"""),"+ 0,2 %")</f>
        <v>+ 0,2 %</v>
      </c>
      <c r="D141" s="1" t="str">
        <f>IFERROR(__xludf.DUMMYFUNCTION("""COMPUTED_VALUE"""),"+ 1,0 %")</f>
        <v>+ 1,0 %</v>
      </c>
      <c r="E141" s="1" t="str">
        <f>IFERROR(__xludf.DUMMYFUNCTION("""COMPUTED_VALUE"""),"- 1,3 %")</f>
        <v>- 1,3 %</v>
      </c>
    </row>
    <row r="142">
      <c r="A142" s="2">
        <f>IFERROR(__xludf.DUMMYFUNCTION("""COMPUTED_VALUE"""),41913.0)</f>
        <v>41913</v>
      </c>
      <c r="B142" s="1" t="str">
        <f>IFERROR(__xludf.DUMMYFUNCTION("""COMPUTED_VALUE"""),"3.035 €/m2")</f>
        <v>3.035 €/m2</v>
      </c>
      <c r="C142" s="1" t="str">
        <f>IFERROR(__xludf.DUMMYFUNCTION("""COMPUTED_VALUE"""),"+ 0,6 %")</f>
        <v>+ 0,6 %</v>
      </c>
      <c r="D142" s="1" t="str">
        <f>IFERROR(__xludf.DUMMYFUNCTION("""COMPUTED_VALUE"""),"+ 0,2 %")</f>
        <v>+ 0,2 %</v>
      </c>
      <c r="E142" s="1" t="str">
        <f>IFERROR(__xludf.DUMMYFUNCTION("""COMPUTED_VALUE"""),"- 1,5 %")</f>
        <v>- 1,5 %</v>
      </c>
    </row>
    <row r="143">
      <c r="A143" s="2">
        <f>IFERROR(__xludf.DUMMYFUNCTION("""COMPUTED_VALUE"""),41883.0)</f>
        <v>41883</v>
      </c>
      <c r="B143" s="1" t="str">
        <f>IFERROR(__xludf.DUMMYFUNCTION("""COMPUTED_VALUE"""),"3.015 €/m2")</f>
        <v>3.015 €/m2</v>
      </c>
      <c r="C143" s="1" t="str">
        <f>IFERROR(__xludf.DUMMYFUNCTION("""COMPUTED_VALUE"""),"+ 0,1 %")</f>
        <v>+ 0,1 %</v>
      </c>
      <c r="D143" s="1" t="str">
        <f>IFERROR(__xludf.DUMMYFUNCTION("""COMPUTED_VALUE"""),"- 0,3 %")</f>
        <v>- 0,3 %</v>
      </c>
      <c r="E143" s="1" t="str">
        <f>IFERROR(__xludf.DUMMYFUNCTION("""COMPUTED_VALUE"""),"- 1,9 %")</f>
        <v>- 1,9 %</v>
      </c>
    </row>
    <row r="144">
      <c r="A144" s="2">
        <f>IFERROR(__xludf.DUMMYFUNCTION("""COMPUTED_VALUE"""),41852.0)</f>
        <v>41852</v>
      </c>
      <c r="B144" s="1" t="str">
        <f>IFERROR(__xludf.DUMMYFUNCTION("""COMPUTED_VALUE"""),"3.011 €/m2")</f>
        <v>3.011 €/m2</v>
      </c>
      <c r="C144" s="1" t="str">
        <f>IFERROR(__xludf.DUMMYFUNCTION("""COMPUTED_VALUE"""),"- 0,6 %")</f>
        <v>- 0,6 %</v>
      </c>
      <c r="D144" s="1" t="str">
        <f>IFERROR(__xludf.DUMMYFUNCTION("""COMPUTED_VALUE"""),"- 0,6 %")</f>
        <v>- 0,6 %</v>
      </c>
      <c r="E144" s="1" t="str">
        <f>IFERROR(__xludf.DUMMYFUNCTION("""COMPUTED_VALUE"""),"- 1,4 %")</f>
        <v>- 1,4 %</v>
      </c>
    </row>
    <row r="145">
      <c r="A145" s="2">
        <f>IFERROR(__xludf.DUMMYFUNCTION("""COMPUTED_VALUE"""),41821.0)</f>
        <v>41821</v>
      </c>
      <c r="B145" s="1" t="str">
        <f>IFERROR(__xludf.DUMMYFUNCTION("""COMPUTED_VALUE"""),"3.029 €/m2")</f>
        <v>3.029 €/m2</v>
      </c>
      <c r="C145" s="1" t="str">
        <f>IFERROR(__xludf.DUMMYFUNCTION("""COMPUTED_VALUE"""),"+ 0,1 %")</f>
        <v>+ 0,1 %</v>
      </c>
      <c r="D145" s="1" t="str">
        <f>IFERROR(__xludf.DUMMYFUNCTION("""COMPUTED_VALUE"""),"- 0,4 %")</f>
        <v>- 0,4 %</v>
      </c>
      <c r="E145" s="1" t="str">
        <f>IFERROR(__xludf.DUMMYFUNCTION("""COMPUTED_VALUE"""),"- 1,2 %")</f>
        <v>- 1,2 %</v>
      </c>
    </row>
    <row r="146">
      <c r="A146" s="2">
        <f>IFERROR(__xludf.DUMMYFUNCTION("""COMPUTED_VALUE"""),41791.0)</f>
        <v>41791</v>
      </c>
      <c r="B146" s="1" t="str">
        <f>IFERROR(__xludf.DUMMYFUNCTION("""COMPUTED_VALUE"""),"3.025 €/m2")</f>
        <v>3.025 €/m2</v>
      </c>
      <c r="C146" s="1" t="str">
        <f>IFERROR(__xludf.DUMMYFUNCTION("""COMPUTED_VALUE"""),"- 0,2 %")</f>
        <v>- 0,2 %</v>
      </c>
      <c r="D146" s="1" t="str">
        <f>IFERROR(__xludf.DUMMYFUNCTION("""COMPUTED_VALUE"""),"- 0,5 %")</f>
        <v>- 0,5 %</v>
      </c>
      <c r="E146" s="1" t="str">
        <f>IFERROR(__xludf.DUMMYFUNCTION("""COMPUTED_VALUE"""),"- 1,8 %")</f>
        <v>- 1,8 %</v>
      </c>
    </row>
    <row r="147">
      <c r="A147" s="2">
        <f>IFERROR(__xludf.DUMMYFUNCTION("""COMPUTED_VALUE"""),41760.0)</f>
        <v>41760</v>
      </c>
      <c r="B147" s="1" t="str">
        <f>IFERROR(__xludf.DUMMYFUNCTION("""COMPUTED_VALUE"""),"3.030 €/m2")</f>
        <v>3.030 €/m2</v>
      </c>
      <c r="C147" s="1" t="str">
        <f>IFERROR(__xludf.DUMMYFUNCTION("""COMPUTED_VALUE"""),"- 0,4 %")</f>
        <v>- 0,4 %</v>
      </c>
      <c r="D147" s="1" t="str">
        <f>IFERROR(__xludf.DUMMYFUNCTION("""COMPUTED_VALUE"""),"- 0,4 %")</f>
        <v>- 0,4 %</v>
      </c>
      <c r="E147" s="1" t="str">
        <f>IFERROR(__xludf.DUMMYFUNCTION("""COMPUTED_VALUE"""),"- 2,0 %")</f>
        <v>- 2,0 %</v>
      </c>
    </row>
    <row r="148">
      <c r="A148" s="2">
        <f>IFERROR(__xludf.DUMMYFUNCTION("""COMPUTED_VALUE"""),41730.0)</f>
        <v>41730</v>
      </c>
      <c r="B148" s="1" t="str">
        <f>IFERROR(__xludf.DUMMYFUNCTION("""COMPUTED_VALUE"""),"3.042 €/m2")</f>
        <v>3.042 €/m2</v>
      </c>
      <c r="C148" s="1" t="str">
        <f>IFERROR(__xludf.DUMMYFUNCTION("""COMPUTED_VALUE"""),"+ 0,1 %")</f>
        <v>+ 0,1 %</v>
      </c>
      <c r="D148" s="1" t="str">
        <f>IFERROR(__xludf.DUMMYFUNCTION("""COMPUTED_VALUE"""),"- 0,4 %")</f>
        <v>- 0,4 %</v>
      </c>
      <c r="E148" s="1" t="str">
        <f>IFERROR(__xludf.DUMMYFUNCTION("""COMPUTED_VALUE"""),"- 2,0 %")</f>
        <v>- 2,0 %</v>
      </c>
    </row>
    <row r="149">
      <c r="A149" s="2">
        <f>IFERROR(__xludf.DUMMYFUNCTION("""COMPUTED_VALUE"""),41699.0)</f>
        <v>41699</v>
      </c>
      <c r="B149" s="1" t="str">
        <f>IFERROR(__xludf.DUMMYFUNCTION("""COMPUTED_VALUE"""),"3.038 €/m2")</f>
        <v>3.038 €/m2</v>
      </c>
      <c r="C149" s="1" t="str">
        <f>IFERROR(__xludf.DUMMYFUNCTION("""COMPUTED_VALUE"""),"- 0,1 %")</f>
        <v>- 0,1 %</v>
      </c>
      <c r="D149" s="1" t="str">
        <f>IFERROR(__xludf.DUMMYFUNCTION("""COMPUTED_VALUE"""),"- 0,8 %")</f>
        <v>- 0,8 %</v>
      </c>
      <c r="E149" s="1" t="str">
        <f>IFERROR(__xludf.DUMMYFUNCTION("""COMPUTED_VALUE"""),"- 3,5 %")</f>
        <v>- 3,5 %</v>
      </c>
    </row>
    <row r="150">
      <c r="A150" s="2">
        <f>IFERROR(__xludf.DUMMYFUNCTION("""COMPUTED_VALUE"""),41671.0)</f>
        <v>41671</v>
      </c>
      <c r="B150" s="1" t="str">
        <f>IFERROR(__xludf.DUMMYFUNCTION("""COMPUTED_VALUE"""),"3.041 €/m2")</f>
        <v>3.041 €/m2</v>
      </c>
      <c r="C150" s="1" t="str">
        <f>IFERROR(__xludf.DUMMYFUNCTION("""COMPUTED_VALUE"""),"- 0,4 %")</f>
        <v>- 0,4 %</v>
      </c>
      <c r="D150" s="1" t="str">
        <f>IFERROR(__xludf.DUMMYFUNCTION("""COMPUTED_VALUE"""),"- 1,3 %")</f>
        <v>- 1,3 %</v>
      </c>
      <c r="E150" s="1" t="str">
        <f>IFERROR(__xludf.DUMMYFUNCTION("""COMPUTED_VALUE"""),"- 4,4 %")</f>
        <v>- 4,4 %</v>
      </c>
    </row>
    <row r="151">
      <c r="A151" s="2">
        <f>IFERROR(__xludf.DUMMYFUNCTION("""COMPUTED_VALUE"""),41640.0)</f>
        <v>41640</v>
      </c>
      <c r="B151" s="1" t="str">
        <f>IFERROR(__xludf.DUMMYFUNCTION("""COMPUTED_VALUE"""),"3.053 €/m2")</f>
        <v>3.053 €/m2</v>
      </c>
      <c r="C151" s="1" t="str">
        <f>IFERROR(__xludf.DUMMYFUNCTION("""COMPUTED_VALUE"""),"- 0,3 %")</f>
        <v>- 0,3 %</v>
      </c>
      <c r="D151" s="1" t="str">
        <f>IFERROR(__xludf.DUMMYFUNCTION("""COMPUTED_VALUE"""),"- 0,9 %")</f>
        <v>- 0,9 %</v>
      </c>
      <c r="E151" s="1" t="str">
        <f>IFERROR(__xludf.DUMMYFUNCTION("""COMPUTED_VALUE"""),"- 3,8 %")</f>
        <v>- 3,8 %</v>
      </c>
    </row>
    <row r="152">
      <c r="A152" s="2">
        <f>IFERROR(__xludf.DUMMYFUNCTION("""COMPUTED_VALUE"""),41609.0)</f>
        <v>41609</v>
      </c>
      <c r="B152" s="1" t="str">
        <f>IFERROR(__xludf.DUMMYFUNCTION("""COMPUTED_VALUE"""),"3.061 €/m2")</f>
        <v>3.061 €/m2</v>
      </c>
      <c r="C152" s="1" t="str">
        <f>IFERROR(__xludf.DUMMYFUNCTION("""COMPUTED_VALUE"""),"- 0,7 %")</f>
        <v>- 0,7 %</v>
      </c>
      <c r="D152" s="1" t="str">
        <f>IFERROR(__xludf.DUMMYFUNCTION("""COMPUTED_VALUE"""),"- 0,4 %")</f>
        <v>- 0,4 %</v>
      </c>
      <c r="E152" s="1" t="str">
        <f>IFERROR(__xludf.DUMMYFUNCTION("""COMPUTED_VALUE"""),"- 3,9 %")</f>
        <v>- 3,9 %</v>
      </c>
    </row>
    <row r="153">
      <c r="A153" s="2">
        <f>IFERROR(__xludf.DUMMYFUNCTION("""COMPUTED_VALUE"""),41579.0)</f>
        <v>41579</v>
      </c>
      <c r="B153" s="1" t="str">
        <f>IFERROR(__xludf.DUMMYFUNCTION("""COMPUTED_VALUE"""),"3.082 €/m2")</f>
        <v>3.082 €/m2</v>
      </c>
      <c r="C153" s="1" t="str">
        <f>IFERROR(__xludf.DUMMYFUNCTION("""COMPUTED_VALUE"""),"+ 0,1 %")</f>
        <v>+ 0,1 %</v>
      </c>
      <c r="D153" s="1" t="str">
        <f>IFERROR(__xludf.DUMMYFUNCTION("""COMPUTED_VALUE"""),"+ 0,9 %")</f>
        <v>+ 0,9 %</v>
      </c>
      <c r="E153" s="1" t="str">
        <f>IFERROR(__xludf.DUMMYFUNCTION("""COMPUTED_VALUE"""),"- 4,7 %")</f>
        <v>- 4,7 %</v>
      </c>
    </row>
    <row r="154">
      <c r="A154" s="2">
        <f>IFERROR(__xludf.DUMMYFUNCTION("""COMPUTED_VALUE"""),41548.0)</f>
        <v>41548</v>
      </c>
      <c r="B154" s="1" t="str">
        <f>IFERROR(__xludf.DUMMYFUNCTION("""COMPUTED_VALUE"""),"3.080 €/m2")</f>
        <v>3.080 €/m2</v>
      </c>
      <c r="C154" s="1" t="str">
        <f>IFERROR(__xludf.DUMMYFUNCTION("""COMPUTED_VALUE"""),"+ 0,3 %")</f>
        <v>+ 0,3 %</v>
      </c>
      <c r="D154" s="1" t="str">
        <f>IFERROR(__xludf.DUMMYFUNCTION("""COMPUTED_VALUE"""),"+ 0,5 %")</f>
        <v>+ 0,5 %</v>
      </c>
      <c r="E154" s="1" t="str">
        <f>IFERROR(__xludf.DUMMYFUNCTION("""COMPUTED_VALUE"""),"- 6,8 %")</f>
        <v>- 6,8 %</v>
      </c>
    </row>
    <row r="155">
      <c r="A155" s="2">
        <f>IFERROR(__xludf.DUMMYFUNCTION("""COMPUTED_VALUE"""),41518.0)</f>
        <v>41518</v>
      </c>
      <c r="B155" s="1" t="str">
        <f>IFERROR(__xludf.DUMMYFUNCTION("""COMPUTED_VALUE"""),"3.072 €/m2")</f>
        <v>3.072 €/m2</v>
      </c>
      <c r="C155" s="1" t="str">
        <f>IFERROR(__xludf.DUMMYFUNCTION("""COMPUTED_VALUE"""),"+ 0,6 %")</f>
        <v>+ 0,6 %</v>
      </c>
      <c r="D155" s="1" t="str">
        <f>IFERROR(__xludf.DUMMYFUNCTION("""COMPUTED_VALUE"""),"- 0,2 %")</f>
        <v>- 0,2 %</v>
      </c>
      <c r="E155" s="1" t="str">
        <f>IFERROR(__xludf.DUMMYFUNCTION("""COMPUTED_VALUE"""),"- 7,0 %")</f>
        <v>- 7,0 %</v>
      </c>
    </row>
    <row r="156">
      <c r="A156" s="2">
        <f>IFERROR(__xludf.DUMMYFUNCTION("""COMPUTED_VALUE"""),41487.0)</f>
        <v>41487</v>
      </c>
      <c r="B156" s="1" t="str">
        <f>IFERROR(__xludf.DUMMYFUNCTION("""COMPUTED_VALUE"""),"3.055 €/m2")</f>
        <v>3.055 €/m2</v>
      </c>
      <c r="C156" s="1" t="str">
        <f>IFERROR(__xludf.DUMMYFUNCTION("""COMPUTED_VALUE"""),"- 0,4 %")</f>
        <v>- 0,4 %</v>
      </c>
      <c r="D156" s="1" t="str">
        <f>IFERROR(__xludf.DUMMYFUNCTION("""COMPUTED_VALUE"""),"- 1,2 %")</f>
        <v>- 1,2 %</v>
      </c>
      <c r="E156" s="1" t="str">
        <f>IFERROR(__xludf.DUMMYFUNCTION("""COMPUTED_VALUE"""),"- 7,8 %")</f>
        <v>- 7,8 %</v>
      </c>
    </row>
    <row r="157">
      <c r="A157" s="2">
        <f>IFERROR(__xludf.DUMMYFUNCTION("""COMPUTED_VALUE"""),41456.0)</f>
        <v>41456</v>
      </c>
      <c r="B157" s="1" t="str">
        <f>IFERROR(__xludf.DUMMYFUNCTION("""COMPUTED_VALUE"""),"3.066 €/m2")</f>
        <v>3.066 €/m2</v>
      </c>
      <c r="C157" s="1" t="str">
        <f>IFERROR(__xludf.DUMMYFUNCTION("""COMPUTED_VALUE"""),"- 0,4 %")</f>
        <v>- 0,4 %</v>
      </c>
      <c r="D157" s="1" t="str">
        <f>IFERROR(__xludf.DUMMYFUNCTION("""COMPUTED_VALUE"""),"- 1,2 %")</f>
        <v>- 1,2 %</v>
      </c>
      <c r="E157" s="1" t="str">
        <f>IFERROR(__xludf.DUMMYFUNCTION("""COMPUTED_VALUE"""),"- 8,2 %")</f>
        <v>- 8,2 %</v>
      </c>
    </row>
    <row r="158">
      <c r="A158" s="2">
        <f>IFERROR(__xludf.DUMMYFUNCTION("""COMPUTED_VALUE"""),41426.0)</f>
        <v>41426</v>
      </c>
      <c r="B158" s="1" t="str">
        <f>IFERROR(__xludf.DUMMYFUNCTION("""COMPUTED_VALUE"""),"3.079 €/m2")</f>
        <v>3.079 €/m2</v>
      </c>
      <c r="C158" s="1" t="str">
        <f>IFERROR(__xludf.DUMMYFUNCTION("""COMPUTED_VALUE"""),"- 0,4 %")</f>
        <v>- 0,4 %</v>
      </c>
      <c r="D158" s="1" t="str">
        <f>IFERROR(__xludf.DUMMYFUNCTION("""COMPUTED_VALUE"""),"- 2,3 %")</f>
        <v>- 2,3 %</v>
      </c>
      <c r="E158" s="1" t="str">
        <f>IFERROR(__xludf.DUMMYFUNCTION("""COMPUTED_VALUE"""),"- 7,8 %")</f>
        <v>- 7,8 %</v>
      </c>
    </row>
    <row r="159">
      <c r="A159" s="2">
        <f>IFERROR(__xludf.DUMMYFUNCTION("""COMPUTED_VALUE"""),41395.0)</f>
        <v>41395</v>
      </c>
      <c r="B159" s="1" t="str">
        <f>IFERROR(__xludf.DUMMYFUNCTION("""COMPUTED_VALUE"""),"3.091 €/m2")</f>
        <v>3.091 €/m2</v>
      </c>
      <c r="C159" s="1" t="str">
        <f>IFERROR(__xludf.DUMMYFUNCTION("""COMPUTED_VALUE"""),"- 0,4 %")</f>
        <v>- 0,4 %</v>
      </c>
      <c r="D159" s="1" t="str">
        <f>IFERROR(__xludf.DUMMYFUNCTION("""COMPUTED_VALUE"""),"- 2,9 %")</f>
        <v>- 2,9 %</v>
      </c>
      <c r="E159" s="1" t="str">
        <f>IFERROR(__xludf.DUMMYFUNCTION("""COMPUTED_VALUE"""),"- 7,4 %")</f>
        <v>- 7,4 %</v>
      </c>
    </row>
    <row r="160">
      <c r="A160" s="2">
        <f>IFERROR(__xludf.DUMMYFUNCTION("""COMPUTED_VALUE"""),41365.0)</f>
        <v>41365</v>
      </c>
      <c r="B160" s="1" t="str">
        <f>IFERROR(__xludf.DUMMYFUNCTION("""COMPUTED_VALUE"""),"3.102 €/m2")</f>
        <v>3.102 €/m2</v>
      </c>
      <c r="C160" s="1" t="str">
        <f>IFERROR(__xludf.DUMMYFUNCTION("""COMPUTED_VALUE"""),"- 1,5 %")</f>
        <v>- 1,5 %</v>
      </c>
      <c r="D160" s="1" t="str">
        <f>IFERROR(__xludf.DUMMYFUNCTION("""COMPUTED_VALUE"""),"- 2,2 %")</f>
        <v>- 2,2 %</v>
      </c>
      <c r="E160" s="1" t="str">
        <f>IFERROR(__xludf.DUMMYFUNCTION("""COMPUTED_VALUE"""),"- 9,1 %")</f>
        <v>- 9,1 %</v>
      </c>
    </row>
    <row r="161">
      <c r="A161" s="2">
        <f>IFERROR(__xludf.DUMMYFUNCTION("""COMPUTED_VALUE"""),41334.0)</f>
        <v>41334</v>
      </c>
      <c r="B161" s="1" t="str">
        <f>IFERROR(__xludf.DUMMYFUNCTION("""COMPUTED_VALUE"""),"3.150 €/m2")</f>
        <v>3.150 €/m2</v>
      </c>
      <c r="C161" s="1" t="str">
        <f>IFERROR(__xludf.DUMMYFUNCTION("""COMPUTED_VALUE"""),"- 1,0 %")</f>
        <v>- 1,0 %</v>
      </c>
      <c r="D161" s="1" t="str">
        <f>IFERROR(__xludf.DUMMYFUNCTION("""COMPUTED_VALUE"""),"- 1,2 %")</f>
        <v>- 1,2 %</v>
      </c>
      <c r="E161" s="1" t="str">
        <f>IFERROR(__xludf.DUMMYFUNCTION("""COMPUTED_VALUE"""),"- 8,3 %")</f>
        <v>- 8,3 %</v>
      </c>
    </row>
    <row r="162">
      <c r="A162" s="2">
        <f>IFERROR(__xludf.DUMMYFUNCTION("""COMPUTED_VALUE"""),41306.0)</f>
        <v>41306</v>
      </c>
      <c r="B162" s="1" t="str">
        <f>IFERROR(__xludf.DUMMYFUNCTION("""COMPUTED_VALUE"""),"3.182 €/m2")</f>
        <v>3.182 €/m2</v>
      </c>
      <c r="C162" s="1" t="str">
        <f>IFERROR(__xludf.DUMMYFUNCTION("""COMPUTED_VALUE"""),"+ 0,3 %")</f>
        <v>+ 0,3 %</v>
      </c>
      <c r="D162" s="1" t="str">
        <f>IFERROR(__xludf.DUMMYFUNCTION("""COMPUTED_VALUE"""),"- 1,6 %")</f>
        <v>- 1,6 %</v>
      </c>
      <c r="E162" s="1" t="str">
        <f>IFERROR(__xludf.DUMMYFUNCTION("""COMPUTED_VALUE"""),"- 7,6 %")</f>
        <v>- 7,6 %</v>
      </c>
    </row>
    <row r="163">
      <c r="A163" s="2">
        <f>IFERROR(__xludf.DUMMYFUNCTION("""COMPUTED_VALUE"""),41275.0)</f>
        <v>41275</v>
      </c>
      <c r="B163" s="1" t="str">
        <f>IFERROR(__xludf.DUMMYFUNCTION("""COMPUTED_VALUE"""),"3.173 €/m2")</f>
        <v>3.173 €/m2</v>
      </c>
      <c r="C163" s="1" t="str">
        <f>IFERROR(__xludf.DUMMYFUNCTION("""COMPUTED_VALUE"""),"- 0,4 %")</f>
        <v>- 0,4 %</v>
      </c>
      <c r="D163" s="1" t="str">
        <f>IFERROR(__xludf.DUMMYFUNCTION("""COMPUTED_VALUE"""),"- 4,0 %")</f>
        <v>- 4,0 %</v>
      </c>
      <c r="E163" s="1" t="str">
        <f>IFERROR(__xludf.DUMMYFUNCTION("""COMPUTED_VALUE"""),"- 8,8 %")</f>
        <v>- 8,8 %</v>
      </c>
    </row>
    <row r="164">
      <c r="A164" s="2">
        <f>IFERROR(__xludf.DUMMYFUNCTION("""COMPUTED_VALUE"""),41244.0)</f>
        <v>41244</v>
      </c>
      <c r="B164" s="1" t="str">
        <f>IFERROR(__xludf.DUMMYFUNCTION("""COMPUTED_VALUE"""),"3.187 €/m2")</f>
        <v>3.187 €/m2</v>
      </c>
      <c r="C164" s="1" t="str">
        <f>IFERROR(__xludf.DUMMYFUNCTION("""COMPUTED_VALUE"""),"- 1,5 %")</f>
        <v>- 1,5 %</v>
      </c>
      <c r="D164" s="1" t="str">
        <f>IFERROR(__xludf.DUMMYFUNCTION("""COMPUTED_VALUE"""),"- 3,5 %")</f>
        <v>- 3,5 %</v>
      </c>
      <c r="E164" s="1" t="str">
        <f>IFERROR(__xludf.DUMMYFUNCTION("""COMPUTED_VALUE"""),"- 8,6 %")</f>
        <v>- 8,6 %</v>
      </c>
    </row>
    <row r="165">
      <c r="A165" s="2">
        <f>IFERROR(__xludf.DUMMYFUNCTION("""COMPUTED_VALUE"""),41214.0)</f>
        <v>41214</v>
      </c>
      <c r="B165" s="1" t="str">
        <f>IFERROR(__xludf.DUMMYFUNCTION("""COMPUTED_VALUE"""),"3.234 €/m2")</f>
        <v>3.234 €/m2</v>
      </c>
      <c r="C165" s="1" t="str">
        <f>IFERROR(__xludf.DUMMYFUNCTION("""COMPUTED_VALUE"""),"- 2,1 %")</f>
        <v>- 2,1 %</v>
      </c>
      <c r="D165" s="1" t="str">
        <f>IFERROR(__xludf.DUMMYFUNCTION("""COMPUTED_VALUE"""),"- 2,3 %")</f>
        <v>- 2,3 %</v>
      </c>
      <c r="E165" s="1" t="str">
        <f>IFERROR(__xludf.DUMMYFUNCTION("""COMPUTED_VALUE"""),"- 8,7 %")</f>
        <v>- 8,7 %</v>
      </c>
    </row>
    <row r="166">
      <c r="A166" s="2">
        <f>IFERROR(__xludf.DUMMYFUNCTION("""COMPUTED_VALUE"""),41183.0)</f>
        <v>41183</v>
      </c>
      <c r="B166" s="1" t="str">
        <f>IFERROR(__xludf.DUMMYFUNCTION("""COMPUTED_VALUE"""),"3.304 €/m2")</f>
        <v>3.304 €/m2</v>
      </c>
      <c r="C166" s="1" t="str">
        <f>IFERROR(__xludf.DUMMYFUNCTION("""COMPUTED_VALUE"""),"+ 0,1 %")</f>
        <v>+ 0,1 %</v>
      </c>
      <c r="D166" s="1" t="str">
        <f>IFERROR(__xludf.DUMMYFUNCTION("""COMPUTED_VALUE"""),"- 1,1 %")</f>
        <v>- 1,1 %</v>
      </c>
      <c r="E166" s="1" t="str">
        <f>IFERROR(__xludf.DUMMYFUNCTION("""COMPUTED_VALUE"""),"- 6,6 %")</f>
        <v>- 6,6 %</v>
      </c>
    </row>
    <row r="167">
      <c r="A167" s="2">
        <f>IFERROR(__xludf.DUMMYFUNCTION("""COMPUTED_VALUE"""),41153.0)</f>
        <v>41153</v>
      </c>
      <c r="B167" s="1" t="str">
        <f>IFERROR(__xludf.DUMMYFUNCTION("""COMPUTED_VALUE"""),"3.302 €/m2")</f>
        <v>3.302 €/m2</v>
      </c>
      <c r="C167" s="1" t="str">
        <f>IFERROR(__xludf.DUMMYFUNCTION("""COMPUTED_VALUE"""),"- 0,3 %")</f>
        <v>- 0,3 %</v>
      </c>
      <c r="D167" s="1" t="str">
        <f>IFERROR(__xludf.DUMMYFUNCTION("""COMPUTED_VALUE"""),"- 1,1 %")</f>
        <v>- 1,1 %</v>
      </c>
      <c r="E167" s="1" t="str">
        <f>IFERROR(__xludf.DUMMYFUNCTION("""COMPUTED_VALUE"""),"- 6,9 %")</f>
        <v>- 6,9 %</v>
      </c>
    </row>
    <row r="168">
      <c r="A168" s="2">
        <f>IFERROR(__xludf.DUMMYFUNCTION("""COMPUTED_VALUE"""),41122.0)</f>
        <v>41122</v>
      </c>
      <c r="B168" s="1" t="str">
        <f>IFERROR(__xludf.DUMMYFUNCTION("""COMPUTED_VALUE"""),"3.312 €/m2")</f>
        <v>3.312 €/m2</v>
      </c>
      <c r="C168" s="1" t="str">
        <f>IFERROR(__xludf.DUMMYFUNCTION("""COMPUTED_VALUE"""),"- 0,8 %")</f>
        <v>- 0,8 %</v>
      </c>
      <c r="D168" s="1" t="str">
        <f>IFERROR(__xludf.DUMMYFUNCTION("""COMPUTED_VALUE"""),"- 0,7 %")</f>
        <v>- 0,7 %</v>
      </c>
      <c r="E168" s="1" t="str">
        <f>IFERROR(__xludf.DUMMYFUNCTION("""COMPUTED_VALUE"""),"- 6,3 %")</f>
        <v>- 6,3 %</v>
      </c>
    </row>
    <row r="169">
      <c r="A169" s="2">
        <f>IFERROR(__xludf.DUMMYFUNCTION("""COMPUTED_VALUE"""),41091.0)</f>
        <v>41091</v>
      </c>
      <c r="B169" s="1" t="str">
        <f>IFERROR(__xludf.DUMMYFUNCTION("""COMPUTED_VALUE"""),"3.339 €/m2")</f>
        <v>3.339 €/m2</v>
      </c>
      <c r="C169" s="1" t="str">
        <f>IFERROR(__xludf.DUMMYFUNCTION("""COMPUTED_VALUE"""),"0,0 %")</f>
        <v>0,0 %</v>
      </c>
      <c r="D169" s="1" t="str">
        <f>IFERROR(__xludf.DUMMYFUNCTION("""COMPUTED_VALUE"""),"- 2,2 %")</f>
        <v>- 2,2 %</v>
      </c>
      <c r="E169" s="1" t="str">
        <f>IFERROR(__xludf.DUMMYFUNCTION("""COMPUTED_VALUE"""),"- 6,5 %")</f>
        <v>- 6,5 %</v>
      </c>
    </row>
    <row r="170">
      <c r="A170" s="2">
        <f>IFERROR(__xludf.DUMMYFUNCTION("""COMPUTED_VALUE"""),41061.0)</f>
        <v>41061</v>
      </c>
      <c r="B170" s="1" t="str">
        <f>IFERROR(__xludf.DUMMYFUNCTION("""COMPUTED_VALUE"""),"3.339 €/m2")</f>
        <v>3.339 €/m2</v>
      </c>
      <c r="C170" s="1" t="str">
        <f>IFERROR(__xludf.DUMMYFUNCTION("""COMPUTED_VALUE"""),"0,0 %")</f>
        <v>0,0 %</v>
      </c>
      <c r="D170" s="1" t="str">
        <f>IFERROR(__xludf.DUMMYFUNCTION("""COMPUTED_VALUE"""),"- 2,8 %")</f>
        <v>- 2,8 %</v>
      </c>
      <c r="E170" s="1" t="str">
        <f>IFERROR(__xludf.DUMMYFUNCTION("""COMPUTED_VALUE"""),"- 6,8 %")</f>
        <v>- 6,8 %</v>
      </c>
    </row>
    <row r="171">
      <c r="A171" s="2">
        <f>IFERROR(__xludf.DUMMYFUNCTION("""COMPUTED_VALUE"""),41030.0)</f>
        <v>41030</v>
      </c>
      <c r="B171" s="1" t="str">
        <f>IFERROR(__xludf.DUMMYFUNCTION("""COMPUTED_VALUE"""),"3.337 €/m2")</f>
        <v>3.337 €/m2</v>
      </c>
      <c r="C171" s="1" t="str">
        <f>IFERROR(__xludf.DUMMYFUNCTION("""COMPUTED_VALUE"""),"- 2,2 %")</f>
        <v>- 2,2 %</v>
      </c>
      <c r="D171" s="1" t="str">
        <f>IFERROR(__xludf.DUMMYFUNCTION("""COMPUTED_VALUE"""),"- 3,1 %")</f>
        <v>- 3,1 %</v>
      </c>
      <c r="E171" s="1" t="str">
        <f>IFERROR(__xludf.DUMMYFUNCTION("""COMPUTED_VALUE"""),"- 8,2 %")</f>
        <v>- 8,2 %</v>
      </c>
    </row>
    <row r="172">
      <c r="A172" s="2">
        <f>IFERROR(__xludf.DUMMYFUNCTION("""COMPUTED_VALUE"""),41000.0)</f>
        <v>41000</v>
      </c>
      <c r="B172" s="1" t="str">
        <f>IFERROR(__xludf.DUMMYFUNCTION("""COMPUTED_VALUE"""),"3.413 €/m2")</f>
        <v>3.413 €/m2</v>
      </c>
      <c r="C172" s="1" t="str">
        <f>IFERROR(__xludf.DUMMYFUNCTION("""COMPUTED_VALUE"""),"- 0,6 %")</f>
        <v>- 0,6 %</v>
      </c>
      <c r="D172" s="1" t="str">
        <f>IFERROR(__xludf.DUMMYFUNCTION("""COMPUTED_VALUE"""),"- 1,8 %")</f>
        <v>- 1,8 %</v>
      </c>
      <c r="E172" s="1" t="str">
        <f>IFERROR(__xludf.DUMMYFUNCTION("""COMPUTED_VALUE"""),"- 6,3 %")</f>
        <v>- 6,3 %</v>
      </c>
    </row>
    <row r="173">
      <c r="A173" s="2">
        <f>IFERROR(__xludf.DUMMYFUNCTION("""COMPUTED_VALUE"""),40969.0)</f>
        <v>40969</v>
      </c>
      <c r="B173" s="1" t="str">
        <f>IFERROR(__xludf.DUMMYFUNCTION("""COMPUTED_VALUE"""),"3.434 €/m2")</f>
        <v>3.434 €/m2</v>
      </c>
      <c r="C173" s="1" t="str">
        <f>IFERROR(__xludf.DUMMYFUNCTION("""COMPUTED_VALUE"""),"- 0,3 %")</f>
        <v>- 0,3 %</v>
      </c>
      <c r="D173" s="1" t="str">
        <f>IFERROR(__xludf.DUMMYFUNCTION("""COMPUTED_VALUE"""),"- 1,5 %")</f>
        <v>- 1,5 %</v>
      </c>
      <c r="E173" s="1" t="str">
        <f>IFERROR(__xludf.DUMMYFUNCTION("""COMPUTED_VALUE"""),"- 6,8 %")</f>
        <v>- 6,8 %</v>
      </c>
    </row>
    <row r="174">
      <c r="A174" s="2">
        <f>IFERROR(__xludf.DUMMYFUNCTION("""COMPUTED_VALUE"""),40940.0)</f>
        <v>40940</v>
      </c>
      <c r="B174" s="1" t="str">
        <f>IFERROR(__xludf.DUMMYFUNCTION("""COMPUTED_VALUE"""),"3.445 €/m2")</f>
        <v>3.445 €/m2</v>
      </c>
      <c r="C174" s="1" t="str">
        <f>IFERROR(__xludf.DUMMYFUNCTION("""COMPUTED_VALUE"""),"- 0,9 %")</f>
        <v>- 0,9 %</v>
      </c>
      <c r="D174" s="1" t="str">
        <f>IFERROR(__xludf.DUMMYFUNCTION("""COMPUTED_VALUE"""),"- 2,7 %")</f>
        <v>- 2,7 %</v>
      </c>
      <c r="E174" s="1" t="str">
        <f>IFERROR(__xludf.DUMMYFUNCTION("""COMPUTED_VALUE"""),"- 5,6 %")</f>
        <v>- 5,6 %</v>
      </c>
    </row>
    <row r="175">
      <c r="A175" s="2">
        <f>IFERROR(__xludf.DUMMYFUNCTION("""COMPUTED_VALUE"""),40909.0)</f>
        <v>40909</v>
      </c>
      <c r="B175" s="1" t="str">
        <f>IFERROR(__xludf.DUMMYFUNCTION("""COMPUTED_VALUE"""),"3.478 €/m2")</f>
        <v>3.478 €/m2</v>
      </c>
      <c r="C175" s="1" t="str">
        <f>IFERROR(__xludf.DUMMYFUNCTION("""COMPUTED_VALUE"""),"- 0,3 %")</f>
        <v>- 0,3 %</v>
      </c>
      <c r="D175" s="1" t="str">
        <f>IFERROR(__xludf.DUMMYFUNCTION("""COMPUTED_VALUE"""),"- 1,7 %")</f>
        <v>- 1,7 %</v>
      </c>
      <c r="E175" s="1" t="str">
        <f>IFERROR(__xludf.DUMMYFUNCTION("""COMPUTED_VALUE"""),"- 5,6 %")</f>
        <v>- 5,6 %</v>
      </c>
    </row>
    <row r="176">
      <c r="A176" s="2">
        <f>IFERROR(__xludf.DUMMYFUNCTION("""COMPUTED_VALUE"""),40878.0)</f>
        <v>40878</v>
      </c>
      <c r="B176" s="1" t="str">
        <f>IFERROR(__xludf.DUMMYFUNCTION("""COMPUTED_VALUE"""),"3.487 €/m2")</f>
        <v>3.487 €/m2</v>
      </c>
      <c r="C176" s="1" t="str">
        <f>IFERROR(__xludf.DUMMYFUNCTION("""COMPUTED_VALUE"""),"- 1,5 %")</f>
        <v>- 1,5 %</v>
      </c>
      <c r="D176" s="1" t="str">
        <f>IFERROR(__xludf.DUMMYFUNCTION("""COMPUTED_VALUE"""),"- 1,7 %")</f>
        <v>- 1,7 %</v>
      </c>
      <c r="E176" s="1" t="str">
        <f>IFERROR(__xludf.DUMMYFUNCTION("""COMPUTED_VALUE"""),"- 5,7 %")</f>
        <v>- 5,7 %</v>
      </c>
    </row>
    <row r="177">
      <c r="A177" s="2">
        <f>IFERROR(__xludf.DUMMYFUNCTION("""COMPUTED_VALUE"""),40848.0)</f>
        <v>40848</v>
      </c>
      <c r="B177" s="1" t="str">
        <f>IFERROR(__xludf.DUMMYFUNCTION("""COMPUTED_VALUE"""),"3.541 €/m2")</f>
        <v>3.541 €/m2</v>
      </c>
      <c r="C177" s="1" t="str">
        <f>IFERROR(__xludf.DUMMYFUNCTION("""COMPUTED_VALUE"""),"+ 0,1 %")</f>
        <v>+ 0,1 %</v>
      </c>
      <c r="D177" s="1" t="str">
        <f>IFERROR(__xludf.DUMMYFUNCTION("""COMPUTED_VALUE"""),"+ 0,2 %")</f>
        <v>+ 0,2 %</v>
      </c>
      <c r="E177" s="1" t="str">
        <f>IFERROR(__xludf.DUMMYFUNCTION("""COMPUTED_VALUE"""),"- 5,2 %")</f>
        <v>- 5,2 %</v>
      </c>
    </row>
    <row r="178">
      <c r="A178" s="2">
        <f>IFERROR(__xludf.DUMMYFUNCTION("""COMPUTED_VALUE"""),40817.0)</f>
        <v>40817</v>
      </c>
      <c r="B178" s="1" t="str">
        <f>IFERROR(__xludf.DUMMYFUNCTION("""COMPUTED_VALUE"""),"3.537 €/m2")</f>
        <v>3.537 €/m2</v>
      </c>
      <c r="C178" s="1" t="str">
        <f>IFERROR(__xludf.DUMMYFUNCTION("""COMPUTED_VALUE"""),"- 0,3 %")</f>
        <v>- 0,3 %</v>
      </c>
      <c r="D178" s="1" t="str">
        <f>IFERROR(__xludf.DUMMYFUNCTION("""COMPUTED_VALUE"""),"- 1,0 %")</f>
        <v>- 1,0 %</v>
      </c>
      <c r="E178" s="1" t="str">
        <f>IFERROR(__xludf.DUMMYFUNCTION("""COMPUTED_VALUE"""),"- 3,6 %")</f>
        <v>- 3,6 %</v>
      </c>
    </row>
    <row r="179">
      <c r="A179" s="2">
        <f>IFERROR(__xludf.DUMMYFUNCTION("""COMPUTED_VALUE"""),40787.0)</f>
        <v>40787</v>
      </c>
      <c r="B179" s="1" t="str">
        <f>IFERROR(__xludf.DUMMYFUNCTION("""COMPUTED_VALUE"""),"3.549 €/m2")</f>
        <v>3.549 €/m2</v>
      </c>
      <c r="C179" s="1" t="str">
        <f>IFERROR(__xludf.DUMMYFUNCTION("""COMPUTED_VALUE"""),"+ 0,4 %")</f>
        <v>+ 0,4 %</v>
      </c>
      <c r="D179" s="1" t="str">
        <f>IFERROR(__xludf.DUMMYFUNCTION("""COMPUTED_VALUE"""),"- 1,0 %")</f>
        <v>- 1,0 %</v>
      </c>
      <c r="E179" s="1" t="str">
        <f>IFERROR(__xludf.DUMMYFUNCTION("""COMPUTED_VALUE"""),"- 4,5 %")</f>
        <v>- 4,5 %</v>
      </c>
    </row>
    <row r="180">
      <c r="A180" s="2">
        <f>IFERROR(__xludf.DUMMYFUNCTION("""COMPUTED_VALUE"""),40756.0)</f>
        <v>40756</v>
      </c>
      <c r="B180" s="1" t="str">
        <f>IFERROR(__xludf.DUMMYFUNCTION("""COMPUTED_VALUE"""),"3.535 €/m2")</f>
        <v>3.535 €/m2</v>
      </c>
      <c r="C180" s="1" t="str">
        <f>IFERROR(__xludf.DUMMYFUNCTION("""COMPUTED_VALUE"""),"- 1,0 %")</f>
        <v>- 1,0 %</v>
      </c>
      <c r="D180" s="1" t="str">
        <f>IFERROR(__xludf.DUMMYFUNCTION("""COMPUTED_VALUE"""),"- 2,8 %")</f>
        <v>- 2,8 %</v>
      </c>
      <c r="E180" s="1" t="str">
        <f>IFERROR(__xludf.DUMMYFUNCTION("""COMPUTED_VALUE"""),"- 4,2 %")</f>
        <v>- 4,2 %</v>
      </c>
    </row>
    <row r="181">
      <c r="A181" s="2">
        <f>IFERROR(__xludf.DUMMYFUNCTION("""COMPUTED_VALUE"""),40725.0)</f>
        <v>40725</v>
      </c>
      <c r="B181" s="1" t="str">
        <f>IFERROR(__xludf.DUMMYFUNCTION("""COMPUTED_VALUE"""),"3.571 €/m2")</f>
        <v>3.571 €/m2</v>
      </c>
      <c r="C181" s="1" t="str">
        <f>IFERROR(__xludf.DUMMYFUNCTION("""COMPUTED_VALUE"""),"- 0,3 %")</f>
        <v>- 0,3 %</v>
      </c>
      <c r="D181" s="1" t="str">
        <f>IFERROR(__xludf.DUMMYFUNCTION("""COMPUTED_VALUE"""),"- 2,0 %")</f>
        <v>- 2,0 %</v>
      </c>
      <c r="E181" s="1" t="str">
        <f>IFERROR(__xludf.DUMMYFUNCTION("""COMPUTED_VALUE"""),"- 6,7 %")</f>
        <v>- 6,7 %</v>
      </c>
    </row>
    <row r="182">
      <c r="A182" s="2">
        <f>IFERROR(__xludf.DUMMYFUNCTION("""COMPUTED_VALUE"""),40695.0)</f>
        <v>40695</v>
      </c>
      <c r="B182" s="1" t="str">
        <f>IFERROR(__xludf.DUMMYFUNCTION("""COMPUTED_VALUE"""),"3.584 €/m2")</f>
        <v>3.584 €/m2</v>
      </c>
      <c r="C182" s="1" t="str">
        <f>IFERROR(__xludf.DUMMYFUNCTION("""COMPUTED_VALUE"""),"- 1,4 %")</f>
        <v>- 1,4 %</v>
      </c>
      <c r="D182" s="1" t="str">
        <f>IFERROR(__xludf.DUMMYFUNCTION("""COMPUTED_VALUE"""),"- 2,8 %")</f>
        <v>- 2,8 %</v>
      </c>
      <c r="E182" s="1" t="str">
        <f>IFERROR(__xludf.DUMMYFUNCTION("""COMPUTED_VALUE"""),"- 6,1 %")</f>
        <v>- 6,1 %</v>
      </c>
    </row>
    <row r="183">
      <c r="A183" s="2">
        <f>IFERROR(__xludf.DUMMYFUNCTION("""COMPUTED_VALUE"""),40664.0)</f>
        <v>40664</v>
      </c>
      <c r="B183" s="1" t="str">
        <f>IFERROR(__xludf.DUMMYFUNCTION("""COMPUTED_VALUE"""),"3.635 €/m2")</f>
        <v>3.635 €/m2</v>
      </c>
      <c r="C183" s="1" t="str">
        <f>IFERROR(__xludf.DUMMYFUNCTION("""COMPUTED_VALUE"""),"- 0,2 %")</f>
        <v>- 0,2 %</v>
      </c>
      <c r="D183" s="1" t="str">
        <f>IFERROR(__xludf.DUMMYFUNCTION("""COMPUTED_VALUE"""),"- 0,4 %")</f>
        <v>- 0,4 %</v>
      </c>
      <c r="E183" s="1" t="str">
        <f>IFERROR(__xludf.DUMMYFUNCTION("""COMPUTED_VALUE"""),"- 6,2 %")</f>
        <v>- 6,2 %</v>
      </c>
    </row>
    <row r="184">
      <c r="A184" s="2">
        <f>IFERROR(__xludf.DUMMYFUNCTION("""COMPUTED_VALUE"""),40634.0)</f>
        <v>40634</v>
      </c>
      <c r="B184" s="1" t="str">
        <f>IFERROR(__xludf.DUMMYFUNCTION("""COMPUTED_VALUE"""),"3.643 €/m2")</f>
        <v>3.643 €/m2</v>
      </c>
      <c r="C184" s="1" t="str">
        <f>IFERROR(__xludf.DUMMYFUNCTION("""COMPUTED_VALUE"""),"- 1,2 %")</f>
        <v>- 1,2 %</v>
      </c>
      <c r="D184" s="1" t="str">
        <f>IFERROR(__xludf.DUMMYFUNCTION("""COMPUTED_VALUE"""),"- 1,1 %")</f>
        <v>- 1,1 %</v>
      </c>
      <c r="E184" s="1" t="str">
        <f>IFERROR(__xludf.DUMMYFUNCTION("""COMPUTED_VALUE"""),"- 6,1 %")</f>
        <v>- 6,1 %</v>
      </c>
    </row>
    <row r="185">
      <c r="A185" s="2">
        <f>IFERROR(__xludf.DUMMYFUNCTION("""COMPUTED_VALUE"""),40603.0)</f>
        <v>40603</v>
      </c>
      <c r="B185" s="1" t="str">
        <f>IFERROR(__xludf.DUMMYFUNCTION("""COMPUTED_VALUE"""),"3.686 €/m2")</f>
        <v>3.686 €/m2</v>
      </c>
      <c r="C185" s="1" t="str">
        <f>IFERROR(__xludf.DUMMYFUNCTION("""COMPUTED_VALUE"""),"+ 1,0 %")</f>
        <v>+ 1,0 %</v>
      </c>
      <c r="D185" s="1" t="str">
        <f>IFERROR(__xludf.DUMMYFUNCTION("""COMPUTED_VALUE"""),"- 0,3 %")</f>
        <v>- 0,3 %</v>
      </c>
      <c r="E185" s="1" t="str">
        <f>IFERROR(__xludf.DUMMYFUNCTION("""COMPUTED_VALUE"""),"- 5,7 %")</f>
        <v>- 5,7 %</v>
      </c>
    </row>
    <row r="186">
      <c r="A186" s="2">
        <f>IFERROR(__xludf.DUMMYFUNCTION("""COMPUTED_VALUE"""),40575.0)</f>
        <v>40575</v>
      </c>
      <c r="B186" s="1" t="str">
        <f>IFERROR(__xludf.DUMMYFUNCTION("""COMPUTED_VALUE"""),"3.649 €/m2")</f>
        <v>3.649 €/m2</v>
      </c>
      <c r="C186" s="1" t="str">
        <f>IFERROR(__xludf.DUMMYFUNCTION("""COMPUTED_VALUE"""),"- 0,9 %")</f>
        <v>- 0,9 %</v>
      </c>
      <c r="D186" s="1" t="str">
        <f>IFERROR(__xludf.DUMMYFUNCTION("""COMPUTED_VALUE"""),"- 2,3 %")</f>
        <v>- 2,3 %</v>
      </c>
      <c r="E186" s="1" t="str">
        <f>IFERROR(__xludf.DUMMYFUNCTION("""COMPUTED_VALUE"""),"- 4,8 %")</f>
        <v>- 4,8 %</v>
      </c>
    </row>
    <row r="187">
      <c r="A187" s="2">
        <f>IFERROR(__xludf.DUMMYFUNCTION("""COMPUTED_VALUE"""),40544.0)</f>
        <v>40544</v>
      </c>
      <c r="B187" s="1" t="str">
        <f>IFERROR(__xludf.DUMMYFUNCTION("""COMPUTED_VALUE"""),"3.684 €/m2")</f>
        <v>3.684 €/m2</v>
      </c>
      <c r="C187" s="1" t="str">
        <f>IFERROR(__xludf.DUMMYFUNCTION("""COMPUTED_VALUE"""),"- 0,3 %")</f>
        <v>- 0,3 %</v>
      </c>
      <c r="D187" s="1" t="str">
        <f>IFERROR(__xludf.DUMMYFUNCTION("""COMPUTED_VALUE"""),"+ 0,4 %")</f>
        <v>+ 0,4 %</v>
      </c>
      <c r="E187" s="1" t="str">
        <f>IFERROR(__xludf.DUMMYFUNCTION("""COMPUTED_VALUE"""),"- 4,2 %")</f>
        <v>- 4,2 %</v>
      </c>
    </row>
    <row r="188">
      <c r="A188" s="2">
        <f>IFERROR(__xludf.DUMMYFUNCTION("""COMPUTED_VALUE"""),40513.0)</f>
        <v>40513</v>
      </c>
      <c r="B188" s="1" t="str">
        <f>IFERROR(__xludf.DUMMYFUNCTION("""COMPUTED_VALUE"""),"3.696 €/m2")</f>
        <v>3.696 €/m2</v>
      </c>
      <c r="C188" s="1" t="str">
        <f>IFERROR(__xludf.DUMMYFUNCTION("""COMPUTED_VALUE"""),"- 1,1 %")</f>
        <v>- 1,1 %</v>
      </c>
      <c r="D188" s="1" t="str">
        <f>IFERROR(__xludf.DUMMYFUNCTION("""COMPUTED_VALUE"""),"- 0,5 %")</f>
        <v>- 0,5 %</v>
      </c>
      <c r="E188" s="1" t="str">
        <f>IFERROR(__xludf.DUMMYFUNCTION("""COMPUTED_VALUE"""),"- 3,1 %")</f>
        <v>- 3,1 %</v>
      </c>
    </row>
    <row r="189">
      <c r="A189" s="2">
        <f>IFERROR(__xludf.DUMMYFUNCTION("""COMPUTED_VALUE"""),40483.0)</f>
        <v>40483</v>
      </c>
      <c r="B189" s="1" t="str">
        <f>IFERROR(__xludf.DUMMYFUNCTION("""COMPUTED_VALUE"""),"3.735 €/m2")</f>
        <v>3.735 €/m2</v>
      </c>
      <c r="C189" s="1" t="str">
        <f>IFERROR(__xludf.DUMMYFUNCTION("""COMPUTED_VALUE"""),"+ 1,8 %")</f>
        <v>+ 1,8 %</v>
      </c>
      <c r="D189" s="1" t="str">
        <f>IFERROR(__xludf.DUMMYFUNCTION("""COMPUTED_VALUE"""),"+ 1,2 %")</f>
        <v>+ 1,2 %</v>
      </c>
      <c r="E189" s="1" t="str">
        <f>IFERROR(__xludf.DUMMYFUNCTION("""COMPUTED_VALUE"""),"- 2,3 %")</f>
        <v>- 2,3 %</v>
      </c>
    </row>
    <row r="190">
      <c r="A190" s="2">
        <f>IFERROR(__xludf.DUMMYFUNCTION("""COMPUTED_VALUE"""),40452.0)</f>
        <v>40452</v>
      </c>
      <c r="B190" s="1" t="str">
        <f>IFERROR(__xludf.DUMMYFUNCTION("""COMPUTED_VALUE"""),"3.671 €/m2")</f>
        <v>3.671 €/m2</v>
      </c>
      <c r="C190" s="1" t="str">
        <f>IFERROR(__xludf.DUMMYFUNCTION("""COMPUTED_VALUE"""),"- 1,2 %")</f>
        <v>- 1,2 %</v>
      </c>
      <c r="D190" s="1" t="str">
        <f>IFERROR(__xludf.DUMMYFUNCTION("""COMPUTED_VALUE"""),"- 4,1 %")</f>
        <v>- 4,1 %</v>
      </c>
      <c r="E190" s="1" t="str">
        <f>IFERROR(__xludf.DUMMYFUNCTION("""COMPUTED_VALUE"""),"- 3,7 %")</f>
        <v>- 3,7 %</v>
      </c>
    </row>
    <row r="191">
      <c r="A191" s="2">
        <f>IFERROR(__xludf.DUMMYFUNCTION("""COMPUTED_VALUE"""),40422.0)</f>
        <v>40422</v>
      </c>
      <c r="B191" s="1" t="str">
        <f>IFERROR(__xludf.DUMMYFUNCTION("""COMPUTED_VALUE"""),"3.715 €/m2")</f>
        <v>3.715 €/m2</v>
      </c>
      <c r="C191" s="1" t="str">
        <f>IFERROR(__xludf.DUMMYFUNCTION("""COMPUTED_VALUE"""),"+ 0,7 %")</f>
        <v>+ 0,7 %</v>
      </c>
      <c r="D191" s="1" t="str">
        <f>IFERROR(__xludf.DUMMYFUNCTION("""COMPUTED_VALUE"""),"- 2,7 %")</f>
        <v>- 2,7 %</v>
      </c>
      <c r="E191" s="1" t="str">
        <f>IFERROR(__xludf.DUMMYFUNCTION("""COMPUTED_VALUE"""),"- 4,7 %")</f>
        <v>- 4,7 %</v>
      </c>
    </row>
    <row r="192">
      <c r="A192" s="2">
        <f>IFERROR(__xludf.DUMMYFUNCTION("""COMPUTED_VALUE"""),40391.0)</f>
        <v>40391</v>
      </c>
      <c r="B192" s="1" t="str">
        <f>IFERROR(__xludf.DUMMYFUNCTION("""COMPUTED_VALUE"""),"3.690 €/m2")</f>
        <v>3.690 €/m2</v>
      </c>
      <c r="C192" s="1" t="str">
        <f>IFERROR(__xludf.DUMMYFUNCTION("""COMPUTED_VALUE"""),"- 3,6 %")</f>
        <v>- 3,6 %</v>
      </c>
      <c r="D192" s="1" t="str">
        <f>IFERROR(__xludf.DUMMYFUNCTION("""COMPUTED_VALUE"""),"- 4,8 %")</f>
        <v>- 4,8 %</v>
      </c>
      <c r="E192" s="1" t="str">
        <f>IFERROR(__xludf.DUMMYFUNCTION("""COMPUTED_VALUE"""),"- 5,0 %")</f>
        <v>- 5,0 %</v>
      </c>
    </row>
    <row r="193">
      <c r="A193" s="2">
        <f>IFERROR(__xludf.DUMMYFUNCTION("""COMPUTED_VALUE"""),40360.0)</f>
        <v>40360</v>
      </c>
      <c r="B193" s="1" t="str">
        <f>IFERROR(__xludf.DUMMYFUNCTION("""COMPUTED_VALUE"""),"3.827 €/m2")</f>
        <v>3.827 €/m2</v>
      </c>
      <c r="C193" s="1" t="str">
        <f>IFERROR(__xludf.DUMMYFUNCTION("""COMPUTED_VALUE"""),"+ 0,2 %")</f>
        <v>+ 0,2 %</v>
      </c>
      <c r="D193" s="1" t="str">
        <f>IFERROR(__xludf.DUMMYFUNCTION("""COMPUTED_VALUE"""),"- 1,3 %")</f>
        <v>- 1,3 %</v>
      </c>
      <c r="E193" s="1" t="str">
        <f>IFERROR(__xludf.DUMMYFUNCTION("""COMPUTED_VALUE"""),"- 1,5 %")</f>
        <v>- 1,5 %</v>
      </c>
    </row>
    <row r="194">
      <c r="A194" s="2">
        <f>IFERROR(__xludf.DUMMYFUNCTION("""COMPUTED_VALUE"""),40330.0)</f>
        <v>40330</v>
      </c>
      <c r="B194" s="1" t="str">
        <f>IFERROR(__xludf.DUMMYFUNCTION("""COMPUTED_VALUE"""),"3.818 €/m2")</f>
        <v>3.818 €/m2</v>
      </c>
      <c r="C194" s="1" t="str">
        <f>IFERROR(__xludf.DUMMYFUNCTION("""COMPUTED_VALUE"""),"- 1,5 %")</f>
        <v>- 1,5 %</v>
      </c>
      <c r="D194" s="1" t="str">
        <f>IFERROR(__xludf.DUMMYFUNCTION("""COMPUTED_VALUE"""),"- 2,3 %")</f>
        <v>- 2,3 %</v>
      </c>
      <c r="E194" s="1" t="str">
        <f>IFERROR(__xludf.DUMMYFUNCTION("""COMPUTED_VALUE"""),"- 2,6 %")</f>
        <v>- 2,6 %</v>
      </c>
    </row>
    <row r="195">
      <c r="A195" s="2">
        <f>IFERROR(__xludf.DUMMYFUNCTION("""COMPUTED_VALUE"""),40299.0)</f>
        <v>40299</v>
      </c>
      <c r="B195" s="1" t="str">
        <f>IFERROR(__xludf.DUMMYFUNCTION("""COMPUTED_VALUE"""),"3.877 €/m2")</f>
        <v>3.877 €/m2</v>
      </c>
      <c r="C195" s="1" t="str">
        <f>IFERROR(__xludf.DUMMYFUNCTION("""COMPUTED_VALUE"""),"0,0 %")</f>
        <v>0,0 %</v>
      </c>
      <c r="D195" s="1" t="str">
        <f>IFERROR(__xludf.DUMMYFUNCTION("""COMPUTED_VALUE"""),"+ 1,2 %")</f>
        <v>+ 1,2 %</v>
      </c>
      <c r="E195" s="1" t="str">
        <f>IFERROR(__xludf.DUMMYFUNCTION("""COMPUTED_VALUE"""),"+ 0,5 %")</f>
        <v>+ 0,5 %</v>
      </c>
    </row>
    <row r="196">
      <c r="A196" s="2">
        <f>IFERROR(__xludf.DUMMYFUNCTION("""COMPUTED_VALUE"""),40269.0)</f>
        <v>40269</v>
      </c>
      <c r="B196" s="1" t="str">
        <f>IFERROR(__xludf.DUMMYFUNCTION("""COMPUTED_VALUE"""),"3.878 €/m2")</f>
        <v>3.878 €/m2</v>
      </c>
      <c r="C196" s="1" t="str">
        <f>IFERROR(__xludf.DUMMYFUNCTION("""COMPUTED_VALUE"""),"- 0,8 %")</f>
        <v>- 0,8 %</v>
      </c>
      <c r="D196" s="1" t="str">
        <f>IFERROR(__xludf.DUMMYFUNCTION("""COMPUTED_VALUE"""),"+ 0,8 %")</f>
        <v>+ 0,8 %</v>
      </c>
      <c r="E196" s="1" t="str">
        <f>IFERROR(__xludf.DUMMYFUNCTION("""COMPUTED_VALUE"""),"+ 0,4 %")</f>
        <v>+ 0,4 %</v>
      </c>
    </row>
    <row r="197">
      <c r="A197" s="2">
        <f>IFERROR(__xludf.DUMMYFUNCTION("""COMPUTED_VALUE"""),40238.0)</f>
        <v>40238</v>
      </c>
      <c r="B197" s="1" t="str">
        <f>IFERROR(__xludf.DUMMYFUNCTION("""COMPUTED_VALUE"""),"3.909 €/m2")</f>
        <v>3.909 €/m2</v>
      </c>
      <c r="C197" s="1" t="str">
        <f>IFERROR(__xludf.DUMMYFUNCTION("""COMPUTED_VALUE"""),"+ 2,0 %")</f>
        <v>+ 2,0 %</v>
      </c>
      <c r="D197" s="1" t="str">
        <f>IFERROR(__xludf.DUMMYFUNCTION("""COMPUTED_VALUE"""),"+ 2,5 %")</f>
        <v>+ 2,5 %</v>
      </c>
      <c r="E197" s="1" t="str">
        <f>IFERROR(__xludf.DUMMYFUNCTION("""COMPUTED_VALUE"""),"- 1,7 %")</f>
        <v>- 1,7 %</v>
      </c>
    </row>
    <row r="198">
      <c r="A198" s="2">
        <f>IFERROR(__xludf.DUMMYFUNCTION("""COMPUTED_VALUE"""),40210.0)</f>
        <v>40210</v>
      </c>
      <c r="B198" s="1" t="str">
        <f>IFERROR(__xludf.DUMMYFUNCTION("""COMPUTED_VALUE"""),"3.832 €/m2")</f>
        <v>3.832 €/m2</v>
      </c>
      <c r="C198" s="1" t="str">
        <f>IFERROR(__xludf.DUMMYFUNCTION("""COMPUTED_VALUE"""),"- 0,4 %")</f>
        <v>- 0,4 %</v>
      </c>
      <c r="D198" s="1" t="str">
        <f>IFERROR(__xludf.DUMMYFUNCTION("""COMPUTED_VALUE"""),"+ 0,2 %")</f>
        <v>+ 0,2 %</v>
      </c>
      <c r="E198" s="1" t="str">
        <f>IFERROR(__xludf.DUMMYFUNCTION("""COMPUTED_VALUE"""),"- 3,6 %")</f>
        <v>- 3,6 %</v>
      </c>
    </row>
    <row r="199">
      <c r="A199" s="2">
        <f>IFERROR(__xludf.DUMMYFUNCTION("""COMPUTED_VALUE"""),40179.0)</f>
        <v>40179</v>
      </c>
      <c r="B199" s="1" t="str">
        <f>IFERROR(__xludf.DUMMYFUNCTION("""COMPUTED_VALUE"""),"3.846 €/m2")</f>
        <v>3.846 €/m2</v>
      </c>
      <c r="C199" s="1" t="str">
        <f>IFERROR(__xludf.DUMMYFUNCTION("""COMPUTED_VALUE"""),"+ 0,8 %")</f>
        <v>+ 0,8 %</v>
      </c>
      <c r="D199" s="1" t="str">
        <f>IFERROR(__xludf.DUMMYFUNCTION("""COMPUTED_VALUE"""),"+ 0,9 %")</f>
        <v>+ 0,9 %</v>
      </c>
      <c r="E199" s="1" t="str">
        <f>IFERROR(__xludf.DUMMYFUNCTION("""COMPUTED_VALUE"""),"- 3,7 %")</f>
        <v>- 3,7 %</v>
      </c>
    </row>
    <row r="200">
      <c r="A200" s="2">
        <f>IFERROR(__xludf.DUMMYFUNCTION("""COMPUTED_VALUE"""),40148.0)</f>
        <v>40148</v>
      </c>
      <c r="B200" s="1" t="str">
        <f>IFERROR(__xludf.DUMMYFUNCTION("""COMPUTED_VALUE"""),"3.815 €/m2")</f>
        <v>3.815 €/m2</v>
      </c>
      <c r="C200" s="1" t="str">
        <f>IFERROR(__xludf.DUMMYFUNCTION("""COMPUTED_VALUE"""),"- 0,3 %")</f>
        <v>- 0,3 %</v>
      </c>
      <c r="D200" s="1" t="str">
        <f>IFERROR(__xludf.DUMMYFUNCTION("""COMPUTED_VALUE"""),"- 2,2 %")</f>
        <v>- 2,2 %</v>
      </c>
      <c r="E200" s="1" t="str">
        <f>IFERROR(__xludf.DUMMYFUNCTION("""COMPUTED_VALUE"""),"- 5,1 %")</f>
        <v>- 5,1 %</v>
      </c>
    </row>
    <row r="201">
      <c r="A201" s="2">
        <f>IFERROR(__xludf.DUMMYFUNCTION("""COMPUTED_VALUE"""),40118.0)</f>
        <v>40118</v>
      </c>
      <c r="B201" s="1" t="str">
        <f>IFERROR(__xludf.DUMMYFUNCTION("""COMPUTED_VALUE"""),"3.825 €/m2")</f>
        <v>3.825 €/m2</v>
      </c>
      <c r="C201" s="1" t="str">
        <f>IFERROR(__xludf.DUMMYFUNCTION("""COMPUTED_VALUE"""),"+ 0,4 %")</f>
        <v>+ 0,4 %</v>
      </c>
      <c r="D201" s="1" t="str">
        <f>IFERROR(__xludf.DUMMYFUNCTION("""COMPUTED_VALUE"""),"- 1,5 %")</f>
        <v>- 1,5 %</v>
      </c>
      <c r="E201" s="1" t="str">
        <f>IFERROR(__xludf.DUMMYFUNCTION("""COMPUTED_VALUE"""),"- 4,7 %")</f>
        <v>- 4,7 %</v>
      </c>
    </row>
    <row r="202">
      <c r="A202" s="2">
        <f>IFERROR(__xludf.DUMMYFUNCTION("""COMPUTED_VALUE"""),40087.0)</f>
        <v>40087</v>
      </c>
      <c r="B202" s="1" t="str">
        <f>IFERROR(__xludf.DUMMYFUNCTION("""COMPUTED_VALUE"""),"3.811 €/m2")</f>
        <v>3.811 €/m2</v>
      </c>
      <c r="C202" s="1" t="str">
        <f>IFERROR(__xludf.DUMMYFUNCTION("""COMPUTED_VALUE"""),"- 2,2 %")</f>
        <v>- 2,2 %</v>
      </c>
      <c r="D202" s="1" t="str">
        <f>IFERROR(__xludf.DUMMYFUNCTION("""COMPUTED_VALUE"""),"- 1,9 %")</f>
        <v>- 1,9 %</v>
      </c>
      <c r="E202" s="1" t="str">
        <f>IFERROR(__xludf.DUMMYFUNCTION("""COMPUTED_VALUE"""),"- 4,5 %")</f>
        <v>- 4,5 %</v>
      </c>
    </row>
    <row r="203">
      <c r="A203" s="2">
        <f>IFERROR(__xludf.DUMMYFUNCTION("""COMPUTED_VALUE"""),40057.0)</f>
        <v>40057</v>
      </c>
      <c r="B203" s="1" t="str">
        <f>IFERROR(__xludf.DUMMYFUNCTION("""COMPUTED_VALUE"""),"3.899 €/m2")</f>
        <v>3.899 €/m2</v>
      </c>
      <c r="C203" s="1" t="str">
        <f>IFERROR(__xludf.DUMMYFUNCTION("""COMPUTED_VALUE"""),"+ 0,4 %")</f>
        <v>+ 0,4 %</v>
      </c>
      <c r="D203" s="1" t="str">
        <f>IFERROR(__xludf.DUMMYFUNCTION("""COMPUTED_VALUE"""),"- 0,5 %")</f>
        <v>- 0,5 %</v>
      </c>
      <c r="E203" s="1" t="str">
        <f>IFERROR(__xludf.DUMMYFUNCTION("""COMPUTED_VALUE"""),"- 0,2 %")</f>
        <v>- 0,2 %</v>
      </c>
    </row>
    <row r="204">
      <c r="A204" s="2">
        <f>IFERROR(__xludf.DUMMYFUNCTION("""COMPUTED_VALUE"""),40026.0)</f>
        <v>40026</v>
      </c>
      <c r="B204" s="1" t="str">
        <f>IFERROR(__xludf.DUMMYFUNCTION("""COMPUTED_VALUE"""),"3.884 €/m2")</f>
        <v>3.884 €/m2</v>
      </c>
      <c r="C204" s="1" t="str">
        <f>IFERROR(__xludf.DUMMYFUNCTION("""COMPUTED_VALUE"""),"0,0 %")</f>
        <v>0,0 %</v>
      </c>
      <c r="D204" s="1" t="str">
        <f>IFERROR(__xludf.DUMMYFUNCTION("""COMPUTED_VALUE"""),"+ 0,6 %")</f>
        <v>+ 0,6 %</v>
      </c>
      <c r="E204" s="1" t="str">
        <f>IFERROR(__xludf.DUMMYFUNCTION("""COMPUTED_VALUE"""),"- 0,6 %")</f>
        <v>- 0,6 %</v>
      </c>
    </row>
    <row r="205">
      <c r="A205" s="2">
        <f>IFERROR(__xludf.DUMMYFUNCTION("""COMPUTED_VALUE"""),39995.0)</f>
        <v>39995</v>
      </c>
      <c r="B205" s="1" t="str">
        <f>IFERROR(__xludf.DUMMYFUNCTION("""COMPUTED_VALUE"""),"3.885 €/m2")</f>
        <v>3.885 €/m2</v>
      </c>
      <c r="C205" s="1" t="str">
        <f>IFERROR(__xludf.DUMMYFUNCTION("""COMPUTED_VALUE"""),"- 0,8 %")</f>
        <v>- 0,8 %</v>
      </c>
      <c r="D205" s="1" t="str">
        <f>IFERROR(__xludf.DUMMYFUNCTION("""COMPUTED_VALUE"""),"+ 0,6 %")</f>
        <v>+ 0,6 %</v>
      </c>
      <c r="E205" s="1" t="str">
        <f>IFERROR(__xludf.DUMMYFUNCTION("""COMPUTED_VALUE"""),"- 1,5 %")</f>
        <v>- 1,5 %</v>
      </c>
    </row>
    <row r="206">
      <c r="A206" s="2">
        <f>IFERROR(__xludf.DUMMYFUNCTION("""COMPUTED_VALUE"""),39965.0)</f>
        <v>39965</v>
      </c>
      <c r="B206" s="1" t="str">
        <f>IFERROR(__xludf.DUMMYFUNCTION("""COMPUTED_VALUE"""),"3.919 €/m2")</f>
        <v>3.919 €/m2</v>
      </c>
      <c r="C206" s="1" t="str">
        <f>IFERROR(__xludf.DUMMYFUNCTION("""COMPUTED_VALUE"""),"+ 1,5 %")</f>
        <v>+ 1,5 %</v>
      </c>
      <c r="D206" s="1" t="str">
        <f>IFERROR(__xludf.DUMMYFUNCTION("""COMPUTED_VALUE"""),"- 1,5 %")</f>
        <v>- 1,5 %</v>
      </c>
      <c r="E206" s="1" t="str">
        <f>IFERROR(__xludf.DUMMYFUNCTION("""COMPUTED_VALUE"""),"- 0,3 %")</f>
        <v>- 0,3 %</v>
      </c>
    </row>
    <row r="207">
      <c r="A207" s="2">
        <f>IFERROR(__xludf.DUMMYFUNCTION("""COMPUTED_VALUE"""),39934.0)</f>
        <v>39934</v>
      </c>
      <c r="B207" s="1" t="str">
        <f>IFERROR(__xludf.DUMMYFUNCTION("""COMPUTED_VALUE"""),"3.859 €/m2")</f>
        <v>3.859 €/m2</v>
      </c>
      <c r="C207" s="1" t="str">
        <f>IFERROR(__xludf.DUMMYFUNCTION("""COMPUTED_VALUE"""),"0,0 %")</f>
        <v>0,0 %</v>
      </c>
      <c r="D207" s="1" t="str">
        <f>IFERROR(__xludf.DUMMYFUNCTION("""COMPUTED_VALUE"""),"- 2,9 %")</f>
        <v>- 2,9 %</v>
      </c>
      <c r="E207" s="1" t="str">
        <f>IFERROR(__xludf.DUMMYFUNCTION("""COMPUTED_VALUE"""),"- 1,6 %")</f>
        <v>- 1,6 %</v>
      </c>
    </row>
    <row r="208">
      <c r="A208" s="2">
        <f>IFERROR(__xludf.DUMMYFUNCTION("""COMPUTED_VALUE"""),39904.0)</f>
        <v>39904</v>
      </c>
      <c r="B208" s="1" t="str">
        <f>IFERROR(__xludf.DUMMYFUNCTION("""COMPUTED_VALUE"""),"3.861 €/m2")</f>
        <v>3.861 €/m2</v>
      </c>
      <c r="C208" s="1" t="str">
        <f>IFERROR(__xludf.DUMMYFUNCTION("""COMPUTED_VALUE"""),"- 2,9 %")</f>
        <v>- 2,9 %</v>
      </c>
      <c r="D208" s="1" t="str">
        <f>IFERROR(__xludf.DUMMYFUNCTION("""COMPUTED_VALUE"""),"- 3,4 %")</f>
        <v>- 3,4 %</v>
      </c>
      <c r="E208" s="1" t="str">
        <f>IFERROR(__xludf.DUMMYFUNCTION("""COMPUTED_VALUE"""),"- 2,0 %")</f>
        <v>- 2,0 %</v>
      </c>
    </row>
    <row r="209">
      <c r="A209" s="2">
        <f>IFERROR(__xludf.DUMMYFUNCTION("""COMPUTED_VALUE"""),39873.0)</f>
        <v>39873</v>
      </c>
      <c r="B209" s="1" t="str">
        <f>IFERROR(__xludf.DUMMYFUNCTION("""COMPUTED_VALUE"""),"3.978 €/m2")</f>
        <v>3.978 €/m2</v>
      </c>
      <c r="C209" s="1" t="str">
        <f>IFERROR(__xludf.DUMMYFUNCTION("""COMPUTED_VALUE"""),"+ 0,1 %")</f>
        <v>+ 0,1 %</v>
      </c>
      <c r="D209" s="1" t="str">
        <f>IFERROR(__xludf.DUMMYFUNCTION("""COMPUTED_VALUE"""),"- 1,0 %")</f>
        <v>- 1,0 %</v>
      </c>
      <c r="E209" s="1" t="str">
        <f>IFERROR(__xludf.DUMMYFUNCTION("""COMPUTED_VALUE"""),"+ 0,2 %")</f>
        <v>+ 0,2 %</v>
      </c>
    </row>
    <row r="210">
      <c r="A210" s="2">
        <f>IFERROR(__xludf.DUMMYFUNCTION("""COMPUTED_VALUE"""),39845.0)</f>
        <v>39845</v>
      </c>
      <c r="B210" s="1" t="str">
        <f>IFERROR(__xludf.DUMMYFUNCTION("""COMPUTED_VALUE"""),"3.973 €/m2")</f>
        <v>3.973 €/m2</v>
      </c>
      <c r="C210" s="1" t="str">
        <f>IFERROR(__xludf.DUMMYFUNCTION("""COMPUTED_VALUE"""),"- 0,6 %")</f>
        <v>- 0,6 %</v>
      </c>
      <c r="D210" s="1" t="str">
        <f>IFERROR(__xludf.DUMMYFUNCTION("""COMPUTED_VALUE"""),"- 1,0 %")</f>
        <v>- 1,0 %</v>
      </c>
      <c r="E210" s="1" t="str">
        <f>IFERROR(__xludf.DUMMYFUNCTION("""COMPUTED_VALUE"""),"+ 0,2 %")</f>
        <v>+ 0,2 %</v>
      </c>
    </row>
    <row r="211">
      <c r="A211" s="2">
        <f>IFERROR(__xludf.DUMMYFUNCTION("""COMPUTED_VALUE"""),39814.0)</f>
        <v>39814</v>
      </c>
      <c r="B211" s="1" t="str">
        <f>IFERROR(__xludf.DUMMYFUNCTION("""COMPUTED_VALUE"""),"3.995 €/m2")</f>
        <v>3.995 €/m2</v>
      </c>
      <c r="C211" s="1" t="str">
        <f>IFERROR(__xludf.DUMMYFUNCTION("""COMPUTED_VALUE"""),"- 0,6 %")</f>
        <v>- 0,6 %</v>
      </c>
      <c r="D211" s="1" t="str">
        <f>IFERROR(__xludf.DUMMYFUNCTION("""COMPUTED_VALUE"""),"+ 0,1 %")</f>
        <v>+ 0,1 %</v>
      </c>
      <c r="E211" s="1" t="str">
        <f>IFERROR(__xludf.DUMMYFUNCTION("""COMPUTED_VALUE"""),"+ 3,2 %")</f>
        <v>+ 3,2 %</v>
      </c>
    </row>
    <row r="212">
      <c r="A212" s="2">
        <f>IFERROR(__xludf.DUMMYFUNCTION("""COMPUTED_VALUE"""),39783.0)</f>
        <v>39783</v>
      </c>
      <c r="B212" s="1" t="str">
        <f>IFERROR(__xludf.DUMMYFUNCTION("""COMPUTED_VALUE"""),"4.020 €/m2")</f>
        <v>4.020 €/m2</v>
      </c>
      <c r="C212" s="1" t="str">
        <f>IFERROR(__xludf.DUMMYFUNCTION("""COMPUTED_VALUE"""),"+ 0,2 %")</f>
        <v>+ 0,2 %</v>
      </c>
      <c r="D212" s="1" t="str">
        <f>IFERROR(__xludf.DUMMYFUNCTION("""COMPUTED_VALUE"""),"+ 2,9 %")</f>
        <v>+ 2,9 %</v>
      </c>
      <c r="E212" s="1" t="str">
        <f>IFERROR(__xludf.DUMMYFUNCTION("""COMPUTED_VALUE"""),"+ 3,6 %")</f>
        <v>+ 3,6 %</v>
      </c>
    </row>
    <row r="213">
      <c r="A213" s="2">
        <f>IFERROR(__xludf.DUMMYFUNCTION("""COMPUTED_VALUE"""),39753.0)</f>
        <v>39753</v>
      </c>
      <c r="B213" s="1" t="str">
        <f>IFERROR(__xludf.DUMMYFUNCTION("""COMPUTED_VALUE"""),"4.012 €/m2")</f>
        <v>4.012 €/m2</v>
      </c>
      <c r="C213" s="1" t="str">
        <f>IFERROR(__xludf.DUMMYFUNCTION("""COMPUTED_VALUE"""),"+ 0,5 %")</f>
        <v>+ 0,5 %</v>
      </c>
      <c r="D213" s="1" t="str">
        <f>IFERROR(__xludf.DUMMYFUNCTION("""COMPUTED_VALUE"""),"+ 2,7 %")</f>
        <v>+ 2,7 %</v>
      </c>
      <c r="E213" s="1" t="str">
        <f>IFERROR(__xludf.DUMMYFUNCTION("""COMPUTED_VALUE"""),"+ 3,4 %")</f>
        <v>+ 3,4 %</v>
      </c>
    </row>
    <row r="214">
      <c r="A214" s="2">
        <f>IFERROR(__xludf.DUMMYFUNCTION("""COMPUTED_VALUE"""),39722.0)</f>
        <v>39722</v>
      </c>
      <c r="B214" s="1" t="str">
        <f>IFERROR(__xludf.DUMMYFUNCTION("""COMPUTED_VALUE"""),"3.991 €/m2")</f>
        <v>3.991 €/m2</v>
      </c>
      <c r="C214" s="1" t="str">
        <f>IFERROR(__xludf.DUMMYFUNCTION("""COMPUTED_VALUE"""),"+ 2,1 %")</f>
        <v>+ 2,1 %</v>
      </c>
      <c r="D214" s="1" t="str">
        <f>IFERROR(__xludf.DUMMYFUNCTION("""COMPUTED_VALUE"""),"+ 1,2 %")</f>
        <v>+ 1,2 %</v>
      </c>
      <c r="E214" s="1" t="str">
        <f>IFERROR(__xludf.DUMMYFUNCTION("""COMPUTED_VALUE"""),"0,0 %")</f>
        <v>0,0 %</v>
      </c>
    </row>
    <row r="215">
      <c r="A215" s="2">
        <f>IFERROR(__xludf.DUMMYFUNCTION("""COMPUTED_VALUE"""),39692.0)</f>
        <v>39692</v>
      </c>
      <c r="B215" s="1" t="str">
        <f>IFERROR(__xludf.DUMMYFUNCTION("""COMPUTED_VALUE"""),"3.907 €/m2")</f>
        <v>3.907 €/m2</v>
      </c>
      <c r="C215" s="1" t="str">
        <f>IFERROR(__xludf.DUMMYFUNCTION("""COMPUTED_VALUE"""),"0,0 %")</f>
        <v>0,0 %</v>
      </c>
      <c r="D215" s="1" t="str">
        <f>IFERROR(__xludf.DUMMYFUNCTION("""COMPUTED_VALUE"""),"- 0,6 %")</f>
        <v>- 0,6 %</v>
      </c>
      <c r="E215" s="1" t="str">
        <f>IFERROR(__xludf.DUMMYFUNCTION("""COMPUTED_VALUE"""),"- 2,1 %")</f>
        <v>- 2,1 %</v>
      </c>
    </row>
    <row r="216">
      <c r="A216" s="2">
        <f>IFERROR(__xludf.DUMMYFUNCTION("""COMPUTED_VALUE"""),39661.0)</f>
        <v>39661</v>
      </c>
      <c r="B216" s="1" t="str">
        <f>IFERROR(__xludf.DUMMYFUNCTION("""COMPUTED_VALUE"""),"3.908 €/m2")</f>
        <v>3.908 €/m2</v>
      </c>
      <c r="C216" s="1" t="str">
        <f>IFERROR(__xludf.DUMMYFUNCTION("""COMPUTED_VALUE"""),"- 0,9 %")</f>
        <v>- 0,9 %</v>
      </c>
      <c r="D216" s="1" t="str">
        <f>IFERROR(__xludf.DUMMYFUNCTION("""COMPUTED_VALUE"""),"- 0,3 %")</f>
        <v>- 0,3 %</v>
      </c>
      <c r="E216" s="1" t="str">
        <f>IFERROR(__xludf.DUMMYFUNCTION("""COMPUTED_VALUE"""),"- 2,0 %")</f>
        <v>- 2,0 %</v>
      </c>
    </row>
    <row r="217">
      <c r="A217" s="2">
        <f>IFERROR(__xludf.DUMMYFUNCTION("""COMPUTED_VALUE"""),39630.0)</f>
        <v>39630</v>
      </c>
      <c r="B217" s="1" t="str">
        <f>IFERROR(__xludf.DUMMYFUNCTION("""COMPUTED_VALUE"""),"3.945 €/m2")</f>
        <v>3.945 €/m2</v>
      </c>
      <c r="C217" s="1" t="str">
        <f>IFERROR(__xludf.DUMMYFUNCTION("""COMPUTED_VALUE"""),"+ 0,3 %")</f>
        <v>+ 0,3 %</v>
      </c>
      <c r="D217" s="1" t="str">
        <f>IFERROR(__xludf.DUMMYFUNCTION("""COMPUTED_VALUE"""),"+ 0,1 %")</f>
        <v>+ 0,1 %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IFERROR(__xludf.DUMMYFUNCTION("""COMPUTED_VALUE"""),"3.931 €/m2")</f>
        <v>3.931 €/m2</v>
      </c>
      <c r="C218" s="1" t="str">
        <f>IFERROR(__xludf.DUMMYFUNCTION("""COMPUTED_VALUE"""),"+ 0,3 %")</f>
        <v>+ 0,3 %</v>
      </c>
      <c r="D218" s="1" t="str">
        <f>IFERROR(__xludf.DUMMYFUNCTION("""COMPUTED_VALUE"""),"- 0,9 %")</f>
        <v>- 0,9 %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IFERROR(__xludf.DUMMYFUNCTION("""COMPUTED_VALUE"""),"3.922 €/m2")</f>
        <v>3.922 €/m2</v>
      </c>
      <c r="C219" s="1" t="str">
        <f>IFERROR(__xludf.DUMMYFUNCTION("""COMPUTED_VALUE"""),"- 0,5 %")</f>
        <v>- 0,5 %</v>
      </c>
      <c r="D219" s="1" t="str">
        <f>IFERROR(__xludf.DUMMYFUNCTION("""COMPUTED_VALUE"""),"- 1,1 %")</f>
        <v>- 1,1 %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IFERROR(__xludf.DUMMYFUNCTION("""COMPUTED_VALUE"""),"3.940 €/m2")</f>
        <v>3.940 €/m2</v>
      </c>
      <c r="C220" s="1" t="str">
        <f>IFERROR(__xludf.DUMMYFUNCTION("""COMPUTED_VALUE"""),"- 0,7 %")</f>
        <v>- 0,7 %</v>
      </c>
      <c r="D220" s="1" t="str">
        <f>IFERROR(__xludf.DUMMYFUNCTION("""COMPUTED_VALUE"""),"+ 1,8 %")</f>
        <v>+ 1,8 %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IFERROR(__xludf.DUMMYFUNCTION("""COMPUTED_VALUE"""),"3.968 €/m2")</f>
        <v>3.968 €/m2</v>
      </c>
      <c r="C221" s="1" t="str">
        <f>IFERROR(__xludf.DUMMYFUNCTION("""COMPUTED_VALUE"""),"0,0 %")</f>
        <v>0,0 %</v>
      </c>
      <c r="D221" s="1" t="str">
        <f>IFERROR(__xludf.DUMMYFUNCTION("""COMPUTED_VALUE"""),"+ 2,3 %")</f>
        <v>+ 2,3 %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IFERROR(__xludf.DUMMYFUNCTION("""COMPUTED_VALUE"""),"3.966 €/m2")</f>
        <v>3.966 €/m2</v>
      </c>
      <c r="C222" s="1" t="str">
        <f>IFERROR(__xludf.DUMMYFUNCTION("""COMPUTED_VALUE"""),"+ 2,5 %")</f>
        <v>+ 2,5 %</v>
      </c>
      <c r="D222" s="1" t="str">
        <f>IFERROR(__xludf.DUMMYFUNCTION("""COMPUTED_VALUE"""),"+ 2,2 %")</f>
        <v>+ 2,2 %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IFERROR(__xludf.DUMMYFUNCTION("""COMPUTED_VALUE"""),"3.871 €/m2")</f>
        <v>3.871 €/m2</v>
      </c>
      <c r="C223" s="1" t="str">
        <f>IFERROR(__xludf.DUMMYFUNCTION("""COMPUTED_VALUE"""),"- 0,2 %")</f>
        <v>- 0,2 %</v>
      </c>
      <c r="D223" s="1" t="str">
        <f>IFERROR(__xludf.DUMMYFUNCTION("""COMPUTED_VALUE"""),"- 3,0 %")</f>
        <v>- 3,0 %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IFERROR(__xludf.DUMMYFUNCTION("""COMPUTED_VALUE"""),"3.880 €/m2")</f>
        <v>3.880 €/m2</v>
      </c>
      <c r="C224" s="1" t="str">
        <f>IFERROR(__xludf.DUMMYFUNCTION("""COMPUTED_VALUE"""),"0,0 %")</f>
        <v>0,0 %</v>
      </c>
      <c r="D224" s="1" t="str">
        <f>IFERROR(__xludf.DUMMYFUNCTION("""COMPUTED_VALUE"""),"- 2,8 %")</f>
        <v>- 2,8 %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IFERROR(__xludf.DUMMYFUNCTION("""COMPUTED_VALUE"""),"3.879 €/m2")</f>
        <v>3.879 €/m2</v>
      </c>
      <c r="C225" s="1" t="str">
        <f>IFERROR(__xludf.DUMMYFUNCTION("""COMPUTED_VALUE"""),"- 2,8 %")</f>
        <v>- 2,8 %</v>
      </c>
      <c r="D225" s="1" t="str">
        <f>IFERROR(__xludf.DUMMYFUNCTION("""COMPUTED_VALUE"""),"- 2,7 %")</f>
        <v>- 2,7 %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IFERROR(__xludf.DUMMYFUNCTION("""COMPUTED_VALUE"""),"3.992 €/m2")</f>
        <v>3.992 €/m2</v>
      </c>
      <c r="C226" s="1" t="str">
        <f>IFERROR(__xludf.DUMMYFUNCTION("""COMPUTED_VALUE"""),"0,0 %")</f>
        <v>0,0 %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IFERROR(__xludf.DUMMYFUNCTION("""COMPUTED_VALUE"""),"3.993 €/m2")</f>
        <v>3.993 €/m2</v>
      </c>
      <c r="C227" s="1" t="str">
        <f>IFERROR(__xludf.DUMMYFUNCTION("""COMPUTED_VALUE"""),"+ 0,1 %")</f>
        <v>+ 0,1 %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IFERROR(__xludf.DUMMYFUNCTION("""COMPUTED_VALUE"""),"3.988 €/m2")</f>
        <v>3.988 €/m2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IFERROR(__xludf.DUMMYFUNCTION("IMPORTHTML(""https://www.idealista.com/sala-de-prensa/informes-precio-vivienda/venta/madrid-comunidad/madrid-provincia/madrid/moratalaz/historico/"",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IFERROR(__xludf.DUMMYFUNCTION("""COMPUTED_VALUE"""),"4.607 €/m2")</f>
        <v>4.607 €/m2</v>
      </c>
      <c r="C2" s="1" t="str">
        <f>IFERROR(__xludf.DUMMYFUNCTION("""COMPUTED_VALUE"""),"0,0 %")</f>
        <v>0,0 %</v>
      </c>
      <c r="D2" s="1" t="str">
        <f>IFERROR(__xludf.DUMMYFUNCTION("""COMPUTED_VALUE"""),"+ 3,9 %")</f>
        <v>+ 3,9 %</v>
      </c>
      <c r="E2" s="1" t="str">
        <f>IFERROR(__xludf.DUMMYFUNCTION("""COMPUTED_VALUE"""),"+ 18,0 %")</f>
        <v>+ 18,0 %</v>
      </c>
    </row>
    <row r="3">
      <c r="A3" s="2">
        <f>IFERROR(__xludf.DUMMYFUNCTION("""COMPUTED_VALUE"""),46143.0)</f>
        <v>46143</v>
      </c>
      <c r="B3" s="1" t="str">
        <f>IFERROR(__xludf.DUMMYFUNCTION("""COMPUTED_VALUE"""),"4.606 €/m2")</f>
        <v>4.606 €/m2</v>
      </c>
      <c r="C3" s="1" t="str">
        <f>IFERROR(__xludf.DUMMYFUNCTION("""COMPUTED_VALUE"""),"+ 1,6 %")</f>
        <v>+ 1,6 %</v>
      </c>
      <c r="D3" s="1" t="str">
        <f>IFERROR(__xludf.DUMMYFUNCTION("""COMPUTED_VALUE"""),"+ 5,9 %")</f>
        <v>+ 5,9 %</v>
      </c>
      <c r="E3" s="1" t="str">
        <f>IFERROR(__xludf.DUMMYFUNCTION("""COMPUTED_VALUE"""),"+ 21,1 %")</f>
        <v>+ 21,1 %</v>
      </c>
    </row>
    <row r="4">
      <c r="A4" s="2">
        <f>IFERROR(__xludf.DUMMYFUNCTION("""COMPUTED_VALUE"""),46113.0)</f>
        <v>46113</v>
      </c>
      <c r="B4" s="1" t="str">
        <f>IFERROR(__xludf.DUMMYFUNCTION("""COMPUTED_VALUE"""),"4.533 €/m2")</f>
        <v>4.533 €/m2</v>
      </c>
      <c r="C4" s="1" t="str">
        <f>IFERROR(__xludf.DUMMYFUNCTION("""COMPUTED_VALUE"""),"+ 2,2 %")</f>
        <v>+ 2,2 %</v>
      </c>
      <c r="D4" s="1" t="str">
        <f>IFERROR(__xludf.DUMMYFUNCTION("""COMPUTED_VALUE"""),"+ 6,4 %")</f>
        <v>+ 6,4 %</v>
      </c>
      <c r="E4" s="1" t="str">
        <f>IFERROR(__xludf.DUMMYFUNCTION("""COMPUTED_VALUE"""),"+ 22,3 %")</f>
        <v>+ 22,3 %</v>
      </c>
    </row>
    <row r="5">
      <c r="A5" s="2">
        <f>IFERROR(__xludf.DUMMYFUNCTION("""COMPUTED_VALUE"""),46082.0)</f>
        <v>46082</v>
      </c>
      <c r="B5" s="1" t="str">
        <f>IFERROR(__xludf.DUMMYFUNCTION("""COMPUTED_VALUE"""),"4.435 €/m2")</f>
        <v>4.435 €/m2</v>
      </c>
      <c r="C5" s="1" t="str">
        <f>IFERROR(__xludf.DUMMYFUNCTION("""COMPUTED_VALUE"""),"+ 2,0 %")</f>
        <v>+ 2,0 %</v>
      </c>
      <c r="D5" s="1" t="str">
        <f>IFERROR(__xludf.DUMMYFUNCTION("""COMPUTED_VALUE"""),"+ 7,4 %")</f>
        <v>+ 7,4 %</v>
      </c>
      <c r="E5" s="1" t="str">
        <f>IFERROR(__xludf.DUMMYFUNCTION("""COMPUTED_VALUE"""),"+ 23,0 %")</f>
        <v>+ 23,0 %</v>
      </c>
    </row>
    <row r="6">
      <c r="A6" s="2">
        <f>IFERROR(__xludf.DUMMYFUNCTION("""COMPUTED_VALUE"""),46054.0)</f>
        <v>46054</v>
      </c>
      <c r="B6" s="1" t="str">
        <f>IFERROR(__xludf.DUMMYFUNCTION("""COMPUTED_VALUE"""),"4.349 €/m2")</f>
        <v>4.349 €/m2</v>
      </c>
      <c r="C6" s="1" t="str">
        <f>IFERROR(__xludf.DUMMYFUNCTION("""COMPUTED_VALUE"""),"+ 2,1 %")</f>
        <v>+ 2,1 %</v>
      </c>
      <c r="D6" s="1" t="str">
        <f>IFERROR(__xludf.DUMMYFUNCTION("""COMPUTED_VALUE"""),"+ 6,7 %")</f>
        <v>+ 6,7 %</v>
      </c>
      <c r="E6" s="1" t="str">
        <f>IFERROR(__xludf.DUMMYFUNCTION("""COMPUTED_VALUE"""),"+ 24,1 %")</f>
        <v>+ 24,1 %</v>
      </c>
    </row>
    <row r="7">
      <c r="A7" s="2">
        <f>IFERROR(__xludf.DUMMYFUNCTION("""COMPUTED_VALUE"""),46023.0)</f>
        <v>46023</v>
      </c>
      <c r="B7" s="1" t="str">
        <f>IFERROR(__xludf.DUMMYFUNCTION("""COMPUTED_VALUE"""),"4.261 €/m2")</f>
        <v>4.261 €/m2</v>
      </c>
      <c r="C7" s="1" t="str">
        <f>IFERROR(__xludf.DUMMYFUNCTION("""COMPUTED_VALUE"""),"+ 3,2 %")</f>
        <v>+ 3,2 %</v>
      </c>
      <c r="D7" s="1" t="str">
        <f>IFERROR(__xludf.DUMMYFUNCTION("""COMPUTED_VALUE"""),"+ 5,3 %")</f>
        <v>+ 5,3 %</v>
      </c>
      <c r="E7" s="1" t="str">
        <f>IFERROR(__xludf.DUMMYFUNCTION("""COMPUTED_VALUE"""),"+ 23,9 %")</f>
        <v>+ 23,9 %</v>
      </c>
    </row>
    <row r="8">
      <c r="A8" s="2">
        <f>IFERROR(__xludf.DUMMYFUNCTION("""COMPUTED_VALUE"""),45992.0)</f>
        <v>45992</v>
      </c>
      <c r="B8" s="1" t="str">
        <f>IFERROR(__xludf.DUMMYFUNCTION("""COMPUTED_VALUE"""),"4.131 €/m2")</f>
        <v>4.131 €/m2</v>
      </c>
      <c r="C8" s="1" t="str">
        <f>IFERROR(__xludf.DUMMYFUNCTION("""COMPUTED_VALUE"""),"+ 1,3 %")</f>
        <v>+ 1,3 %</v>
      </c>
      <c r="D8" s="1" t="str">
        <f>IFERROR(__xludf.DUMMYFUNCTION("""COMPUTED_VALUE"""),"+ 5,9 %")</f>
        <v>+ 5,9 %</v>
      </c>
      <c r="E8" s="1" t="str">
        <f>IFERROR(__xludf.DUMMYFUNCTION("""COMPUTED_VALUE"""),"+ 20,3 %")</f>
        <v>+ 20,3 %</v>
      </c>
    </row>
    <row r="9">
      <c r="A9" s="2">
        <f>IFERROR(__xludf.DUMMYFUNCTION("""COMPUTED_VALUE"""),45962.0)</f>
        <v>45962</v>
      </c>
      <c r="B9" s="1" t="str">
        <f>IFERROR(__xludf.DUMMYFUNCTION("""COMPUTED_VALUE"""),"4.078 €/m2")</f>
        <v>4.078 €/m2</v>
      </c>
      <c r="C9" s="1" t="str">
        <f>IFERROR(__xludf.DUMMYFUNCTION("""COMPUTED_VALUE"""),"+ 0,8 %")</f>
        <v>+ 0,8 %</v>
      </c>
      <c r="D9" s="1" t="str">
        <f>IFERROR(__xludf.DUMMYFUNCTION("""COMPUTED_VALUE"""),"+ 4,3 %")</f>
        <v>+ 4,3 %</v>
      </c>
      <c r="E9" s="1" t="str">
        <f>IFERROR(__xludf.DUMMYFUNCTION("""COMPUTED_VALUE"""),"+ 22,6 %")</f>
        <v>+ 22,6 %</v>
      </c>
    </row>
    <row r="10">
      <c r="A10" s="2">
        <f>IFERROR(__xludf.DUMMYFUNCTION("""COMPUTED_VALUE"""),45931.0)</f>
        <v>45931</v>
      </c>
      <c r="B10" s="1" t="str">
        <f>IFERROR(__xludf.DUMMYFUNCTION("""COMPUTED_VALUE"""),"4.047 €/m2")</f>
        <v>4.047 €/m2</v>
      </c>
      <c r="C10" s="1" t="str">
        <f>IFERROR(__xludf.DUMMYFUNCTION("""COMPUTED_VALUE"""),"+ 3,8 %")</f>
        <v>+ 3,8 %</v>
      </c>
      <c r="D10" s="1" t="str">
        <f>IFERROR(__xludf.DUMMYFUNCTION("""COMPUTED_VALUE"""),"+ 3,5 %")</f>
        <v>+ 3,5 %</v>
      </c>
      <c r="E10" s="1" t="str">
        <f>IFERROR(__xludf.DUMMYFUNCTION("""COMPUTED_VALUE"""),"+ 26,0 %")</f>
        <v>+ 26,0 %</v>
      </c>
    </row>
    <row r="11">
      <c r="A11" s="2">
        <f>IFERROR(__xludf.DUMMYFUNCTION("""COMPUTED_VALUE"""),45901.0)</f>
        <v>45901</v>
      </c>
      <c r="B11" s="1" t="str">
        <f>IFERROR(__xludf.DUMMYFUNCTION("""COMPUTED_VALUE"""),"3.900 €/m2")</f>
        <v>3.900 €/m2</v>
      </c>
      <c r="C11" s="1" t="str">
        <f>IFERROR(__xludf.DUMMYFUNCTION("""COMPUTED_VALUE"""),"- 0,3 %")</f>
        <v>- 0,3 %</v>
      </c>
      <c r="D11" s="1" t="str">
        <f>IFERROR(__xludf.DUMMYFUNCTION("""COMPUTED_VALUE"""),"- 0,1 %")</f>
        <v>- 0,1 %</v>
      </c>
      <c r="E11" s="1" t="str">
        <f>IFERROR(__xludf.DUMMYFUNCTION("""COMPUTED_VALUE"""),"+ 23,3 %")</f>
        <v>+ 23,3 %</v>
      </c>
    </row>
    <row r="12">
      <c r="A12" s="2">
        <f>IFERROR(__xludf.DUMMYFUNCTION("""COMPUTED_VALUE"""),45870.0)</f>
        <v>45870</v>
      </c>
      <c r="B12" s="1" t="str">
        <f>IFERROR(__xludf.DUMMYFUNCTION("""COMPUTED_VALUE"""),"3.911 €/m2")</f>
        <v>3.911 €/m2</v>
      </c>
      <c r="C12" s="1" t="str">
        <f>IFERROR(__xludf.DUMMYFUNCTION("""COMPUTED_VALUE"""),"0,0 %")</f>
        <v>0,0 %</v>
      </c>
      <c r="D12" s="1" t="str">
        <f>IFERROR(__xludf.DUMMYFUNCTION("""COMPUTED_VALUE"""),"+ 2,8 %")</f>
        <v>+ 2,8 %</v>
      </c>
      <c r="E12" s="1" t="str">
        <f>IFERROR(__xludf.DUMMYFUNCTION("""COMPUTED_VALUE"""),"+ 22,2 %")</f>
        <v>+ 22,2 %</v>
      </c>
    </row>
    <row r="13">
      <c r="A13" s="2">
        <f>IFERROR(__xludf.DUMMYFUNCTION("""COMPUTED_VALUE"""),45839.0)</f>
        <v>45839</v>
      </c>
      <c r="B13" s="1" t="str">
        <f>IFERROR(__xludf.DUMMYFUNCTION("""COMPUTED_VALUE"""),"3.910 €/m2")</f>
        <v>3.910 €/m2</v>
      </c>
      <c r="C13" s="1" t="str">
        <f>IFERROR(__xludf.DUMMYFUNCTION("""COMPUTED_VALUE"""),"+ 0,2 %")</f>
        <v>+ 0,2 %</v>
      </c>
      <c r="D13" s="1" t="str">
        <f>IFERROR(__xludf.DUMMYFUNCTION("""COMPUTED_VALUE"""),"+ 5,5 %")</f>
        <v>+ 5,5 %</v>
      </c>
      <c r="E13" s="1" t="str">
        <f>IFERROR(__xludf.DUMMYFUNCTION("""COMPUTED_VALUE"""),"+ 24,1 %")</f>
        <v>+ 24,1 %</v>
      </c>
    </row>
    <row r="14">
      <c r="A14" s="2">
        <f>IFERROR(__xludf.DUMMYFUNCTION("""COMPUTED_VALUE"""),45809.0)</f>
        <v>45809</v>
      </c>
      <c r="B14" s="1" t="str">
        <f>IFERROR(__xludf.DUMMYFUNCTION("""COMPUTED_VALUE"""),"3.902 €/m2")</f>
        <v>3.902 €/m2</v>
      </c>
      <c r="C14" s="1" t="str">
        <f>IFERROR(__xludf.DUMMYFUNCTION("""COMPUTED_VALUE"""),"+ 2,6 %")</f>
        <v>+ 2,6 %</v>
      </c>
      <c r="D14" s="1" t="str">
        <f>IFERROR(__xludf.DUMMYFUNCTION("""COMPUTED_VALUE"""),"+ 8,2 %")</f>
        <v>+ 8,2 %</v>
      </c>
      <c r="E14" s="1" t="str">
        <f>IFERROR(__xludf.DUMMYFUNCTION("""COMPUTED_VALUE"""),"+ 24,5 %")</f>
        <v>+ 24,5 %</v>
      </c>
    </row>
    <row r="15">
      <c r="A15" s="2">
        <f>IFERROR(__xludf.DUMMYFUNCTION("""COMPUTED_VALUE"""),45778.0)</f>
        <v>45778</v>
      </c>
      <c r="B15" s="1" t="str">
        <f>IFERROR(__xludf.DUMMYFUNCTION("""COMPUTED_VALUE"""),"3.804 €/m2")</f>
        <v>3.804 €/m2</v>
      </c>
      <c r="C15" s="1" t="str">
        <f>IFERROR(__xludf.DUMMYFUNCTION("""COMPUTED_VALUE"""),"+ 2,7 %")</f>
        <v>+ 2,7 %</v>
      </c>
      <c r="D15" s="1" t="str">
        <f>IFERROR(__xludf.DUMMYFUNCTION("""COMPUTED_VALUE"""),"+ 8,5 %")</f>
        <v>+ 8,5 %</v>
      </c>
      <c r="E15" s="1" t="str">
        <f>IFERROR(__xludf.DUMMYFUNCTION("""COMPUTED_VALUE"""),"+ 23,4 %")</f>
        <v>+ 23,4 %</v>
      </c>
    </row>
    <row r="16">
      <c r="A16" s="2">
        <f>IFERROR(__xludf.DUMMYFUNCTION("""COMPUTED_VALUE"""),45748.0)</f>
        <v>45748</v>
      </c>
      <c r="B16" s="1" t="str">
        <f>IFERROR(__xludf.DUMMYFUNCTION("""COMPUTED_VALUE"""),"3.705 €/m2")</f>
        <v>3.705 €/m2</v>
      </c>
      <c r="C16" s="1" t="str">
        <f>IFERROR(__xludf.DUMMYFUNCTION("""COMPUTED_VALUE"""),"+ 2,7 %")</f>
        <v>+ 2,7 %</v>
      </c>
      <c r="D16" s="1" t="str">
        <f>IFERROR(__xludf.DUMMYFUNCTION("""COMPUTED_VALUE"""),"+ 7,7 %")</f>
        <v>+ 7,7 %</v>
      </c>
      <c r="E16" s="1" t="str">
        <f>IFERROR(__xludf.DUMMYFUNCTION("""COMPUTED_VALUE"""),"+ 21,0 %")</f>
        <v>+ 21,0 %</v>
      </c>
    </row>
    <row r="17">
      <c r="A17" s="2">
        <f>IFERROR(__xludf.DUMMYFUNCTION("""COMPUTED_VALUE"""),45717.0)</f>
        <v>45717</v>
      </c>
      <c r="B17" s="1" t="str">
        <f>IFERROR(__xludf.DUMMYFUNCTION("""COMPUTED_VALUE"""),"3.607 €/m2")</f>
        <v>3.607 €/m2</v>
      </c>
      <c r="C17" s="1" t="str">
        <f>IFERROR(__xludf.DUMMYFUNCTION("""COMPUTED_VALUE"""),"+ 2,9 %")</f>
        <v>+ 2,9 %</v>
      </c>
      <c r="D17" s="1" t="str">
        <f>IFERROR(__xludf.DUMMYFUNCTION("""COMPUTED_VALUE"""),"+ 5,0 %")</f>
        <v>+ 5,0 %</v>
      </c>
      <c r="E17" s="1" t="str">
        <f>IFERROR(__xludf.DUMMYFUNCTION("""COMPUTED_VALUE"""),"+ 19,0 %")</f>
        <v>+ 19,0 %</v>
      </c>
    </row>
    <row r="18">
      <c r="A18" s="2">
        <f>IFERROR(__xludf.DUMMYFUNCTION("""COMPUTED_VALUE"""),45689.0)</f>
        <v>45689</v>
      </c>
      <c r="B18" s="1" t="str">
        <f>IFERROR(__xludf.DUMMYFUNCTION("""COMPUTED_VALUE"""),"3.504 €/m2")</f>
        <v>3.504 €/m2</v>
      </c>
      <c r="C18" s="1" t="str">
        <f>IFERROR(__xludf.DUMMYFUNCTION("""COMPUTED_VALUE"""),"+ 1,9 %")</f>
        <v>+ 1,9 %</v>
      </c>
      <c r="D18" s="1" t="str">
        <f>IFERROR(__xludf.DUMMYFUNCTION("""COMPUTED_VALUE"""),"+ 5,3 %")</f>
        <v>+ 5,3 %</v>
      </c>
      <c r="E18" s="1" t="str">
        <f>IFERROR(__xludf.DUMMYFUNCTION("""COMPUTED_VALUE"""),"+ 17,8 %")</f>
        <v>+ 17,8 %</v>
      </c>
    </row>
    <row r="19">
      <c r="A19" s="2">
        <f>IFERROR(__xludf.DUMMYFUNCTION("""COMPUTED_VALUE"""),45658.0)</f>
        <v>45658</v>
      </c>
      <c r="B19" s="1" t="str">
        <f>IFERROR(__xludf.DUMMYFUNCTION("""COMPUTED_VALUE"""),"3.439 €/m2")</f>
        <v>3.439 €/m2</v>
      </c>
      <c r="C19" s="1" t="str">
        <f>IFERROR(__xludf.DUMMYFUNCTION("""COMPUTED_VALUE"""),"+ 0,2 %")</f>
        <v>+ 0,2 %</v>
      </c>
      <c r="D19" s="1" t="str">
        <f>IFERROR(__xludf.DUMMYFUNCTION("""COMPUTED_VALUE"""),"+ 7,0 %")</f>
        <v>+ 7,0 %</v>
      </c>
      <c r="E19" s="1" t="str">
        <f>IFERROR(__xludf.DUMMYFUNCTION("""COMPUTED_VALUE"""),"+ 21,5 %")</f>
        <v>+ 21,5 %</v>
      </c>
    </row>
    <row r="20">
      <c r="A20" s="2">
        <f>IFERROR(__xludf.DUMMYFUNCTION("""COMPUTED_VALUE"""),45627.0)</f>
        <v>45627</v>
      </c>
      <c r="B20" s="1" t="str">
        <f>IFERROR(__xludf.DUMMYFUNCTION("""COMPUTED_VALUE"""),"3.434 €/m2")</f>
        <v>3.434 €/m2</v>
      </c>
      <c r="C20" s="1" t="str">
        <f>IFERROR(__xludf.DUMMYFUNCTION("""COMPUTED_VALUE"""),"+ 3,2 %")</f>
        <v>+ 3,2 %</v>
      </c>
      <c r="D20" s="1" t="str">
        <f>IFERROR(__xludf.DUMMYFUNCTION("""COMPUTED_VALUE"""),"+ 8,5 %")</f>
        <v>+ 8,5 %</v>
      </c>
      <c r="E20" s="1" t="str">
        <f>IFERROR(__xludf.DUMMYFUNCTION("""COMPUTED_VALUE"""),"+ 22,8 %")</f>
        <v>+ 22,8 %</v>
      </c>
    </row>
    <row r="21">
      <c r="A21" s="2">
        <f>IFERROR(__xludf.DUMMYFUNCTION("""COMPUTED_VALUE"""),45597.0)</f>
        <v>45597</v>
      </c>
      <c r="B21" s="1" t="str">
        <f>IFERROR(__xludf.DUMMYFUNCTION("""COMPUTED_VALUE"""),"3.327 €/m2")</f>
        <v>3.327 €/m2</v>
      </c>
      <c r="C21" s="1" t="str">
        <f>IFERROR(__xludf.DUMMYFUNCTION("""COMPUTED_VALUE"""),"+ 3,6 %")</f>
        <v>+ 3,6 %</v>
      </c>
      <c r="D21" s="1" t="str">
        <f>IFERROR(__xludf.DUMMYFUNCTION("""COMPUTED_VALUE"""),"+ 4,0 %")</f>
        <v>+ 4,0 %</v>
      </c>
      <c r="E21" s="1" t="str">
        <f>IFERROR(__xludf.DUMMYFUNCTION("""COMPUTED_VALUE"""),"+ 20,4 %")</f>
        <v>+ 20,4 %</v>
      </c>
    </row>
    <row r="22">
      <c r="A22" s="2">
        <f>IFERROR(__xludf.DUMMYFUNCTION("""COMPUTED_VALUE"""),45566.0)</f>
        <v>45566</v>
      </c>
      <c r="B22" s="1" t="str">
        <f>IFERROR(__xludf.DUMMYFUNCTION("""COMPUTED_VALUE"""),"3.213 €/m2")</f>
        <v>3.213 €/m2</v>
      </c>
      <c r="C22" s="1" t="str">
        <f>IFERROR(__xludf.DUMMYFUNCTION("""COMPUTED_VALUE"""),"+ 1,6 %")</f>
        <v>+ 1,6 %</v>
      </c>
      <c r="D22" s="1" t="str">
        <f>IFERROR(__xludf.DUMMYFUNCTION("""COMPUTED_VALUE"""),"+ 2,0 %")</f>
        <v>+ 2,0 %</v>
      </c>
      <c r="E22" s="1" t="str">
        <f>IFERROR(__xludf.DUMMYFUNCTION("""COMPUTED_VALUE"""),"+ 16,7 %")</f>
        <v>+ 16,7 %</v>
      </c>
    </row>
    <row r="23">
      <c r="A23" s="2">
        <f>IFERROR(__xludf.DUMMYFUNCTION("""COMPUTED_VALUE"""),45536.0)</f>
        <v>45536</v>
      </c>
      <c r="B23" s="1" t="str">
        <f>IFERROR(__xludf.DUMMYFUNCTION("""COMPUTED_VALUE"""),"3.163 €/m2")</f>
        <v>3.163 €/m2</v>
      </c>
      <c r="C23" s="1" t="str">
        <f>IFERROR(__xludf.DUMMYFUNCTION("""COMPUTED_VALUE"""),"- 1,1 %")</f>
        <v>- 1,1 %</v>
      </c>
      <c r="D23" s="1" t="str">
        <f>IFERROR(__xludf.DUMMYFUNCTION("""COMPUTED_VALUE"""),"+ 0,9 %")</f>
        <v>+ 0,9 %</v>
      </c>
      <c r="E23" s="1" t="str">
        <f>IFERROR(__xludf.DUMMYFUNCTION("""COMPUTED_VALUE"""),"+ 15,0 %")</f>
        <v>+ 15,0 %</v>
      </c>
    </row>
    <row r="24">
      <c r="A24" s="2">
        <f>IFERROR(__xludf.DUMMYFUNCTION("""COMPUTED_VALUE"""),45505.0)</f>
        <v>45505</v>
      </c>
      <c r="B24" s="1" t="str">
        <f>IFERROR(__xludf.DUMMYFUNCTION("""COMPUTED_VALUE"""),"3.200 €/m2")</f>
        <v>3.200 €/m2</v>
      </c>
      <c r="C24" s="1" t="str">
        <f>IFERROR(__xludf.DUMMYFUNCTION("""COMPUTED_VALUE"""),"+ 1,6 %")</f>
        <v>+ 1,6 %</v>
      </c>
      <c r="D24" s="1" t="str">
        <f>IFERROR(__xludf.DUMMYFUNCTION("""COMPUTED_VALUE"""),"+ 3,8 %")</f>
        <v>+ 3,8 %</v>
      </c>
      <c r="E24" s="1" t="str">
        <f>IFERROR(__xludf.DUMMYFUNCTION("""COMPUTED_VALUE"""),"+ 15,4 %")</f>
        <v>+ 15,4 %</v>
      </c>
    </row>
    <row r="25">
      <c r="A25" s="2">
        <f>IFERROR(__xludf.DUMMYFUNCTION("""COMPUTED_VALUE"""),45474.0)</f>
        <v>45474</v>
      </c>
      <c r="B25" s="1" t="str">
        <f>IFERROR(__xludf.DUMMYFUNCTION("""COMPUTED_VALUE"""),"3.150 €/m2")</f>
        <v>3.150 €/m2</v>
      </c>
      <c r="C25" s="1" t="str">
        <f>IFERROR(__xludf.DUMMYFUNCTION("""COMPUTED_VALUE"""),"+ 0,5 %")</f>
        <v>+ 0,5 %</v>
      </c>
      <c r="D25" s="1" t="str">
        <f>IFERROR(__xludf.DUMMYFUNCTION("""COMPUTED_VALUE"""),"+ 2,9 %")</f>
        <v>+ 2,9 %</v>
      </c>
      <c r="E25" s="1" t="str">
        <f>IFERROR(__xludf.DUMMYFUNCTION("""COMPUTED_VALUE"""),"+ 12,6 %")</f>
        <v>+ 12,6 %</v>
      </c>
    </row>
    <row r="26">
      <c r="A26" s="2">
        <f>IFERROR(__xludf.DUMMYFUNCTION("""COMPUTED_VALUE"""),45444.0)</f>
        <v>45444</v>
      </c>
      <c r="B26" s="1" t="str">
        <f>IFERROR(__xludf.DUMMYFUNCTION("""COMPUTED_VALUE"""),"3.136 €/m2")</f>
        <v>3.136 €/m2</v>
      </c>
      <c r="C26" s="1" t="str">
        <f>IFERROR(__xludf.DUMMYFUNCTION("""COMPUTED_VALUE"""),"+ 1,7 %")</f>
        <v>+ 1,7 %</v>
      </c>
      <c r="D26" s="1" t="str">
        <f>IFERROR(__xludf.DUMMYFUNCTION("""COMPUTED_VALUE"""),"+ 3,5 %")</f>
        <v>+ 3,5 %</v>
      </c>
      <c r="E26" s="1" t="str">
        <f>IFERROR(__xludf.DUMMYFUNCTION("""COMPUTED_VALUE"""),"+ 12,6 %")</f>
        <v>+ 12,6 %</v>
      </c>
    </row>
    <row r="27">
      <c r="A27" s="2">
        <f>IFERROR(__xludf.DUMMYFUNCTION("""COMPUTED_VALUE"""),45413.0)</f>
        <v>45413</v>
      </c>
      <c r="B27" s="1" t="str">
        <f>IFERROR(__xludf.DUMMYFUNCTION("""COMPUTED_VALUE"""),"3.083 €/m2")</f>
        <v>3.083 €/m2</v>
      </c>
      <c r="C27" s="1" t="str">
        <f>IFERROR(__xludf.DUMMYFUNCTION("""COMPUTED_VALUE"""),"+ 0,7 %")</f>
        <v>+ 0,7 %</v>
      </c>
      <c r="D27" s="1" t="str">
        <f>IFERROR(__xludf.DUMMYFUNCTION("""COMPUTED_VALUE"""),"+ 3,7 %")</f>
        <v>+ 3,7 %</v>
      </c>
      <c r="E27" s="1" t="str">
        <f>IFERROR(__xludf.DUMMYFUNCTION("""COMPUTED_VALUE"""),"+ 12,4 %")</f>
        <v>+ 12,4 %</v>
      </c>
    </row>
    <row r="28">
      <c r="A28" s="2">
        <f>IFERROR(__xludf.DUMMYFUNCTION("""COMPUTED_VALUE"""),45383.0)</f>
        <v>45383</v>
      </c>
      <c r="B28" s="1" t="str">
        <f>IFERROR(__xludf.DUMMYFUNCTION("""COMPUTED_VALUE"""),"3.061 €/m2")</f>
        <v>3.061 €/m2</v>
      </c>
      <c r="C28" s="1" t="str">
        <f>IFERROR(__xludf.DUMMYFUNCTION("""COMPUTED_VALUE"""),"+ 1,0 %")</f>
        <v>+ 1,0 %</v>
      </c>
      <c r="D28" s="1" t="str">
        <f>IFERROR(__xludf.DUMMYFUNCTION("""COMPUTED_VALUE"""),"+ 8,2 %")</f>
        <v>+ 8,2 %</v>
      </c>
      <c r="E28" s="1" t="str">
        <f>IFERROR(__xludf.DUMMYFUNCTION("""COMPUTED_VALUE"""),"+ 13,9 %")</f>
        <v>+ 13,9 %</v>
      </c>
    </row>
    <row r="29">
      <c r="A29" s="2">
        <f>IFERROR(__xludf.DUMMYFUNCTION("""COMPUTED_VALUE"""),45352.0)</f>
        <v>45352</v>
      </c>
      <c r="B29" s="1" t="str">
        <f>IFERROR(__xludf.DUMMYFUNCTION("""COMPUTED_VALUE"""),"3.030 €/m2")</f>
        <v>3.030 €/m2</v>
      </c>
      <c r="C29" s="1" t="str">
        <f>IFERROR(__xludf.DUMMYFUNCTION("""COMPUTED_VALUE"""),"+ 1,9 %")</f>
        <v>+ 1,9 %</v>
      </c>
      <c r="D29" s="1" t="str">
        <f>IFERROR(__xludf.DUMMYFUNCTION("""COMPUTED_VALUE"""),"+ 8,3 %")</f>
        <v>+ 8,3 %</v>
      </c>
      <c r="E29" s="1" t="str">
        <f>IFERROR(__xludf.DUMMYFUNCTION("""COMPUTED_VALUE"""),"+ 13,7 %")</f>
        <v>+ 13,7 %</v>
      </c>
    </row>
    <row r="30">
      <c r="A30" s="2">
        <f>IFERROR(__xludf.DUMMYFUNCTION("""COMPUTED_VALUE"""),45323.0)</f>
        <v>45323</v>
      </c>
      <c r="B30" s="1" t="str">
        <f>IFERROR(__xludf.DUMMYFUNCTION("""COMPUTED_VALUE"""),"2.974 €/m2")</f>
        <v>2.974 €/m2</v>
      </c>
      <c r="C30" s="1" t="str">
        <f>IFERROR(__xludf.DUMMYFUNCTION("""COMPUTED_VALUE"""),"+ 5,1 %")</f>
        <v>+ 5,1 %</v>
      </c>
      <c r="D30" s="1" t="str">
        <f>IFERROR(__xludf.DUMMYFUNCTION("""COMPUTED_VALUE"""),"+ 7,6 %")</f>
        <v>+ 7,6 %</v>
      </c>
      <c r="E30" s="1" t="str">
        <f>IFERROR(__xludf.DUMMYFUNCTION("""COMPUTED_VALUE"""),"+ 12,5 %")</f>
        <v>+ 12,5 %</v>
      </c>
    </row>
    <row r="31">
      <c r="A31" s="2">
        <f>IFERROR(__xludf.DUMMYFUNCTION("""COMPUTED_VALUE"""),45292.0)</f>
        <v>45292</v>
      </c>
      <c r="B31" s="1" t="str">
        <f>IFERROR(__xludf.DUMMYFUNCTION("""COMPUTED_VALUE"""),"2.830 €/m2")</f>
        <v>2.830 €/m2</v>
      </c>
      <c r="C31" s="1" t="str">
        <f>IFERROR(__xludf.DUMMYFUNCTION("""COMPUTED_VALUE"""),"+ 1,2 %")</f>
        <v>+ 1,2 %</v>
      </c>
      <c r="D31" s="1" t="str">
        <f>IFERROR(__xludf.DUMMYFUNCTION("""COMPUTED_VALUE"""),"+ 2,8 %")</f>
        <v>+ 2,8 %</v>
      </c>
      <c r="E31" s="1" t="str">
        <f>IFERROR(__xludf.DUMMYFUNCTION("""COMPUTED_VALUE"""),"+ 6,6 %")</f>
        <v>+ 6,6 %</v>
      </c>
    </row>
    <row r="32">
      <c r="A32" s="2">
        <f>IFERROR(__xludf.DUMMYFUNCTION("""COMPUTED_VALUE"""),45261.0)</f>
        <v>45261</v>
      </c>
      <c r="B32" s="1" t="str">
        <f>IFERROR(__xludf.DUMMYFUNCTION("""COMPUTED_VALUE"""),"2.797 €/m2")</f>
        <v>2.797 €/m2</v>
      </c>
      <c r="C32" s="1" t="str">
        <f>IFERROR(__xludf.DUMMYFUNCTION("""COMPUTED_VALUE"""),"+ 1,2 %")</f>
        <v>+ 1,2 %</v>
      </c>
      <c r="D32" s="1" t="str">
        <f>IFERROR(__xludf.DUMMYFUNCTION("""COMPUTED_VALUE"""),"+ 1,6 %")</f>
        <v>+ 1,6 %</v>
      </c>
      <c r="E32" s="1" t="str">
        <f>IFERROR(__xludf.DUMMYFUNCTION("""COMPUTED_VALUE"""),"+ 4,7 %")</f>
        <v>+ 4,7 %</v>
      </c>
    </row>
    <row r="33">
      <c r="A33" s="2">
        <f>IFERROR(__xludf.DUMMYFUNCTION("""COMPUTED_VALUE"""),45231.0)</f>
        <v>45231</v>
      </c>
      <c r="B33" s="1" t="str">
        <f>IFERROR(__xludf.DUMMYFUNCTION("""COMPUTED_VALUE"""),"2.763 €/m2")</f>
        <v>2.763 €/m2</v>
      </c>
      <c r="C33" s="1" t="str">
        <f>IFERROR(__xludf.DUMMYFUNCTION("""COMPUTED_VALUE"""),"+ 0,3 %")</f>
        <v>+ 0,3 %</v>
      </c>
      <c r="D33" s="1" t="str">
        <f>IFERROR(__xludf.DUMMYFUNCTION("""COMPUTED_VALUE"""),"- 0,3 %")</f>
        <v>- 0,3 %</v>
      </c>
      <c r="E33" s="1" t="str">
        <f>IFERROR(__xludf.DUMMYFUNCTION("""COMPUTED_VALUE"""),"+ 3,3 %")</f>
        <v>+ 3,3 %</v>
      </c>
    </row>
    <row r="34">
      <c r="A34" s="2">
        <f>IFERROR(__xludf.DUMMYFUNCTION("""COMPUTED_VALUE"""),45200.0)</f>
        <v>45200</v>
      </c>
      <c r="B34" s="1" t="str">
        <f>IFERROR(__xludf.DUMMYFUNCTION("""COMPUTED_VALUE"""),"2.754 €/m2")</f>
        <v>2.754 €/m2</v>
      </c>
      <c r="C34" s="1" t="str">
        <f>IFERROR(__xludf.DUMMYFUNCTION("""COMPUTED_VALUE"""),"+ 0,1 %")</f>
        <v>+ 0,1 %</v>
      </c>
      <c r="D34" s="1" t="str">
        <f>IFERROR(__xludf.DUMMYFUNCTION("""COMPUTED_VALUE"""),"- 1,5 %")</f>
        <v>- 1,5 %</v>
      </c>
      <c r="E34" s="1" t="str">
        <f>IFERROR(__xludf.DUMMYFUNCTION("""COMPUTED_VALUE"""),"+ 3,1 %")</f>
        <v>+ 3,1 %</v>
      </c>
    </row>
    <row r="35">
      <c r="A35" s="2">
        <f>IFERROR(__xludf.DUMMYFUNCTION("""COMPUTED_VALUE"""),45170.0)</f>
        <v>45170</v>
      </c>
      <c r="B35" s="1" t="str">
        <f>IFERROR(__xludf.DUMMYFUNCTION("""COMPUTED_VALUE"""),"2.752 €/m2")</f>
        <v>2.752 €/m2</v>
      </c>
      <c r="C35" s="1" t="str">
        <f>IFERROR(__xludf.DUMMYFUNCTION("""COMPUTED_VALUE"""),"- 0,7 %")</f>
        <v>- 0,7 %</v>
      </c>
      <c r="D35" s="1" t="str">
        <f>IFERROR(__xludf.DUMMYFUNCTION("""COMPUTED_VALUE"""),"- 1,1 %")</f>
        <v>- 1,1 %</v>
      </c>
      <c r="E35" s="1" t="str">
        <f>IFERROR(__xludf.DUMMYFUNCTION("""COMPUTED_VALUE"""),"+ 2,1 %")</f>
        <v>+ 2,1 %</v>
      </c>
    </row>
    <row r="36">
      <c r="A36" s="2">
        <f>IFERROR(__xludf.DUMMYFUNCTION("""COMPUTED_VALUE"""),45139.0)</f>
        <v>45139</v>
      </c>
      <c r="B36" s="1" t="str">
        <f>IFERROR(__xludf.DUMMYFUNCTION("""COMPUTED_VALUE"""),"2.772 €/m2")</f>
        <v>2.772 €/m2</v>
      </c>
      <c r="C36" s="1" t="str">
        <f>IFERROR(__xludf.DUMMYFUNCTION("""COMPUTED_VALUE"""),"- 0,9 %")</f>
        <v>- 0,9 %</v>
      </c>
      <c r="D36" s="1" t="str">
        <f>IFERROR(__xludf.DUMMYFUNCTION("""COMPUTED_VALUE"""),"+ 1,0 %")</f>
        <v>+ 1,0 %</v>
      </c>
      <c r="E36" s="1" t="str">
        <f>IFERROR(__xludf.DUMMYFUNCTION("""COMPUTED_VALUE"""),"+ 2,7 %")</f>
        <v>+ 2,7 %</v>
      </c>
    </row>
    <row r="37">
      <c r="A37" s="2">
        <f>IFERROR(__xludf.DUMMYFUNCTION("""COMPUTED_VALUE"""),45108.0)</f>
        <v>45108</v>
      </c>
      <c r="B37" s="1" t="str">
        <f>IFERROR(__xludf.DUMMYFUNCTION("""COMPUTED_VALUE"""),"2.797 €/m2")</f>
        <v>2.797 €/m2</v>
      </c>
      <c r="C37" s="1" t="str">
        <f>IFERROR(__xludf.DUMMYFUNCTION("""COMPUTED_VALUE"""),"+ 0,5 %")</f>
        <v>+ 0,5 %</v>
      </c>
      <c r="D37" s="1" t="str">
        <f>IFERROR(__xludf.DUMMYFUNCTION("""COMPUTED_VALUE"""),"+ 4,1 %")</f>
        <v>+ 4,1 %</v>
      </c>
      <c r="E37" s="1" t="str">
        <f>IFERROR(__xludf.DUMMYFUNCTION("""COMPUTED_VALUE"""),"+ 5,4 %")</f>
        <v>+ 5,4 %</v>
      </c>
    </row>
    <row r="38">
      <c r="A38" s="2">
        <f>IFERROR(__xludf.DUMMYFUNCTION("""COMPUTED_VALUE"""),45078.0)</f>
        <v>45078</v>
      </c>
      <c r="B38" s="1" t="str">
        <f>IFERROR(__xludf.DUMMYFUNCTION("""COMPUTED_VALUE"""),"2.784 €/m2")</f>
        <v>2.784 €/m2</v>
      </c>
      <c r="C38" s="1" t="str">
        <f>IFERROR(__xludf.DUMMYFUNCTION("""COMPUTED_VALUE"""),"+ 1,4 %")</f>
        <v>+ 1,4 %</v>
      </c>
      <c r="D38" s="1" t="str">
        <f>IFERROR(__xludf.DUMMYFUNCTION("""COMPUTED_VALUE"""),"+ 4,5 %")</f>
        <v>+ 4,5 %</v>
      </c>
      <c r="E38" s="1" t="str">
        <f>IFERROR(__xludf.DUMMYFUNCTION("""COMPUTED_VALUE"""),"+ 4,7 %")</f>
        <v>+ 4,7 %</v>
      </c>
    </row>
    <row r="39">
      <c r="A39" s="2">
        <f>IFERROR(__xludf.DUMMYFUNCTION("""COMPUTED_VALUE"""),45047.0)</f>
        <v>45047</v>
      </c>
      <c r="B39" s="1" t="str">
        <f>IFERROR(__xludf.DUMMYFUNCTION("""COMPUTED_VALUE"""),"2.744 €/m2")</f>
        <v>2.744 €/m2</v>
      </c>
      <c r="C39" s="1" t="str">
        <f>IFERROR(__xludf.DUMMYFUNCTION("""COMPUTED_VALUE"""),"+ 2,1 %")</f>
        <v>+ 2,1 %</v>
      </c>
      <c r="D39" s="1" t="str">
        <f>IFERROR(__xludf.DUMMYFUNCTION("""COMPUTED_VALUE"""),"+ 3,8 %")</f>
        <v>+ 3,8 %</v>
      </c>
      <c r="E39" s="1" t="str">
        <f>IFERROR(__xludf.DUMMYFUNCTION("""COMPUTED_VALUE"""),"+ 3,2 %")</f>
        <v>+ 3,2 %</v>
      </c>
    </row>
    <row r="40">
      <c r="A40" s="2">
        <f>IFERROR(__xludf.DUMMYFUNCTION("""COMPUTED_VALUE"""),45017.0)</f>
        <v>45017</v>
      </c>
      <c r="B40" s="1" t="str">
        <f>IFERROR(__xludf.DUMMYFUNCTION("""COMPUTED_VALUE"""),"2.687 €/m2")</f>
        <v>2.687 €/m2</v>
      </c>
      <c r="C40" s="1" t="str">
        <f>IFERROR(__xludf.DUMMYFUNCTION("""COMPUTED_VALUE"""),"+ 0,8 %")</f>
        <v>+ 0,8 %</v>
      </c>
      <c r="D40" s="1" t="str">
        <f>IFERROR(__xludf.DUMMYFUNCTION("""COMPUTED_VALUE"""),"+ 1,3 %")</f>
        <v>+ 1,3 %</v>
      </c>
      <c r="E40" s="1" t="str">
        <f>IFERROR(__xludf.DUMMYFUNCTION("""COMPUTED_VALUE"""),"+ 1,1 %")</f>
        <v>+ 1,1 %</v>
      </c>
    </row>
    <row r="41">
      <c r="A41" s="2">
        <f>IFERROR(__xludf.DUMMYFUNCTION("""COMPUTED_VALUE"""),44986.0)</f>
        <v>44986</v>
      </c>
      <c r="B41" s="1" t="str">
        <f>IFERROR(__xludf.DUMMYFUNCTION("""COMPUTED_VALUE"""),"2.665 €/m2")</f>
        <v>2.665 €/m2</v>
      </c>
      <c r="C41" s="1" t="str">
        <f>IFERROR(__xludf.DUMMYFUNCTION("""COMPUTED_VALUE"""),"+ 0,8 %")</f>
        <v>+ 0,8 %</v>
      </c>
      <c r="D41" s="1" t="str">
        <f>IFERROR(__xludf.DUMMYFUNCTION("""COMPUTED_VALUE"""),"- 0,2 %")</f>
        <v>- 0,2 %</v>
      </c>
      <c r="E41" s="1" t="str">
        <f>IFERROR(__xludf.DUMMYFUNCTION("""COMPUTED_VALUE"""),"+ 3,8 %")</f>
        <v>+ 3,8 %</v>
      </c>
    </row>
    <row r="42">
      <c r="A42" s="2">
        <f>IFERROR(__xludf.DUMMYFUNCTION("""COMPUTED_VALUE"""),44958.0)</f>
        <v>44958</v>
      </c>
      <c r="B42" s="1" t="str">
        <f>IFERROR(__xludf.DUMMYFUNCTION("""COMPUTED_VALUE"""),"2.643 €/m2")</f>
        <v>2.643 €/m2</v>
      </c>
      <c r="C42" s="1" t="str">
        <f>IFERROR(__xludf.DUMMYFUNCTION("""COMPUTED_VALUE"""),"- 0,4 %")</f>
        <v>- 0,4 %</v>
      </c>
      <c r="D42" s="1" t="str">
        <f>IFERROR(__xludf.DUMMYFUNCTION("""COMPUTED_VALUE"""),"- 1,2 %")</f>
        <v>- 1,2 %</v>
      </c>
      <c r="E42" s="1" t="str">
        <f>IFERROR(__xludf.DUMMYFUNCTION("""COMPUTED_VALUE"""),"+ 1,8 %")</f>
        <v>+ 1,8 %</v>
      </c>
    </row>
    <row r="43">
      <c r="A43" s="2">
        <f>IFERROR(__xludf.DUMMYFUNCTION("""COMPUTED_VALUE"""),44927.0)</f>
        <v>44927</v>
      </c>
      <c r="B43" s="1" t="str">
        <f>IFERROR(__xludf.DUMMYFUNCTION("""COMPUTED_VALUE"""),"2.654 €/m2")</f>
        <v>2.654 €/m2</v>
      </c>
      <c r="C43" s="1" t="str">
        <f>IFERROR(__xludf.DUMMYFUNCTION("""COMPUTED_VALUE"""),"- 0,6 %")</f>
        <v>- 0,6 %</v>
      </c>
      <c r="D43" s="1" t="str">
        <f>IFERROR(__xludf.DUMMYFUNCTION("""COMPUTED_VALUE"""),"- 0,7 %")</f>
        <v>- 0,7 %</v>
      </c>
      <c r="E43" s="1" t="str">
        <f>IFERROR(__xludf.DUMMYFUNCTION("""COMPUTED_VALUE"""),"+ 3,6 %")</f>
        <v>+ 3,6 %</v>
      </c>
    </row>
    <row r="44">
      <c r="A44" s="2">
        <f>IFERROR(__xludf.DUMMYFUNCTION("""COMPUTED_VALUE"""),44896.0)</f>
        <v>44896</v>
      </c>
      <c r="B44" s="1" t="str">
        <f>IFERROR(__xludf.DUMMYFUNCTION("""COMPUTED_VALUE"""),"2.670 €/m2")</f>
        <v>2.670 €/m2</v>
      </c>
      <c r="C44" s="1" t="str">
        <f>IFERROR(__xludf.DUMMYFUNCTION("""COMPUTED_VALUE"""),"- 0,2 %")</f>
        <v>- 0,2 %</v>
      </c>
      <c r="D44" s="1" t="str">
        <f>IFERROR(__xludf.DUMMYFUNCTION("""COMPUTED_VALUE"""),"- 0,9 %")</f>
        <v>- 0,9 %</v>
      </c>
      <c r="E44" s="1" t="str">
        <f>IFERROR(__xludf.DUMMYFUNCTION("""COMPUTED_VALUE"""),"+ 4,9 %")</f>
        <v>+ 4,9 %</v>
      </c>
    </row>
    <row r="45">
      <c r="A45" s="2">
        <f>IFERROR(__xludf.DUMMYFUNCTION("""COMPUTED_VALUE"""),44866.0)</f>
        <v>44866</v>
      </c>
      <c r="B45" s="1" t="str">
        <f>IFERROR(__xludf.DUMMYFUNCTION("""COMPUTED_VALUE"""),"2.675 €/m2")</f>
        <v>2.675 €/m2</v>
      </c>
      <c r="C45" s="1" t="str">
        <f>IFERROR(__xludf.DUMMYFUNCTION("""COMPUTED_VALUE"""),"+ 0,1 %")</f>
        <v>+ 0,1 %</v>
      </c>
      <c r="D45" s="1" t="str">
        <f>IFERROR(__xludf.DUMMYFUNCTION("""COMPUTED_VALUE"""),"- 0,9 %")</f>
        <v>- 0,9 %</v>
      </c>
      <c r="E45" s="1" t="str">
        <f>IFERROR(__xludf.DUMMYFUNCTION("""COMPUTED_VALUE"""),"+ 6,5 %")</f>
        <v>+ 6,5 %</v>
      </c>
    </row>
    <row r="46">
      <c r="A46" s="2">
        <f>IFERROR(__xludf.DUMMYFUNCTION("""COMPUTED_VALUE"""),44835.0)</f>
        <v>44835</v>
      </c>
      <c r="B46" s="1" t="str">
        <f>IFERROR(__xludf.DUMMYFUNCTION("""COMPUTED_VALUE"""),"2.672 €/m2")</f>
        <v>2.672 €/m2</v>
      </c>
      <c r="C46" s="1" t="str">
        <f>IFERROR(__xludf.DUMMYFUNCTION("""COMPUTED_VALUE"""),"- 0,9 %")</f>
        <v>- 0,9 %</v>
      </c>
      <c r="D46" s="1" t="str">
        <f>IFERROR(__xludf.DUMMYFUNCTION("""COMPUTED_VALUE"""),"+ 0,7 %")</f>
        <v>+ 0,7 %</v>
      </c>
      <c r="E46" s="1" t="str">
        <f>IFERROR(__xludf.DUMMYFUNCTION("""COMPUTED_VALUE"""),"+ 6,9 %")</f>
        <v>+ 6,9 %</v>
      </c>
    </row>
    <row r="47">
      <c r="A47" s="2">
        <f>IFERROR(__xludf.DUMMYFUNCTION("""COMPUTED_VALUE"""),44805.0)</f>
        <v>44805</v>
      </c>
      <c r="B47" s="1" t="str">
        <f>IFERROR(__xludf.DUMMYFUNCTION("""COMPUTED_VALUE"""),"2.695 €/m2")</f>
        <v>2.695 €/m2</v>
      </c>
      <c r="C47" s="1" t="str">
        <f>IFERROR(__xludf.DUMMYFUNCTION("""COMPUTED_VALUE"""),"- 0,1 %")</f>
        <v>- 0,1 %</v>
      </c>
      <c r="D47" s="1" t="str">
        <f>IFERROR(__xludf.DUMMYFUNCTION("""COMPUTED_VALUE"""),"+ 1,4 %")</f>
        <v>+ 1,4 %</v>
      </c>
      <c r="E47" s="1" t="str">
        <f>IFERROR(__xludf.DUMMYFUNCTION("""COMPUTED_VALUE"""),"+ 4,9 %")</f>
        <v>+ 4,9 %</v>
      </c>
    </row>
    <row r="48">
      <c r="A48" s="2">
        <f>IFERROR(__xludf.DUMMYFUNCTION("""COMPUTED_VALUE"""),44774.0)</f>
        <v>44774</v>
      </c>
      <c r="B48" s="1" t="str">
        <f>IFERROR(__xludf.DUMMYFUNCTION("""COMPUTED_VALUE"""),"2.699 €/m2")</f>
        <v>2.699 €/m2</v>
      </c>
      <c r="C48" s="1" t="str">
        <f>IFERROR(__xludf.DUMMYFUNCTION("""COMPUTED_VALUE"""),"+ 1,7 %")</f>
        <v>+ 1,7 %</v>
      </c>
      <c r="D48" s="1" t="str">
        <f>IFERROR(__xludf.DUMMYFUNCTION("""COMPUTED_VALUE"""),"+ 1,5 %")</f>
        <v>+ 1,5 %</v>
      </c>
      <c r="E48" s="1" t="str">
        <f>IFERROR(__xludf.DUMMYFUNCTION("""COMPUTED_VALUE"""),"+ 5,1 %")</f>
        <v>+ 5,1 %</v>
      </c>
    </row>
    <row r="49">
      <c r="A49" s="2">
        <f>IFERROR(__xludf.DUMMYFUNCTION("""COMPUTED_VALUE"""),44743.0)</f>
        <v>44743</v>
      </c>
      <c r="B49" s="1" t="str">
        <f>IFERROR(__xludf.DUMMYFUNCTION("""COMPUTED_VALUE"""),"2.653 €/m2")</f>
        <v>2.653 €/m2</v>
      </c>
      <c r="C49" s="1" t="str">
        <f>IFERROR(__xludf.DUMMYFUNCTION("""COMPUTED_VALUE"""),"- 0,2 %")</f>
        <v>- 0,2 %</v>
      </c>
      <c r="D49" s="1" t="str">
        <f>IFERROR(__xludf.DUMMYFUNCTION("""COMPUTED_VALUE"""),"- 0,2 %")</f>
        <v>- 0,2 %</v>
      </c>
      <c r="E49" s="1" t="str">
        <f>IFERROR(__xludf.DUMMYFUNCTION("""COMPUTED_VALUE"""),"+ 2,9 %")</f>
        <v>+ 2,9 %</v>
      </c>
    </row>
    <row r="50">
      <c r="A50" s="2">
        <f>IFERROR(__xludf.DUMMYFUNCTION("""COMPUTED_VALUE"""),44713.0)</f>
        <v>44713</v>
      </c>
      <c r="B50" s="1" t="str">
        <f>IFERROR(__xludf.DUMMYFUNCTION("""COMPUTED_VALUE"""),"2.658 €/m2")</f>
        <v>2.658 €/m2</v>
      </c>
      <c r="C50" s="1" t="str">
        <f>IFERROR(__xludf.DUMMYFUNCTION("""COMPUTED_VALUE"""),"0,0 %")</f>
        <v>0,0 %</v>
      </c>
      <c r="D50" s="1" t="str">
        <f>IFERROR(__xludf.DUMMYFUNCTION("""COMPUTED_VALUE"""),"+ 3,5 %")</f>
        <v>+ 3,5 %</v>
      </c>
      <c r="E50" s="1" t="str">
        <f>IFERROR(__xludf.DUMMYFUNCTION("""COMPUTED_VALUE"""),"+ 2,9 %")</f>
        <v>+ 2,9 %</v>
      </c>
    </row>
    <row r="51">
      <c r="A51" s="2">
        <f>IFERROR(__xludf.DUMMYFUNCTION("""COMPUTED_VALUE"""),44682.0)</f>
        <v>44682</v>
      </c>
      <c r="B51" s="1" t="str">
        <f>IFERROR(__xludf.DUMMYFUNCTION("""COMPUTED_VALUE"""),"2.659 €/m2")</f>
        <v>2.659 €/m2</v>
      </c>
      <c r="C51" s="1" t="str">
        <f>IFERROR(__xludf.DUMMYFUNCTION("""COMPUTED_VALUE"""),"0,0 %")</f>
        <v>0,0 %</v>
      </c>
      <c r="D51" s="1" t="str">
        <f>IFERROR(__xludf.DUMMYFUNCTION("""COMPUTED_VALUE"""),"+ 2,4 %")</f>
        <v>+ 2,4 %</v>
      </c>
      <c r="E51" s="1" t="str">
        <f>IFERROR(__xludf.DUMMYFUNCTION("""COMPUTED_VALUE"""),"+ 4,1 %")</f>
        <v>+ 4,1 %</v>
      </c>
    </row>
    <row r="52">
      <c r="A52" s="2">
        <f>IFERROR(__xludf.DUMMYFUNCTION("""COMPUTED_VALUE"""),44652.0)</f>
        <v>44652</v>
      </c>
      <c r="B52" s="1" t="str">
        <f>IFERROR(__xludf.DUMMYFUNCTION("""COMPUTED_VALUE"""),"2.659 €/m2")</f>
        <v>2.659 €/m2</v>
      </c>
      <c r="C52" s="1" t="str">
        <f>IFERROR(__xludf.DUMMYFUNCTION("""COMPUTED_VALUE"""),"+ 3,5 %")</f>
        <v>+ 3,5 %</v>
      </c>
      <c r="D52" s="1" t="str">
        <f>IFERROR(__xludf.DUMMYFUNCTION("""COMPUTED_VALUE"""),"+ 3,8 %")</f>
        <v>+ 3,8 %</v>
      </c>
      <c r="E52" s="1" t="str">
        <f>IFERROR(__xludf.DUMMYFUNCTION("""COMPUTED_VALUE"""),"+ 4,9 %")</f>
        <v>+ 4,9 %</v>
      </c>
    </row>
    <row r="53">
      <c r="A53" s="2">
        <f>IFERROR(__xludf.DUMMYFUNCTION("""COMPUTED_VALUE"""),44621.0)</f>
        <v>44621</v>
      </c>
      <c r="B53" s="1" t="str">
        <f>IFERROR(__xludf.DUMMYFUNCTION("""COMPUTED_VALUE"""),"2.568 €/m2")</f>
        <v>2.568 €/m2</v>
      </c>
      <c r="C53" s="1" t="str">
        <f>IFERROR(__xludf.DUMMYFUNCTION("""COMPUTED_VALUE"""),"- 1,1 %")</f>
        <v>- 1,1 %</v>
      </c>
      <c r="D53" s="1" t="str">
        <f>IFERROR(__xludf.DUMMYFUNCTION("""COMPUTED_VALUE"""),"+ 0,9 %")</f>
        <v>+ 0,9 %</v>
      </c>
      <c r="E53" s="1" t="str">
        <f>IFERROR(__xludf.DUMMYFUNCTION("""COMPUTED_VALUE"""),"+ 0,2 %")</f>
        <v>+ 0,2 %</v>
      </c>
    </row>
    <row r="54">
      <c r="A54" s="2">
        <f>IFERROR(__xludf.DUMMYFUNCTION("""COMPUTED_VALUE"""),44593.0)</f>
        <v>44593</v>
      </c>
      <c r="B54" s="1" t="str">
        <f>IFERROR(__xludf.DUMMYFUNCTION("""COMPUTED_VALUE"""),"2.597 €/m2")</f>
        <v>2.597 €/m2</v>
      </c>
      <c r="C54" s="1" t="str">
        <f>IFERROR(__xludf.DUMMYFUNCTION("""COMPUTED_VALUE"""),"+ 1,4 %")</f>
        <v>+ 1,4 %</v>
      </c>
      <c r="D54" s="1" t="str">
        <f>IFERROR(__xludf.DUMMYFUNCTION("""COMPUTED_VALUE"""),"+ 3,3 %")</f>
        <v>+ 3,3 %</v>
      </c>
      <c r="E54" s="1" t="str">
        <f>IFERROR(__xludf.DUMMYFUNCTION("""COMPUTED_VALUE"""),"+ 1,6 %")</f>
        <v>+ 1,6 %</v>
      </c>
    </row>
    <row r="55">
      <c r="A55" s="2">
        <f>IFERROR(__xludf.DUMMYFUNCTION("""COMPUTED_VALUE"""),44562.0)</f>
        <v>44562</v>
      </c>
      <c r="B55" s="1" t="str">
        <f>IFERROR(__xludf.DUMMYFUNCTION("""COMPUTED_VALUE"""),"2.561 €/m2")</f>
        <v>2.561 €/m2</v>
      </c>
      <c r="C55" s="1" t="str">
        <f>IFERROR(__xludf.DUMMYFUNCTION("""COMPUTED_VALUE"""),"+ 0,6 %")</f>
        <v>+ 0,6 %</v>
      </c>
      <c r="D55" s="1" t="str">
        <f>IFERROR(__xludf.DUMMYFUNCTION("""COMPUTED_VALUE"""),"+ 2,4 %")</f>
        <v>+ 2,4 %</v>
      </c>
      <c r="E55" s="1" t="str">
        <f>IFERROR(__xludf.DUMMYFUNCTION("""COMPUTED_VALUE"""),"+ 0,5 %")</f>
        <v>+ 0,5 %</v>
      </c>
    </row>
    <row r="56">
      <c r="A56" s="2">
        <f>IFERROR(__xludf.DUMMYFUNCTION("""COMPUTED_VALUE"""),44531.0)</f>
        <v>44531</v>
      </c>
      <c r="B56" s="1" t="str">
        <f>IFERROR(__xludf.DUMMYFUNCTION("""COMPUTED_VALUE"""),"2.545 €/m2")</f>
        <v>2.545 €/m2</v>
      </c>
      <c r="C56" s="1" t="str">
        <f>IFERROR(__xludf.DUMMYFUNCTION("""COMPUTED_VALUE"""),"+ 1,3 %")</f>
        <v>+ 1,3 %</v>
      </c>
      <c r="D56" s="1" t="str">
        <f>IFERROR(__xludf.DUMMYFUNCTION("""COMPUTED_VALUE"""),"- 1,0 %")</f>
        <v>- 1,0 %</v>
      </c>
      <c r="E56" s="1" t="str">
        <f>IFERROR(__xludf.DUMMYFUNCTION("""COMPUTED_VALUE"""),"0,0 %")</f>
        <v>0,0 %</v>
      </c>
    </row>
    <row r="57">
      <c r="A57" s="2">
        <f>IFERROR(__xludf.DUMMYFUNCTION("""COMPUTED_VALUE"""),44501.0)</f>
        <v>44501</v>
      </c>
      <c r="B57" s="1" t="str">
        <f>IFERROR(__xludf.DUMMYFUNCTION("""COMPUTED_VALUE"""),"2.513 €/m2")</f>
        <v>2.513 €/m2</v>
      </c>
      <c r="C57" s="1" t="str">
        <f>IFERROR(__xludf.DUMMYFUNCTION("""COMPUTED_VALUE"""),"+ 0,5 %")</f>
        <v>+ 0,5 %</v>
      </c>
      <c r="D57" s="1" t="str">
        <f>IFERROR(__xludf.DUMMYFUNCTION("""COMPUTED_VALUE"""),"- 2,1 %")</f>
        <v>- 2,1 %</v>
      </c>
      <c r="E57" s="1" t="str">
        <f>IFERROR(__xludf.DUMMYFUNCTION("""COMPUTED_VALUE"""),"- 0,6 %")</f>
        <v>- 0,6 %</v>
      </c>
    </row>
    <row r="58">
      <c r="A58" s="2">
        <f>IFERROR(__xludf.DUMMYFUNCTION("""COMPUTED_VALUE"""),44470.0)</f>
        <v>44470</v>
      </c>
      <c r="B58" s="1" t="str">
        <f>IFERROR(__xludf.DUMMYFUNCTION("""COMPUTED_VALUE"""),"2.500 €/m2")</f>
        <v>2.500 €/m2</v>
      </c>
      <c r="C58" s="1" t="str">
        <f>IFERROR(__xludf.DUMMYFUNCTION("""COMPUTED_VALUE"""),"- 2,7 %")</f>
        <v>- 2,7 %</v>
      </c>
      <c r="D58" s="1" t="str">
        <f>IFERROR(__xludf.DUMMYFUNCTION("""COMPUTED_VALUE"""),"- 3,1 %")</f>
        <v>- 3,1 %</v>
      </c>
      <c r="E58" s="1" t="str">
        <f>IFERROR(__xludf.DUMMYFUNCTION("""COMPUTED_VALUE"""),"0,0 %")</f>
        <v>0,0 %</v>
      </c>
    </row>
    <row r="59">
      <c r="A59" s="2">
        <f>IFERROR(__xludf.DUMMYFUNCTION("""COMPUTED_VALUE"""),44440.0)</f>
        <v>44440</v>
      </c>
      <c r="B59" s="1" t="str">
        <f>IFERROR(__xludf.DUMMYFUNCTION("""COMPUTED_VALUE"""),"2.570 €/m2")</f>
        <v>2.570 €/m2</v>
      </c>
      <c r="C59" s="1" t="str">
        <f>IFERROR(__xludf.DUMMYFUNCTION("""COMPUTED_VALUE"""),"+ 0,1 %")</f>
        <v>+ 0,1 %</v>
      </c>
      <c r="D59" s="1" t="str">
        <f>IFERROR(__xludf.DUMMYFUNCTION("""COMPUTED_VALUE"""),"- 0,5 %")</f>
        <v>- 0,5 %</v>
      </c>
      <c r="E59" s="1" t="str">
        <f>IFERROR(__xludf.DUMMYFUNCTION("""COMPUTED_VALUE"""),"+ 3,8 %")</f>
        <v>+ 3,8 %</v>
      </c>
    </row>
    <row r="60">
      <c r="A60" s="2">
        <f>IFERROR(__xludf.DUMMYFUNCTION("""COMPUTED_VALUE"""),44409.0)</f>
        <v>44409</v>
      </c>
      <c r="B60" s="1" t="str">
        <f>IFERROR(__xludf.DUMMYFUNCTION("""COMPUTED_VALUE"""),"2.568 €/m2")</f>
        <v>2.568 €/m2</v>
      </c>
      <c r="C60" s="1" t="str">
        <f>IFERROR(__xludf.DUMMYFUNCTION("""COMPUTED_VALUE"""),"- 0,4 %")</f>
        <v>- 0,4 %</v>
      </c>
      <c r="D60" s="1" t="str">
        <f>IFERROR(__xludf.DUMMYFUNCTION("""COMPUTED_VALUE"""),"+ 0,5 %")</f>
        <v>+ 0,5 %</v>
      </c>
      <c r="E60" s="1" t="str">
        <f>IFERROR(__xludf.DUMMYFUNCTION("""COMPUTED_VALUE"""),"+ 4,0 %")</f>
        <v>+ 4,0 %</v>
      </c>
    </row>
    <row r="61">
      <c r="A61" s="2">
        <f>IFERROR(__xludf.DUMMYFUNCTION("""COMPUTED_VALUE"""),44378.0)</f>
        <v>44378</v>
      </c>
      <c r="B61" s="1" t="str">
        <f>IFERROR(__xludf.DUMMYFUNCTION("""COMPUTED_VALUE"""),"2.579 €/m2")</f>
        <v>2.579 €/m2</v>
      </c>
      <c r="C61" s="1" t="str">
        <f>IFERROR(__xludf.DUMMYFUNCTION("""COMPUTED_VALUE"""),"- 0,2 %")</f>
        <v>- 0,2 %</v>
      </c>
      <c r="D61" s="1" t="str">
        <f>IFERROR(__xludf.DUMMYFUNCTION("""COMPUTED_VALUE"""),"+ 1,8 %")</f>
        <v>+ 1,8 %</v>
      </c>
      <c r="E61" s="1" t="str">
        <f>IFERROR(__xludf.DUMMYFUNCTION("""COMPUTED_VALUE"""),"+ 3,2 %")</f>
        <v>+ 3,2 %</v>
      </c>
    </row>
    <row r="62">
      <c r="A62" s="2">
        <f>IFERROR(__xludf.DUMMYFUNCTION("""COMPUTED_VALUE"""),44348.0)</f>
        <v>44348</v>
      </c>
      <c r="B62" s="1" t="str">
        <f>IFERROR(__xludf.DUMMYFUNCTION("""COMPUTED_VALUE"""),"2.583 €/m2")</f>
        <v>2.583 €/m2</v>
      </c>
      <c r="C62" s="1" t="str">
        <f>IFERROR(__xludf.DUMMYFUNCTION("""COMPUTED_VALUE"""),"+ 1,1 %")</f>
        <v>+ 1,1 %</v>
      </c>
      <c r="D62" s="1" t="str">
        <f>IFERROR(__xludf.DUMMYFUNCTION("""COMPUTED_VALUE"""),"+ 0,8 %")</f>
        <v>+ 0,8 %</v>
      </c>
      <c r="E62" s="1" t="str">
        <f>IFERROR(__xludf.DUMMYFUNCTION("""COMPUTED_VALUE"""),"+ 1,2 %")</f>
        <v>+ 1,2 %</v>
      </c>
    </row>
    <row r="63">
      <c r="A63" s="2">
        <f>IFERROR(__xludf.DUMMYFUNCTION("""COMPUTED_VALUE"""),44317.0)</f>
        <v>44317</v>
      </c>
      <c r="B63" s="1" t="str">
        <f>IFERROR(__xludf.DUMMYFUNCTION("""COMPUTED_VALUE"""),"2.554 €/m2")</f>
        <v>2.554 €/m2</v>
      </c>
      <c r="C63" s="1" t="str">
        <f>IFERROR(__xludf.DUMMYFUNCTION("""COMPUTED_VALUE"""),"+ 0,8 %")</f>
        <v>+ 0,8 %</v>
      </c>
      <c r="D63" s="1" t="str">
        <f>IFERROR(__xludf.DUMMYFUNCTION("""COMPUTED_VALUE"""),"- 0,1 %")</f>
        <v>- 0,1 %</v>
      </c>
      <c r="E63" s="1" t="str">
        <f>IFERROR(__xludf.DUMMYFUNCTION("""COMPUTED_VALUE"""),"- 0,4 %")</f>
        <v>- 0,4 %</v>
      </c>
    </row>
    <row r="64">
      <c r="A64" s="2">
        <f>IFERROR(__xludf.DUMMYFUNCTION("""COMPUTED_VALUE"""),44287.0)</f>
        <v>44287</v>
      </c>
      <c r="B64" s="1" t="str">
        <f>IFERROR(__xludf.DUMMYFUNCTION("""COMPUTED_VALUE"""),"2.534 €/m2")</f>
        <v>2.534 €/m2</v>
      </c>
      <c r="C64" s="1" t="str">
        <f>IFERROR(__xludf.DUMMYFUNCTION("""COMPUTED_VALUE"""),"- 1,1 %")</f>
        <v>- 1,1 %</v>
      </c>
      <c r="D64" s="1" t="str">
        <f>IFERROR(__xludf.DUMMYFUNCTION("""COMPUTED_VALUE"""),"- 0,6 %")</f>
        <v>- 0,6 %</v>
      </c>
      <c r="E64" s="1" t="str">
        <f>IFERROR(__xludf.DUMMYFUNCTION("""COMPUTED_VALUE"""),"- 0,3 %")</f>
        <v>- 0,3 %</v>
      </c>
    </row>
    <row r="65">
      <c r="A65" s="2">
        <f>IFERROR(__xludf.DUMMYFUNCTION("""COMPUTED_VALUE"""),44256.0)</f>
        <v>44256</v>
      </c>
      <c r="B65" s="1" t="str">
        <f>IFERROR(__xludf.DUMMYFUNCTION("""COMPUTED_VALUE"""),"2.564 €/m2")</f>
        <v>2.564 €/m2</v>
      </c>
      <c r="C65" s="1" t="str">
        <f>IFERROR(__xludf.DUMMYFUNCTION("""COMPUTED_VALUE"""),"+ 0,3 %")</f>
        <v>+ 0,3 %</v>
      </c>
      <c r="D65" s="1" t="str">
        <f>IFERROR(__xludf.DUMMYFUNCTION("""COMPUTED_VALUE"""),"+ 0,7 %")</f>
        <v>+ 0,7 %</v>
      </c>
      <c r="E65" s="1" t="str">
        <f>IFERROR(__xludf.DUMMYFUNCTION("""COMPUTED_VALUE"""),"+ 3,0 %")</f>
        <v>+ 3,0 %</v>
      </c>
    </row>
    <row r="66">
      <c r="A66" s="2">
        <f>IFERROR(__xludf.DUMMYFUNCTION("""COMPUTED_VALUE"""),44228.0)</f>
        <v>44228</v>
      </c>
      <c r="B66" s="1" t="str">
        <f>IFERROR(__xludf.DUMMYFUNCTION("""COMPUTED_VALUE"""),"2.556 €/m2")</f>
        <v>2.556 €/m2</v>
      </c>
      <c r="C66" s="1" t="str">
        <f>IFERROR(__xludf.DUMMYFUNCTION("""COMPUTED_VALUE"""),"+ 0,3 %")</f>
        <v>+ 0,3 %</v>
      </c>
      <c r="D66" s="1" t="str">
        <f>IFERROR(__xludf.DUMMYFUNCTION("""COMPUTED_VALUE"""),"+ 1,1 %")</f>
        <v>+ 1,1 %</v>
      </c>
      <c r="E66" s="1" t="str">
        <f>IFERROR(__xludf.DUMMYFUNCTION("""COMPUTED_VALUE"""),"+ 2,2 %")</f>
        <v>+ 2,2 %</v>
      </c>
    </row>
    <row r="67">
      <c r="A67" s="2">
        <f>IFERROR(__xludf.DUMMYFUNCTION("""COMPUTED_VALUE"""),44197.0)</f>
        <v>44197</v>
      </c>
      <c r="B67" s="1" t="str">
        <f>IFERROR(__xludf.DUMMYFUNCTION("""COMPUTED_VALUE"""),"2.549 €/m2")</f>
        <v>2.549 €/m2</v>
      </c>
      <c r="C67" s="1" t="str">
        <f>IFERROR(__xludf.DUMMYFUNCTION("""COMPUTED_VALUE"""),"+ 0,1 %")</f>
        <v>+ 0,1 %</v>
      </c>
      <c r="D67" s="1" t="str">
        <f>IFERROR(__xludf.DUMMYFUNCTION("""COMPUTED_VALUE"""),"+ 2,0 %")</f>
        <v>+ 2,0 %</v>
      </c>
      <c r="E67" s="1" t="str">
        <f>IFERROR(__xludf.DUMMYFUNCTION("""COMPUTED_VALUE"""),"+ 2,0 %")</f>
        <v>+ 2,0 %</v>
      </c>
    </row>
    <row r="68">
      <c r="A68" s="2">
        <f>IFERROR(__xludf.DUMMYFUNCTION("""COMPUTED_VALUE"""),44166.0)</f>
        <v>44166</v>
      </c>
      <c r="B68" s="1" t="str">
        <f>IFERROR(__xludf.DUMMYFUNCTION("""COMPUTED_VALUE"""),"2.545 €/m2")</f>
        <v>2.545 €/m2</v>
      </c>
      <c r="C68" s="1" t="str">
        <f>IFERROR(__xludf.DUMMYFUNCTION("""COMPUTED_VALUE"""),"+ 0,7 %")</f>
        <v>+ 0,7 %</v>
      </c>
      <c r="D68" s="1" t="str">
        <f>IFERROR(__xludf.DUMMYFUNCTION("""COMPUTED_VALUE"""),"+ 2,8 %")</f>
        <v>+ 2,8 %</v>
      </c>
      <c r="E68" s="1" t="str">
        <f>IFERROR(__xludf.DUMMYFUNCTION("""COMPUTED_VALUE"""),"+ 1,2 %")</f>
        <v>+ 1,2 %</v>
      </c>
    </row>
    <row r="69">
      <c r="A69" s="2">
        <f>IFERROR(__xludf.DUMMYFUNCTION("""COMPUTED_VALUE"""),44136.0)</f>
        <v>44136</v>
      </c>
      <c r="B69" s="1" t="str">
        <f>IFERROR(__xludf.DUMMYFUNCTION("""COMPUTED_VALUE"""),"2.528 €/m2")</f>
        <v>2.528 €/m2</v>
      </c>
      <c r="C69" s="1" t="str">
        <f>IFERROR(__xludf.DUMMYFUNCTION("""COMPUTED_VALUE"""),"+ 1,2 %")</f>
        <v>+ 1,2 %</v>
      </c>
      <c r="D69" s="1" t="str">
        <f>IFERROR(__xludf.DUMMYFUNCTION("""COMPUTED_VALUE"""),"+ 2,3 %")</f>
        <v>+ 2,3 %</v>
      </c>
      <c r="E69" s="1" t="str">
        <f>IFERROR(__xludf.DUMMYFUNCTION("""COMPUTED_VALUE"""),"- 1,1 %")</f>
        <v>- 1,1 %</v>
      </c>
    </row>
    <row r="70">
      <c r="A70" s="2">
        <f>IFERROR(__xludf.DUMMYFUNCTION("""COMPUTED_VALUE"""),44105.0)</f>
        <v>44105</v>
      </c>
      <c r="B70" s="1" t="str">
        <f>IFERROR(__xludf.DUMMYFUNCTION("""COMPUTED_VALUE"""),"2.499 €/m2")</f>
        <v>2.499 €/m2</v>
      </c>
      <c r="C70" s="1" t="str">
        <f>IFERROR(__xludf.DUMMYFUNCTION("""COMPUTED_VALUE"""),"+ 1,0 %")</f>
        <v>+ 1,0 %</v>
      </c>
      <c r="D70" s="1" t="str">
        <f>IFERROR(__xludf.DUMMYFUNCTION("""COMPUTED_VALUE"""),"0,0 %")</f>
        <v>0,0 %</v>
      </c>
      <c r="E70" s="1" t="str">
        <f>IFERROR(__xludf.DUMMYFUNCTION("""COMPUTED_VALUE"""),"- 2,9 %")</f>
        <v>- 2,9 %</v>
      </c>
    </row>
    <row r="71">
      <c r="A71" s="2">
        <f>IFERROR(__xludf.DUMMYFUNCTION("""COMPUTED_VALUE"""),44075.0)</f>
        <v>44075</v>
      </c>
      <c r="B71" s="1" t="str">
        <f>IFERROR(__xludf.DUMMYFUNCTION("""COMPUTED_VALUE"""),"2.475 €/m2")</f>
        <v>2.475 €/m2</v>
      </c>
      <c r="C71" s="1" t="str">
        <f>IFERROR(__xludf.DUMMYFUNCTION("""COMPUTED_VALUE"""),"+ 0,2 %")</f>
        <v>+ 0,2 %</v>
      </c>
      <c r="D71" s="1" t="str">
        <f>IFERROR(__xludf.DUMMYFUNCTION("""COMPUTED_VALUE"""),"- 3,1 %")</f>
        <v>- 3,1 %</v>
      </c>
      <c r="E71" s="1" t="str">
        <f>IFERROR(__xludf.DUMMYFUNCTION("""COMPUTED_VALUE"""),"- 5,4 %")</f>
        <v>- 5,4 %</v>
      </c>
    </row>
    <row r="72">
      <c r="A72" s="2">
        <f>IFERROR(__xludf.DUMMYFUNCTION("""COMPUTED_VALUE"""),44044.0)</f>
        <v>44044</v>
      </c>
      <c r="B72" s="1" t="str">
        <f>IFERROR(__xludf.DUMMYFUNCTION("""COMPUTED_VALUE"""),"2.471 €/m2")</f>
        <v>2.471 €/m2</v>
      </c>
      <c r="C72" s="1" t="str">
        <f>IFERROR(__xludf.DUMMYFUNCTION("""COMPUTED_VALUE"""),"- 1,2 %")</f>
        <v>- 1,2 %</v>
      </c>
      <c r="D72" s="1" t="str">
        <f>IFERROR(__xludf.DUMMYFUNCTION("""COMPUTED_VALUE"""),"- 3,6 %")</f>
        <v>- 3,6 %</v>
      </c>
      <c r="E72" s="1" t="str">
        <f>IFERROR(__xludf.DUMMYFUNCTION("""COMPUTED_VALUE"""),"- 4,6 %")</f>
        <v>- 4,6 %</v>
      </c>
    </row>
    <row r="73">
      <c r="A73" s="2">
        <f>IFERROR(__xludf.DUMMYFUNCTION("""COMPUTED_VALUE"""),44013.0)</f>
        <v>44013</v>
      </c>
      <c r="B73" s="1" t="str">
        <f>IFERROR(__xludf.DUMMYFUNCTION("""COMPUTED_VALUE"""),"2.500 €/m2")</f>
        <v>2.500 €/m2</v>
      </c>
      <c r="C73" s="1" t="str">
        <f>IFERROR(__xludf.DUMMYFUNCTION("""COMPUTED_VALUE"""),"- 2,1 %")</f>
        <v>- 2,1 %</v>
      </c>
      <c r="D73" s="1" t="str">
        <f>IFERROR(__xludf.DUMMYFUNCTION("""COMPUTED_VALUE"""),"- 1,7 %")</f>
        <v>- 1,7 %</v>
      </c>
      <c r="E73" s="1" t="str">
        <f>IFERROR(__xludf.DUMMYFUNCTION("""COMPUTED_VALUE"""),"- 4,2 %")</f>
        <v>- 4,2 %</v>
      </c>
    </row>
    <row r="74">
      <c r="A74" s="2">
        <f>IFERROR(__xludf.DUMMYFUNCTION("""COMPUTED_VALUE"""),43983.0)</f>
        <v>43983</v>
      </c>
      <c r="B74" s="1" t="str">
        <f>IFERROR(__xludf.DUMMYFUNCTION("""COMPUTED_VALUE"""),"2.554 €/m2")</f>
        <v>2.554 €/m2</v>
      </c>
      <c r="C74" s="1" t="str">
        <f>IFERROR(__xludf.DUMMYFUNCTION("""COMPUTED_VALUE"""),"- 0,4 %")</f>
        <v>- 0,4 %</v>
      </c>
      <c r="D74" s="1" t="str">
        <f>IFERROR(__xludf.DUMMYFUNCTION("""COMPUTED_VALUE"""),"+ 2,6 %")</f>
        <v>+ 2,6 %</v>
      </c>
      <c r="E74" s="1" t="str">
        <f>IFERROR(__xludf.DUMMYFUNCTION("""COMPUTED_VALUE"""),"- 1,5 %")</f>
        <v>- 1,5 %</v>
      </c>
    </row>
    <row r="75">
      <c r="A75" s="2">
        <f>IFERROR(__xludf.DUMMYFUNCTION("""COMPUTED_VALUE"""),43952.0)</f>
        <v>43952</v>
      </c>
      <c r="B75" s="1" t="str">
        <f>IFERROR(__xludf.DUMMYFUNCTION("""COMPUTED_VALUE"""),"2.564 €/m2")</f>
        <v>2.564 €/m2</v>
      </c>
      <c r="C75" s="1" t="str">
        <f>IFERROR(__xludf.DUMMYFUNCTION("""COMPUTED_VALUE"""),"+ 0,8 %")</f>
        <v>+ 0,8 %</v>
      </c>
      <c r="D75" s="1" t="str">
        <f>IFERROR(__xludf.DUMMYFUNCTION("""COMPUTED_VALUE"""),"+ 2,5 %")</f>
        <v>+ 2,5 %</v>
      </c>
      <c r="E75" s="1" t="str">
        <f>IFERROR(__xludf.DUMMYFUNCTION("""COMPUTED_VALUE"""),"+ 2,1 %")</f>
        <v>+ 2,1 %</v>
      </c>
    </row>
    <row r="76">
      <c r="A76" s="2">
        <f>IFERROR(__xludf.DUMMYFUNCTION("""COMPUTED_VALUE"""),43922.0)</f>
        <v>43922</v>
      </c>
      <c r="B76" s="1" t="str">
        <f>IFERROR(__xludf.DUMMYFUNCTION("""COMPUTED_VALUE"""),"2.542 €/m2")</f>
        <v>2.542 €/m2</v>
      </c>
      <c r="C76" s="1" t="str">
        <f>IFERROR(__xludf.DUMMYFUNCTION("""COMPUTED_VALUE"""),"+ 2,1 %")</f>
        <v>+ 2,1 %</v>
      </c>
      <c r="D76" s="1" t="str">
        <f>IFERROR(__xludf.DUMMYFUNCTION("""COMPUTED_VALUE"""),"+ 1,7 %")</f>
        <v>+ 1,7 %</v>
      </c>
      <c r="E76" s="1" t="str">
        <f>IFERROR(__xludf.DUMMYFUNCTION("""COMPUTED_VALUE"""),"+ 2,2 %")</f>
        <v>+ 2,2 %</v>
      </c>
    </row>
    <row r="77">
      <c r="A77" s="2">
        <f>IFERROR(__xludf.DUMMYFUNCTION("""COMPUTED_VALUE"""),43891.0)</f>
        <v>43891</v>
      </c>
      <c r="B77" s="1" t="str">
        <f>IFERROR(__xludf.DUMMYFUNCTION("""COMPUTED_VALUE"""),"2.490 €/m2")</f>
        <v>2.490 €/m2</v>
      </c>
      <c r="C77" s="1" t="str">
        <f>IFERROR(__xludf.DUMMYFUNCTION("""COMPUTED_VALUE"""),"- 0,4 %")</f>
        <v>- 0,4 %</v>
      </c>
      <c r="D77" s="1" t="str">
        <f>IFERROR(__xludf.DUMMYFUNCTION("""COMPUTED_VALUE"""),"- 1,0 %")</f>
        <v>- 1,0 %</v>
      </c>
      <c r="E77" s="1" t="str">
        <f>IFERROR(__xludf.DUMMYFUNCTION("""COMPUTED_VALUE"""),"+ 0,2 %")</f>
        <v>+ 0,2 %</v>
      </c>
    </row>
    <row r="78">
      <c r="A78" s="2">
        <f>IFERROR(__xludf.DUMMYFUNCTION("""COMPUTED_VALUE"""),43862.0)</f>
        <v>43862</v>
      </c>
      <c r="B78" s="1" t="str">
        <f>IFERROR(__xludf.DUMMYFUNCTION("""COMPUTED_VALUE"""),"2.500 €/m2")</f>
        <v>2.500 €/m2</v>
      </c>
      <c r="C78" s="1" t="str">
        <f>IFERROR(__xludf.DUMMYFUNCTION("""COMPUTED_VALUE"""),"0,0 %")</f>
        <v>0,0 %</v>
      </c>
      <c r="D78" s="1" t="str">
        <f>IFERROR(__xludf.DUMMYFUNCTION("""COMPUTED_VALUE"""),"- 2,2 %")</f>
        <v>- 2,2 %</v>
      </c>
      <c r="E78" s="1" t="str">
        <f>IFERROR(__xludf.DUMMYFUNCTION("""COMPUTED_VALUE"""),"n.d.")</f>
        <v>n.d.</v>
      </c>
    </row>
    <row r="79">
      <c r="A79" s="2">
        <f>IFERROR(__xludf.DUMMYFUNCTION("""COMPUTED_VALUE"""),43831.0)</f>
        <v>43831</v>
      </c>
      <c r="B79" s="1" t="str">
        <f>IFERROR(__xludf.DUMMYFUNCTION("""COMPUTED_VALUE"""),"2.500 €/m2")</f>
        <v>2.500 €/m2</v>
      </c>
      <c r="C79" s="1" t="str">
        <f>IFERROR(__xludf.DUMMYFUNCTION("""COMPUTED_VALUE"""),"- 0,6 %")</f>
        <v>- 0,6 %</v>
      </c>
      <c r="D79" s="1" t="str">
        <f>IFERROR(__xludf.DUMMYFUNCTION("""COMPUTED_VALUE"""),"- 2,9 %")</f>
        <v>- 2,9 %</v>
      </c>
      <c r="E79" s="1" t="str">
        <f>IFERROR(__xludf.DUMMYFUNCTION("""COMPUTED_VALUE"""),"+ 0,7 %")</f>
        <v>+ 0,7 %</v>
      </c>
    </row>
    <row r="80">
      <c r="A80" s="2">
        <f>IFERROR(__xludf.DUMMYFUNCTION("""COMPUTED_VALUE"""),43800.0)</f>
        <v>43800</v>
      </c>
      <c r="B80" s="1" t="str">
        <f>IFERROR(__xludf.DUMMYFUNCTION("""COMPUTED_VALUE"""),"2.515 €/m2")</f>
        <v>2.515 €/m2</v>
      </c>
      <c r="C80" s="1" t="str">
        <f>IFERROR(__xludf.DUMMYFUNCTION("""COMPUTED_VALUE"""),"- 1,6 %")</f>
        <v>- 1,6 %</v>
      </c>
      <c r="D80" s="1" t="str">
        <f>IFERROR(__xludf.DUMMYFUNCTION("""COMPUTED_VALUE"""),"- 3,9 %")</f>
        <v>- 3,9 %</v>
      </c>
      <c r="E80" s="1" t="str">
        <f>IFERROR(__xludf.DUMMYFUNCTION("""COMPUTED_VALUE"""),"+ 1,7 %")</f>
        <v>+ 1,7 %</v>
      </c>
    </row>
    <row r="81">
      <c r="A81" s="2">
        <f>IFERROR(__xludf.DUMMYFUNCTION("""COMPUTED_VALUE"""),43770.0)</f>
        <v>43770</v>
      </c>
      <c r="B81" s="1" t="str">
        <f>IFERROR(__xludf.DUMMYFUNCTION("""COMPUTED_VALUE"""),"2.557 €/m2")</f>
        <v>2.557 €/m2</v>
      </c>
      <c r="C81" s="1" t="str">
        <f>IFERROR(__xludf.DUMMYFUNCTION("""COMPUTED_VALUE"""),"- 0,6 %")</f>
        <v>- 0,6 %</v>
      </c>
      <c r="D81" s="1" t="str">
        <f>IFERROR(__xludf.DUMMYFUNCTION("""COMPUTED_VALUE"""),"- 1,3 %")</f>
        <v>- 1,3 %</v>
      </c>
      <c r="E81" s="1" t="str">
        <f>IFERROR(__xludf.DUMMYFUNCTION("""COMPUTED_VALUE"""),"+ 3,7 %")</f>
        <v>+ 3,7 %</v>
      </c>
    </row>
    <row r="82">
      <c r="A82" s="2">
        <f>IFERROR(__xludf.DUMMYFUNCTION("""COMPUTED_VALUE"""),43739.0)</f>
        <v>43739</v>
      </c>
      <c r="B82" s="1" t="str">
        <f>IFERROR(__xludf.DUMMYFUNCTION("""COMPUTED_VALUE"""),"2.574 €/m2")</f>
        <v>2.574 €/m2</v>
      </c>
      <c r="C82" s="1" t="str">
        <f>IFERROR(__xludf.DUMMYFUNCTION("""COMPUTED_VALUE"""),"- 1,7 %")</f>
        <v>- 1,7 %</v>
      </c>
      <c r="D82" s="1" t="str">
        <f>IFERROR(__xludf.DUMMYFUNCTION("""COMPUTED_VALUE"""),"- 1,3 %")</f>
        <v>- 1,3 %</v>
      </c>
      <c r="E82" s="1" t="str">
        <f>IFERROR(__xludf.DUMMYFUNCTION("""COMPUTED_VALUE"""),"+ 5,4 %")</f>
        <v>+ 5,4 %</v>
      </c>
    </row>
    <row r="83">
      <c r="A83" s="2">
        <f>IFERROR(__xludf.DUMMYFUNCTION("""COMPUTED_VALUE"""),43709.0)</f>
        <v>43709</v>
      </c>
      <c r="B83" s="1" t="str">
        <f>IFERROR(__xludf.DUMMYFUNCTION("""COMPUTED_VALUE"""),"2.617 €/m2")</f>
        <v>2.617 €/m2</v>
      </c>
      <c r="C83" s="1" t="str">
        <f>IFERROR(__xludf.DUMMYFUNCTION("""COMPUTED_VALUE"""),"+ 1,0 %")</f>
        <v>+ 1,0 %</v>
      </c>
      <c r="D83" s="1" t="str">
        <f>IFERROR(__xludf.DUMMYFUNCTION("""COMPUTED_VALUE"""),"+ 1,0 %")</f>
        <v>+ 1,0 %</v>
      </c>
      <c r="E83" s="1" t="str">
        <f>IFERROR(__xludf.DUMMYFUNCTION("""COMPUTED_VALUE"""),"+ 8,3 %")</f>
        <v>+ 8,3 %</v>
      </c>
    </row>
    <row r="84">
      <c r="A84" s="2">
        <f>IFERROR(__xludf.DUMMYFUNCTION("""COMPUTED_VALUE"""),43678.0)</f>
        <v>43678</v>
      </c>
      <c r="B84" s="1" t="str">
        <f>IFERROR(__xludf.DUMMYFUNCTION("""COMPUTED_VALUE"""),"2.590 €/m2")</f>
        <v>2.590 €/m2</v>
      </c>
      <c r="C84" s="1" t="str">
        <f>IFERROR(__xludf.DUMMYFUNCTION("""COMPUTED_VALUE"""),"- 0,7 %")</f>
        <v>- 0,7 %</v>
      </c>
      <c r="D84" s="1" t="str">
        <f>IFERROR(__xludf.DUMMYFUNCTION("""COMPUTED_VALUE"""),"+ 3,2 %")</f>
        <v>+ 3,2 %</v>
      </c>
      <c r="E84" s="1" t="str">
        <f>IFERROR(__xludf.DUMMYFUNCTION("""COMPUTED_VALUE"""),"+ 7,3 %")</f>
        <v>+ 7,3 %</v>
      </c>
    </row>
    <row r="85">
      <c r="A85" s="2">
        <f>IFERROR(__xludf.DUMMYFUNCTION("""COMPUTED_VALUE"""),43647.0)</f>
        <v>43647</v>
      </c>
      <c r="B85" s="1" t="str">
        <f>IFERROR(__xludf.DUMMYFUNCTION("""COMPUTED_VALUE"""),"2.608 €/m2")</f>
        <v>2.608 €/m2</v>
      </c>
      <c r="C85" s="1" t="str">
        <f>IFERROR(__xludf.DUMMYFUNCTION("""COMPUTED_VALUE"""),"+ 0,6 %")</f>
        <v>+ 0,6 %</v>
      </c>
      <c r="D85" s="1" t="str">
        <f>IFERROR(__xludf.DUMMYFUNCTION("""COMPUTED_VALUE"""),"+ 4,8 %")</f>
        <v>+ 4,8 %</v>
      </c>
      <c r="E85" s="1" t="str">
        <f>IFERROR(__xludf.DUMMYFUNCTION("""COMPUTED_VALUE"""),"+ 10,6 %")</f>
        <v>+ 10,6 %</v>
      </c>
    </row>
    <row r="86">
      <c r="A86" s="2">
        <f>IFERROR(__xludf.DUMMYFUNCTION("""COMPUTED_VALUE"""),43617.0)</f>
        <v>43617</v>
      </c>
      <c r="B86" s="1" t="str">
        <f>IFERROR(__xludf.DUMMYFUNCTION("""COMPUTED_VALUE"""),"2.592 €/m2")</f>
        <v>2.592 €/m2</v>
      </c>
      <c r="C86" s="1" t="str">
        <f>IFERROR(__xludf.DUMMYFUNCTION("""COMPUTED_VALUE"""),"+ 3,3 %")</f>
        <v>+ 3,3 %</v>
      </c>
      <c r="D86" s="1" t="str">
        <f>IFERROR(__xludf.DUMMYFUNCTION("""COMPUTED_VALUE"""),"+ 4,3 %")</f>
        <v>+ 4,3 %</v>
      </c>
      <c r="E86" s="1" t="str">
        <f>IFERROR(__xludf.DUMMYFUNCTION("""COMPUTED_VALUE"""),"+ 9,5 %")</f>
        <v>+ 9,5 %</v>
      </c>
    </row>
    <row r="87">
      <c r="A87" s="2">
        <f>IFERROR(__xludf.DUMMYFUNCTION("""COMPUTED_VALUE"""),43586.0)</f>
        <v>43586</v>
      </c>
      <c r="B87" s="1" t="str">
        <f>IFERROR(__xludf.DUMMYFUNCTION("""COMPUTED_VALUE"""),"2.510 €/m2")</f>
        <v>2.510 €/m2</v>
      </c>
      <c r="C87" s="1" t="str">
        <f>IFERROR(__xludf.DUMMYFUNCTION("""COMPUTED_VALUE"""),"+ 0,9 %")</f>
        <v>+ 0,9 %</v>
      </c>
      <c r="D87" s="1" t="str">
        <f>IFERROR(__xludf.DUMMYFUNCTION("""COMPUTED_VALUE"""),"+ 0,4 %")</f>
        <v>+ 0,4 %</v>
      </c>
      <c r="E87" s="1" t="str">
        <f>IFERROR(__xludf.DUMMYFUNCTION("""COMPUTED_VALUE"""),"+ 6,0 %")</f>
        <v>+ 6,0 %</v>
      </c>
    </row>
    <row r="88">
      <c r="A88" s="2">
        <f>IFERROR(__xludf.DUMMYFUNCTION("""COMPUTED_VALUE"""),43556.0)</f>
        <v>43556</v>
      </c>
      <c r="B88" s="1" t="str">
        <f>IFERROR(__xludf.DUMMYFUNCTION("""COMPUTED_VALUE"""),"2.489 €/m2")</f>
        <v>2.489 €/m2</v>
      </c>
      <c r="C88" s="1" t="str">
        <f>IFERROR(__xludf.DUMMYFUNCTION("""COMPUTED_VALUE"""),"+ 0,2 %")</f>
        <v>+ 0,2 %</v>
      </c>
      <c r="D88" s="1" t="str">
        <f>IFERROR(__xludf.DUMMYFUNCTION("""COMPUTED_VALUE"""),"+ 0,2 %")</f>
        <v>+ 0,2 %</v>
      </c>
      <c r="E88" s="1" t="str">
        <f>IFERROR(__xludf.DUMMYFUNCTION("""COMPUTED_VALUE"""),"+ 8,7 %")</f>
        <v>+ 8,7 %</v>
      </c>
    </row>
    <row r="89">
      <c r="A89" s="2">
        <f>IFERROR(__xludf.DUMMYFUNCTION("""COMPUTED_VALUE"""),43525.0)</f>
        <v>43525</v>
      </c>
      <c r="B89" s="1" t="str">
        <f>IFERROR(__xludf.DUMMYFUNCTION("""COMPUTED_VALUE"""),"2.484 €/m2")</f>
        <v>2.484 €/m2</v>
      </c>
      <c r="C89" s="1" t="str">
        <f>IFERROR(__xludf.DUMMYFUNCTION("""COMPUTED_VALUE"""),"- 0,6 %")</f>
        <v>- 0,6 %</v>
      </c>
      <c r="D89" s="1" t="str">
        <f>IFERROR(__xludf.DUMMYFUNCTION("""COMPUTED_VALUE"""),"+ 0,5 %")</f>
        <v>+ 0,5 %</v>
      </c>
      <c r="E89" s="1" t="str">
        <f>IFERROR(__xludf.DUMMYFUNCTION("""COMPUTED_VALUE"""),"+ 11,6 %")</f>
        <v>+ 11,6 %</v>
      </c>
    </row>
    <row r="90">
      <c r="A90" s="2">
        <f>IFERROR(__xludf.DUMMYFUNCTION("""COMPUTED_VALUE"""),43497.0)</f>
        <v>43497</v>
      </c>
      <c r="B90" s="1" t="str">
        <f>IFERROR(__xludf.DUMMYFUNCTION("""COMPUTED_VALUE"""),"2.500 €/m2")</f>
        <v>2.500 €/m2</v>
      </c>
      <c r="C90" s="1" t="str">
        <f>IFERROR(__xludf.DUMMYFUNCTION("""COMPUTED_VALUE"""),"+ 0,7 %")</f>
        <v>+ 0,7 %</v>
      </c>
      <c r="D90" s="1" t="str">
        <f>IFERROR(__xludf.DUMMYFUNCTION("""COMPUTED_VALUE"""),"+ 1,3 %")</f>
        <v>+ 1,3 %</v>
      </c>
      <c r="E90" s="1" t="str">
        <f>IFERROR(__xludf.DUMMYFUNCTION("""COMPUTED_VALUE"""),"+ 10,4 %")</f>
        <v>+ 10,4 %</v>
      </c>
    </row>
    <row r="91">
      <c r="A91" s="2">
        <f>IFERROR(__xludf.DUMMYFUNCTION("""COMPUTED_VALUE"""),43466.0)</f>
        <v>43466</v>
      </c>
      <c r="B91" s="1" t="str">
        <f>IFERROR(__xludf.DUMMYFUNCTION("""COMPUTED_VALUE"""),"2.483 €/m2")</f>
        <v>2.483 €/m2</v>
      </c>
      <c r="C91" s="1" t="str">
        <f>IFERROR(__xludf.DUMMYFUNCTION("""COMPUTED_VALUE"""),"+ 0,4 %")</f>
        <v>+ 0,4 %</v>
      </c>
      <c r="D91" s="1" t="str">
        <f>IFERROR(__xludf.DUMMYFUNCTION("""COMPUTED_VALUE"""),"+ 1,7 %")</f>
        <v>+ 1,7 %</v>
      </c>
      <c r="E91" s="1" t="str">
        <f>IFERROR(__xludf.DUMMYFUNCTION("""COMPUTED_VALUE"""),"+ 8,4 %")</f>
        <v>+ 8,4 %</v>
      </c>
    </row>
    <row r="92">
      <c r="A92" s="2">
        <f>IFERROR(__xludf.DUMMYFUNCTION("""COMPUTED_VALUE"""),43435.0)</f>
        <v>43435</v>
      </c>
      <c r="B92" s="1" t="str">
        <f>IFERROR(__xludf.DUMMYFUNCTION("""COMPUTED_VALUE"""),"2.473 €/m2")</f>
        <v>2.473 €/m2</v>
      </c>
      <c r="C92" s="1" t="str">
        <f>IFERROR(__xludf.DUMMYFUNCTION("""COMPUTED_VALUE"""),"+ 0,2 %")</f>
        <v>+ 0,2 %</v>
      </c>
      <c r="D92" s="1" t="str">
        <f>IFERROR(__xludf.DUMMYFUNCTION("""COMPUTED_VALUE"""),"+ 2,3 %")</f>
        <v>+ 2,3 %</v>
      </c>
      <c r="E92" s="1" t="str">
        <f>IFERROR(__xludf.DUMMYFUNCTION("""COMPUTED_VALUE"""),"+ 10,7 %")</f>
        <v>+ 10,7 %</v>
      </c>
    </row>
    <row r="93">
      <c r="A93" s="2">
        <f>IFERROR(__xludf.DUMMYFUNCTION("""COMPUTED_VALUE"""),43405.0)</f>
        <v>43405</v>
      </c>
      <c r="B93" s="1" t="str">
        <f>IFERROR(__xludf.DUMMYFUNCTION("""COMPUTED_VALUE"""),"2.467 €/m2")</f>
        <v>2.467 €/m2</v>
      </c>
      <c r="C93" s="1" t="str">
        <f>IFERROR(__xludf.DUMMYFUNCTION("""COMPUTED_VALUE"""),"+ 1,0 %")</f>
        <v>+ 1,0 %</v>
      </c>
      <c r="D93" s="1" t="str">
        <f>IFERROR(__xludf.DUMMYFUNCTION("""COMPUTED_VALUE"""),"+ 2,2 %")</f>
        <v>+ 2,2 %</v>
      </c>
      <c r="E93" s="1" t="str">
        <f>IFERROR(__xludf.DUMMYFUNCTION("""COMPUTED_VALUE"""),"+ 14,5 %")</f>
        <v>+ 14,5 %</v>
      </c>
    </row>
    <row r="94">
      <c r="A94" s="2">
        <f>IFERROR(__xludf.DUMMYFUNCTION("""COMPUTED_VALUE"""),43374.0)</f>
        <v>43374</v>
      </c>
      <c r="B94" s="1" t="str">
        <f>IFERROR(__xludf.DUMMYFUNCTION("""COMPUTED_VALUE"""),"2.442 €/m2")</f>
        <v>2.442 €/m2</v>
      </c>
      <c r="C94" s="1" t="str">
        <f>IFERROR(__xludf.DUMMYFUNCTION("""COMPUTED_VALUE"""),"+ 1,1 %")</f>
        <v>+ 1,1 %</v>
      </c>
      <c r="D94" s="1" t="str">
        <f>IFERROR(__xludf.DUMMYFUNCTION("""COMPUTED_VALUE"""),"+ 3,5 %")</f>
        <v>+ 3,5 %</v>
      </c>
      <c r="E94" s="1" t="str">
        <f>IFERROR(__xludf.DUMMYFUNCTION("""COMPUTED_VALUE"""),"+ 16,1 %")</f>
        <v>+ 16,1 %</v>
      </c>
    </row>
    <row r="95">
      <c r="A95" s="2">
        <f>IFERROR(__xludf.DUMMYFUNCTION("""COMPUTED_VALUE"""),43344.0)</f>
        <v>43344</v>
      </c>
      <c r="B95" s="1" t="str">
        <f>IFERROR(__xludf.DUMMYFUNCTION("""COMPUTED_VALUE"""),"2.416 €/m2")</f>
        <v>2.416 €/m2</v>
      </c>
      <c r="C95" s="1" t="str">
        <f>IFERROR(__xludf.DUMMYFUNCTION("""COMPUTED_VALUE"""),"+ 0,1 %")</f>
        <v>+ 0,1 %</v>
      </c>
      <c r="D95" s="1" t="str">
        <f>IFERROR(__xludf.DUMMYFUNCTION("""COMPUTED_VALUE"""),"+ 2,1 %")</f>
        <v>+ 2,1 %</v>
      </c>
      <c r="E95" s="1" t="str">
        <f>IFERROR(__xludf.DUMMYFUNCTION("""COMPUTED_VALUE"""),"+ 17,5 %")</f>
        <v>+ 17,5 %</v>
      </c>
    </row>
    <row r="96">
      <c r="A96" s="2">
        <f>IFERROR(__xludf.DUMMYFUNCTION("""COMPUTED_VALUE"""),43313.0)</f>
        <v>43313</v>
      </c>
      <c r="B96" s="1" t="str">
        <f>IFERROR(__xludf.DUMMYFUNCTION("""COMPUTED_VALUE"""),"2.414 €/m2")</f>
        <v>2.414 €/m2</v>
      </c>
      <c r="C96" s="1" t="str">
        <f>IFERROR(__xludf.DUMMYFUNCTION("""COMPUTED_VALUE"""),"+ 2,4 %")</f>
        <v>+ 2,4 %</v>
      </c>
      <c r="D96" s="1" t="str">
        <f>IFERROR(__xludf.DUMMYFUNCTION("""COMPUTED_VALUE"""),"+ 1,9 %")</f>
        <v>+ 1,9 %</v>
      </c>
      <c r="E96" s="1" t="str">
        <f>IFERROR(__xludf.DUMMYFUNCTION("""COMPUTED_VALUE"""),"+ 16,3 %")</f>
        <v>+ 16,3 %</v>
      </c>
    </row>
    <row r="97">
      <c r="A97" s="2">
        <f>IFERROR(__xludf.DUMMYFUNCTION("""COMPUTED_VALUE"""),43282.0)</f>
        <v>43282</v>
      </c>
      <c r="B97" s="1" t="str">
        <f>IFERROR(__xludf.DUMMYFUNCTION("""COMPUTED_VALUE"""),"2.358 €/m2")</f>
        <v>2.358 €/m2</v>
      </c>
      <c r="C97" s="1" t="str">
        <f>IFERROR(__xludf.DUMMYFUNCTION("""COMPUTED_VALUE"""),"- 0,4 %")</f>
        <v>- 0,4 %</v>
      </c>
      <c r="D97" s="1" t="str">
        <f>IFERROR(__xludf.DUMMYFUNCTION("""COMPUTED_VALUE"""),"+ 3,0 %")</f>
        <v>+ 3,0 %</v>
      </c>
      <c r="E97" s="1" t="str">
        <f>IFERROR(__xludf.DUMMYFUNCTION("""COMPUTED_VALUE"""),"+ 10,2 %")</f>
        <v>+ 10,2 %</v>
      </c>
    </row>
    <row r="98">
      <c r="A98" s="2">
        <f>IFERROR(__xludf.DUMMYFUNCTION("""COMPUTED_VALUE"""),43252.0)</f>
        <v>43252</v>
      </c>
      <c r="B98" s="1" t="str">
        <f>IFERROR(__xludf.DUMMYFUNCTION("""COMPUTED_VALUE"""),"2.367 €/m2")</f>
        <v>2.367 €/m2</v>
      </c>
      <c r="C98" s="1" t="str">
        <f>IFERROR(__xludf.DUMMYFUNCTION("""COMPUTED_VALUE"""),"0,0 %")</f>
        <v>0,0 %</v>
      </c>
      <c r="D98" s="1" t="str">
        <f>IFERROR(__xludf.DUMMYFUNCTION("""COMPUTED_VALUE"""),"+ 6,3 %")</f>
        <v>+ 6,3 %</v>
      </c>
      <c r="E98" s="1" t="str">
        <f>IFERROR(__xludf.DUMMYFUNCTION("""COMPUTED_VALUE"""),"+ 10,0 %")</f>
        <v>+ 10,0 %</v>
      </c>
    </row>
    <row r="99">
      <c r="A99" s="2">
        <f>IFERROR(__xludf.DUMMYFUNCTION("""COMPUTED_VALUE"""),43221.0)</f>
        <v>43221</v>
      </c>
      <c r="B99" s="1" t="str">
        <f>IFERROR(__xludf.DUMMYFUNCTION("""COMPUTED_VALUE"""),"2.368 €/m2")</f>
        <v>2.368 €/m2</v>
      </c>
      <c r="C99" s="1" t="str">
        <f>IFERROR(__xludf.DUMMYFUNCTION("""COMPUTED_VALUE"""),"+ 3,4 %")</f>
        <v>+ 3,4 %</v>
      </c>
      <c r="D99" s="1" t="str">
        <f>IFERROR(__xludf.DUMMYFUNCTION("""COMPUTED_VALUE"""),"+ 4,6 %")</f>
        <v>+ 4,6 %</v>
      </c>
      <c r="E99" s="1" t="str">
        <f>IFERROR(__xludf.DUMMYFUNCTION("""COMPUTED_VALUE"""),"+ 14,8 %")</f>
        <v>+ 14,8 %</v>
      </c>
    </row>
    <row r="100">
      <c r="A100" s="2">
        <f>IFERROR(__xludf.DUMMYFUNCTION("""COMPUTED_VALUE"""),43191.0)</f>
        <v>43191</v>
      </c>
      <c r="B100" s="1" t="str">
        <f>IFERROR(__xludf.DUMMYFUNCTION("""COMPUTED_VALUE"""),"2.290 €/m2")</f>
        <v>2.290 €/m2</v>
      </c>
      <c r="C100" s="1" t="str">
        <f>IFERROR(__xludf.DUMMYFUNCTION("""COMPUTED_VALUE"""),"+ 2,8 %")</f>
        <v>+ 2,8 %</v>
      </c>
      <c r="D100" s="1" t="str">
        <f>IFERROR(__xludf.DUMMYFUNCTION("""COMPUTED_VALUE"""),"- 0,1 %")</f>
        <v>- 0,1 %</v>
      </c>
      <c r="E100" s="1" t="str">
        <f>IFERROR(__xludf.DUMMYFUNCTION("""COMPUTED_VALUE"""),"+ 14,1 %")</f>
        <v>+ 14,1 %</v>
      </c>
    </row>
    <row r="101">
      <c r="A101" s="2">
        <f>IFERROR(__xludf.DUMMYFUNCTION("""COMPUTED_VALUE"""),43160.0)</f>
        <v>43160</v>
      </c>
      <c r="B101" s="1" t="str">
        <f>IFERROR(__xludf.DUMMYFUNCTION("""COMPUTED_VALUE"""),"2.226 €/m2")</f>
        <v>2.226 €/m2</v>
      </c>
      <c r="C101" s="1" t="str">
        <f>IFERROR(__xludf.DUMMYFUNCTION("""COMPUTED_VALUE"""),"- 1,6 %")</f>
        <v>- 1,6 %</v>
      </c>
      <c r="D101" s="1" t="str">
        <f>IFERROR(__xludf.DUMMYFUNCTION("""COMPUTED_VALUE"""),"- 0,3 %")</f>
        <v>- 0,3 %</v>
      </c>
      <c r="E101" s="1" t="str">
        <f>IFERROR(__xludf.DUMMYFUNCTION("""COMPUTED_VALUE"""),"+ 13,0 %")</f>
        <v>+ 13,0 %</v>
      </c>
    </row>
    <row r="102">
      <c r="A102" s="2">
        <f>IFERROR(__xludf.DUMMYFUNCTION("""COMPUTED_VALUE"""),43132.0)</f>
        <v>43132</v>
      </c>
      <c r="B102" s="1" t="str">
        <f>IFERROR(__xludf.DUMMYFUNCTION("""COMPUTED_VALUE"""),"2.264 €/m2")</f>
        <v>2.264 €/m2</v>
      </c>
      <c r="C102" s="1" t="str">
        <f>IFERROR(__xludf.DUMMYFUNCTION("""COMPUTED_VALUE"""),"- 1,2 %")</f>
        <v>- 1,2 %</v>
      </c>
      <c r="D102" s="1" t="str">
        <f>IFERROR(__xludf.DUMMYFUNCTION("""COMPUTED_VALUE"""),"+ 5,1 %")</f>
        <v>+ 5,1 %</v>
      </c>
      <c r="E102" s="1" t="str">
        <f>IFERROR(__xludf.DUMMYFUNCTION("""COMPUTED_VALUE"""),"+ 12,8 %")</f>
        <v>+ 12,8 %</v>
      </c>
    </row>
    <row r="103">
      <c r="A103" s="2">
        <f>IFERROR(__xludf.DUMMYFUNCTION("""COMPUTED_VALUE"""),43101.0)</f>
        <v>43101</v>
      </c>
      <c r="B103" s="1" t="str">
        <f>IFERROR(__xludf.DUMMYFUNCTION("""COMPUTED_VALUE"""),"2.292 €/m2")</f>
        <v>2.292 €/m2</v>
      </c>
      <c r="C103" s="1" t="str">
        <f>IFERROR(__xludf.DUMMYFUNCTION("""COMPUTED_VALUE"""),"+ 2,6 %")</f>
        <v>+ 2,6 %</v>
      </c>
      <c r="D103" s="1" t="str">
        <f>IFERROR(__xludf.DUMMYFUNCTION("""COMPUTED_VALUE"""),"+ 8,9 %")</f>
        <v>+ 8,9 %</v>
      </c>
      <c r="E103" s="1" t="str">
        <f>IFERROR(__xludf.DUMMYFUNCTION("""COMPUTED_VALUE"""),"+ 13,8 %")</f>
        <v>+ 13,8 %</v>
      </c>
    </row>
    <row r="104">
      <c r="A104" s="2">
        <f>IFERROR(__xludf.DUMMYFUNCTION("""COMPUTED_VALUE"""),43070.0)</f>
        <v>43070</v>
      </c>
      <c r="B104" s="1" t="str">
        <f>IFERROR(__xludf.DUMMYFUNCTION("""COMPUTED_VALUE"""),"2.234 €/m2")</f>
        <v>2.234 €/m2</v>
      </c>
      <c r="C104" s="1" t="str">
        <f>IFERROR(__xludf.DUMMYFUNCTION("""COMPUTED_VALUE"""),"+ 3,7 %")</f>
        <v>+ 3,7 %</v>
      </c>
      <c r="D104" s="1" t="str">
        <f>IFERROR(__xludf.DUMMYFUNCTION("""COMPUTED_VALUE"""),"+ 8,7 %")</f>
        <v>+ 8,7 %</v>
      </c>
      <c r="E104" s="1" t="str">
        <f>IFERROR(__xludf.DUMMYFUNCTION("""COMPUTED_VALUE"""),"+ 8,8 %")</f>
        <v>+ 8,8 %</v>
      </c>
    </row>
    <row r="105">
      <c r="A105" s="2">
        <f>IFERROR(__xludf.DUMMYFUNCTION("""COMPUTED_VALUE"""),43040.0)</f>
        <v>43040</v>
      </c>
      <c r="B105" s="1" t="str">
        <f>IFERROR(__xludf.DUMMYFUNCTION("""COMPUTED_VALUE"""),"2.155 €/m2")</f>
        <v>2.155 €/m2</v>
      </c>
      <c r="C105" s="1" t="str">
        <f>IFERROR(__xludf.DUMMYFUNCTION("""COMPUTED_VALUE"""),"+ 2,4 %")</f>
        <v>+ 2,4 %</v>
      </c>
      <c r="D105" s="1" t="str">
        <f>IFERROR(__xludf.DUMMYFUNCTION("""COMPUTED_VALUE"""),"+ 3,8 %")</f>
        <v>+ 3,8 %</v>
      </c>
      <c r="E105" s="1" t="str">
        <f>IFERROR(__xludf.DUMMYFUNCTION("""COMPUTED_VALUE"""),"+ 4,6 %")</f>
        <v>+ 4,6 %</v>
      </c>
    </row>
    <row r="106">
      <c r="A106" s="2">
        <f>IFERROR(__xludf.DUMMYFUNCTION("""COMPUTED_VALUE"""),43009.0)</f>
        <v>43009</v>
      </c>
      <c r="B106" s="1" t="str">
        <f>IFERROR(__xludf.DUMMYFUNCTION("""COMPUTED_VALUE"""),"2.104 €/m2")</f>
        <v>2.104 €/m2</v>
      </c>
      <c r="C106" s="1" t="str">
        <f>IFERROR(__xludf.DUMMYFUNCTION("""COMPUTED_VALUE"""),"+ 2,3 %")</f>
        <v>+ 2,3 %</v>
      </c>
      <c r="D106" s="1" t="str">
        <f>IFERROR(__xludf.DUMMYFUNCTION("""COMPUTED_VALUE"""),"- 1,7 %")</f>
        <v>- 1,7 %</v>
      </c>
      <c r="E106" s="1" t="str">
        <f>IFERROR(__xludf.DUMMYFUNCTION("""COMPUTED_VALUE"""),"+ 5,1 %")</f>
        <v>+ 5,1 %</v>
      </c>
    </row>
    <row r="107">
      <c r="A107" s="2">
        <f>IFERROR(__xludf.DUMMYFUNCTION("""COMPUTED_VALUE"""),42979.0)</f>
        <v>42979</v>
      </c>
      <c r="B107" s="1" t="str">
        <f>IFERROR(__xludf.DUMMYFUNCTION("""COMPUTED_VALUE"""),"2.056 €/m2")</f>
        <v>2.056 €/m2</v>
      </c>
      <c r="C107" s="1" t="str">
        <f>IFERROR(__xludf.DUMMYFUNCTION("""COMPUTED_VALUE"""),"- 1,0 %")</f>
        <v>- 1,0 %</v>
      </c>
      <c r="D107" s="1" t="str">
        <f>IFERROR(__xludf.DUMMYFUNCTION("""COMPUTED_VALUE"""),"- 4,5 %")</f>
        <v>- 4,5 %</v>
      </c>
      <c r="E107" s="1" t="str">
        <f>IFERROR(__xludf.DUMMYFUNCTION("""COMPUTED_VALUE"""),"+ 3,4 %")</f>
        <v>+ 3,4 %</v>
      </c>
    </row>
    <row r="108">
      <c r="A108" s="2">
        <f>IFERROR(__xludf.DUMMYFUNCTION("""COMPUTED_VALUE"""),42948.0)</f>
        <v>42948</v>
      </c>
      <c r="B108" s="1" t="str">
        <f>IFERROR(__xludf.DUMMYFUNCTION("""COMPUTED_VALUE"""),"2.076 €/m2")</f>
        <v>2.076 €/m2</v>
      </c>
      <c r="C108" s="1" t="str">
        <f>IFERROR(__xludf.DUMMYFUNCTION("""COMPUTED_VALUE"""),"- 3,0 %")</f>
        <v>- 3,0 %</v>
      </c>
      <c r="D108" s="1" t="str">
        <f>IFERROR(__xludf.DUMMYFUNCTION("""COMPUTED_VALUE"""),"+ 0,7 %")</f>
        <v>+ 0,7 %</v>
      </c>
      <c r="E108" s="1" t="str">
        <f>IFERROR(__xludf.DUMMYFUNCTION("""COMPUTED_VALUE"""),"+ 4,3 %")</f>
        <v>+ 4,3 %</v>
      </c>
    </row>
    <row r="109">
      <c r="A109" s="2">
        <f>IFERROR(__xludf.DUMMYFUNCTION("""COMPUTED_VALUE"""),42917.0)</f>
        <v>42917</v>
      </c>
      <c r="B109" s="1" t="str">
        <f>IFERROR(__xludf.DUMMYFUNCTION("""COMPUTED_VALUE"""),"2.140 €/m2")</f>
        <v>2.140 €/m2</v>
      </c>
      <c r="C109" s="1" t="str">
        <f>IFERROR(__xludf.DUMMYFUNCTION("""COMPUTED_VALUE"""),"- 0,6 %")</f>
        <v>- 0,6 %</v>
      </c>
      <c r="D109" s="1" t="str">
        <f>IFERROR(__xludf.DUMMYFUNCTION("""COMPUTED_VALUE"""),"+ 6,7 %")</f>
        <v>+ 6,7 %</v>
      </c>
      <c r="E109" s="1" t="str">
        <f>IFERROR(__xludf.DUMMYFUNCTION("""COMPUTED_VALUE"""),"+ 8,8 %")</f>
        <v>+ 8,8 %</v>
      </c>
    </row>
    <row r="110">
      <c r="A110" s="2">
        <f>IFERROR(__xludf.DUMMYFUNCTION("""COMPUTED_VALUE"""),42887.0)</f>
        <v>42887</v>
      </c>
      <c r="B110" s="1" t="str">
        <f>IFERROR(__xludf.DUMMYFUNCTION("""COMPUTED_VALUE"""),"2.152 €/m2")</f>
        <v>2.152 €/m2</v>
      </c>
      <c r="C110" s="1" t="str">
        <f>IFERROR(__xludf.DUMMYFUNCTION("""COMPUTED_VALUE"""),"+ 4,4 %")</f>
        <v>+ 4,4 %</v>
      </c>
      <c r="D110" s="1" t="str">
        <f>IFERROR(__xludf.DUMMYFUNCTION("""COMPUTED_VALUE"""),"+ 9,3 %")</f>
        <v>+ 9,3 %</v>
      </c>
      <c r="E110" s="1" t="str">
        <f>IFERROR(__xludf.DUMMYFUNCTION("""COMPUTED_VALUE"""),"+ 8,0 %")</f>
        <v>+ 8,0 %</v>
      </c>
    </row>
    <row r="111">
      <c r="A111" s="2">
        <f>IFERROR(__xludf.DUMMYFUNCTION("""COMPUTED_VALUE"""),42856.0)</f>
        <v>42856</v>
      </c>
      <c r="B111" s="1" t="str">
        <f>IFERROR(__xludf.DUMMYFUNCTION("""COMPUTED_VALUE"""),"2.062 €/m2")</f>
        <v>2.062 €/m2</v>
      </c>
      <c r="C111" s="1" t="str">
        <f>IFERROR(__xludf.DUMMYFUNCTION("""COMPUTED_VALUE"""),"+ 2,8 %")</f>
        <v>+ 2,8 %</v>
      </c>
      <c r="D111" s="1" t="str">
        <f>IFERROR(__xludf.DUMMYFUNCTION("""COMPUTED_VALUE"""),"+ 2,8 %")</f>
        <v>+ 2,8 %</v>
      </c>
      <c r="E111" s="1" t="str">
        <f>IFERROR(__xludf.DUMMYFUNCTION("""COMPUTED_VALUE"""),"+ 3,6 %")</f>
        <v>+ 3,6 %</v>
      </c>
    </row>
    <row r="112">
      <c r="A112" s="2">
        <f>IFERROR(__xludf.DUMMYFUNCTION("""COMPUTED_VALUE"""),42826.0)</f>
        <v>42826</v>
      </c>
      <c r="B112" s="1" t="str">
        <f>IFERROR(__xludf.DUMMYFUNCTION("""COMPUTED_VALUE"""),"2.007 €/m2")</f>
        <v>2.007 €/m2</v>
      </c>
      <c r="C112" s="1" t="str">
        <f>IFERROR(__xludf.DUMMYFUNCTION("""COMPUTED_VALUE"""),"+ 1,9 %")</f>
        <v>+ 1,9 %</v>
      </c>
      <c r="D112" s="1" t="str">
        <f>IFERROR(__xludf.DUMMYFUNCTION("""COMPUTED_VALUE"""),"- 0,4 %")</f>
        <v>- 0,4 %</v>
      </c>
      <c r="E112" s="1" t="str">
        <f>IFERROR(__xludf.DUMMYFUNCTION("""COMPUTED_VALUE"""),"+ 3,5 %")</f>
        <v>+ 3,5 %</v>
      </c>
    </row>
    <row r="113">
      <c r="A113" s="2">
        <f>IFERROR(__xludf.DUMMYFUNCTION("""COMPUTED_VALUE"""),42795.0)</f>
        <v>42795</v>
      </c>
      <c r="B113" s="1" t="str">
        <f>IFERROR(__xludf.DUMMYFUNCTION("""COMPUTED_VALUE"""),"1.970 €/m2")</f>
        <v>1.970 €/m2</v>
      </c>
      <c r="C113" s="1" t="str">
        <f>IFERROR(__xludf.DUMMYFUNCTION("""COMPUTED_VALUE"""),"- 1,8 %")</f>
        <v>- 1,8 %</v>
      </c>
      <c r="D113" s="1" t="str">
        <f>IFERROR(__xludf.DUMMYFUNCTION("""COMPUTED_VALUE"""),"- 4,1 %")</f>
        <v>- 4,1 %</v>
      </c>
      <c r="E113" s="1" t="str">
        <f>IFERROR(__xludf.DUMMYFUNCTION("""COMPUTED_VALUE"""),"+ 2,7 %")</f>
        <v>+ 2,7 %</v>
      </c>
    </row>
    <row r="114">
      <c r="A114" s="2">
        <f>IFERROR(__xludf.DUMMYFUNCTION("""COMPUTED_VALUE"""),42767.0)</f>
        <v>42767</v>
      </c>
      <c r="B114" s="1" t="str">
        <f>IFERROR(__xludf.DUMMYFUNCTION("""COMPUTED_VALUE"""),"2.007 €/m2")</f>
        <v>2.007 €/m2</v>
      </c>
      <c r="C114" s="1" t="str">
        <f>IFERROR(__xludf.DUMMYFUNCTION("""COMPUTED_VALUE"""),"- 0,4 %")</f>
        <v>- 0,4 %</v>
      </c>
      <c r="D114" s="1" t="str">
        <f>IFERROR(__xludf.DUMMYFUNCTION("""COMPUTED_VALUE"""),"- 2,5 %")</f>
        <v>- 2,5 %</v>
      </c>
      <c r="E114" s="1" t="str">
        <f>IFERROR(__xludf.DUMMYFUNCTION("""COMPUTED_VALUE"""),"+ 4,8 %")</f>
        <v>+ 4,8 %</v>
      </c>
    </row>
    <row r="115">
      <c r="A115" s="2">
        <f>IFERROR(__xludf.DUMMYFUNCTION("""COMPUTED_VALUE"""),42736.0)</f>
        <v>42736</v>
      </c>
      <c r="B115" s="1" t="str">
        <f>IFERROR(__xludf.DUMMYFUNCTION("""COMPUTED_VALUE"""),"2.014 €/m2")</f>
        <v>2.014 €/m2</v>
      </c>
      <c r="C115" s="1" t="str">
        <f>IFERROR(__xludf.DUMMYFUNCTION("""COMPUTED_VALUE"""),"- 1,9 %")</f>
        <v>- 1,9 %</v>
      </c>
      <c r="D115" s="1" t="str">
        <f>IFERROR(__xludf.DUMMYFUNCTION("""COMPUTED_VALUE"""),"+ 0,6 %")</f>
        <v>+ 0,6 %</v>
      </c>
      <c r="E115" s="1" t="str">
        <f>IFERROR(__xludf.DUMMYFUNCTION("""COMPUTED_VALUE"""),"+ 2,4 %")</f>
        <v>+ 2,4 %</v>
      </c>
    </row>
    <row r="116">
      <c r="A116" s="2">
        <f>IFERROR(__xludf.DUMMYFUNCTION("""COMPUTED_VALUE"""),42705.0)</f>
        <v>42705</v>
      </c>
      <c r="B116" s="1" t="str">
        <f>IFERROR(__xludf.DUMMYFUNCTION("""COMPUTED_VALUE"""),"2.054 €/m2")</f>
        <v>2.054 €/m2</v>
      </c>
      <c r="C116" s="1" t="str">
        <f>IFERROR(__xludf.DUMMYFUNCTION("""COMPUTED_VALUE"""),"- 0,3 %")</f>
        <v>- 0,3 %</v>
      </c>
      <c r="D116" s="1" t="str">
        <f>IFERROR(__xludf.DUMMYFUNCTION("""COMPUTED_VALUE"""),"+ 3,3 %")</f>
        <v>+ 3,3 %</v>
      </c>
      <c r="E116" s="1" t="str">
        <f>IFERROR(__xludf.DUMMYFUNCTION("""COMPUTED_VALUE"""),"+ 6,4 %")</f>
        <v>+ 6,4 %</v>
      </c>
    </row>
    <row r="117">
      <c r="A117" s="2">
        <f>IFERROR(__xludf.DUMMYFUNCTION("""COMPUTED_VALUE"""),42675.0)</f>
        <v>42675</v>
      </c>
      <c r="B117" s="1" t="str">
        <f>IFERROR(__xludf.DUMMYFUNCTION("""COMPUTED_VALUE"""),"2.059 €/m2")</f>
        <v>2.059 €/m2</v>
      </c>
      <c r="C117" s="1" t="str">
        <f>IFERROR(__xludf.DUMMYFUNCTION("""COMPUTED_VALUE"""),"+ 2,8 %")</f>
        <v>+ 2,8 %</v>
      </c>
      <c r="D117" s="1" t="str">
        <f>IFERROR(__xludf.DUMMYFUNCTION("""COMPUTED_VALUE"""),"+ 3,4 %")</f>
        <v>+ 3,4 %</v>
      </c>
      <c r="E117" s="1" t="str">
        <f>IFERROR(__xludf.DUMMYFUNCTION("""COMPUTED_VALUE"""),"+ 5,6 %")</f>
        <v>+ 5,6 %</v>
      </c>
    </row>
    <row r="118">
      <c r="A118" s="2">
        <f>IFERROR(__xludf.DUMMYFUNCTION("""COMPUTED_VALUE"""),42644.0)</f>
        <v>42644</v>
      </c>
      <c r="B118" s="1" t="str">
        <f>IFERROR(__xludf.DUMMYFUNCTION("""COMPUTED_VALUE"""),"2.003 €/m2")</f>
        <v>2.003 €/m2</v>
      </c>
      <c r="C118" s="1" t="str">
        <f>IFERROR(__xludf.DUMMYFUNCTION("""COMPUTED_VALUE"""),"+ 0,8 %")</f>
        <v>+ 0,8 %</v>
      </c>
      <c r="D118" s="1" t="str">
        <f>IFERROR(__xludf.DUMMYFUNCTION("""COMPUTED_VALUE"""),"+ 1,8 %")</f>
        <v>+ 1,8 %</v>
      </c>
      <c r="E118" s="1" t="str">
        <f>IFERROR(__xludf.DUMMYFUNCTION("""COMPUTED_VALUE"""),"+ 2,7 %")</f>
        <v>+ 2,7 %</v>
      </c>
    </row>
    <row r="119">
      <c r="A119" s="2">
        <f>IFERROR(__xludf.DUMMYFUNCTION("""COMPUTED_VALUE"""),42614.0)</f>
        <v>42614</v>
      </c>
      <c r="B119" s="1" t="str">
        <f>IFERROR(__xludf.DUMMYFUNCTION("""COMPUTED_VALUE"""),"1.988 €/m2")</f>
        <v>1.988 €/m2</v>
      </c>
      <c r="C119" s="1" t="str">
        <f>IFERROR(__xludf.DUMMYFUNCTION("""COMPUTED_VALUE"""),"- 0,2 %")</f>
        <v>- 0,2 %</v>
      </c>
      <c r="D119" s="1" t="str">
        <f>IFERROR(__xludf.DUMMYFUNCTION("""COMPUTED_VALUE"""),"- 0,3 %")</f>
        <v>- 0,3 %</v>
      </c>
      <c r="E119" s="1" t="str">
        <f>IFERROR(__xludf.DUMMYFUNCTION("""COMPUTED_VALUE"""),"+ 3,1 %")</f>
        <v>+ 3,1 %</v>
      </c>
    </row>
    <row r="120">
      <c r="A120" s="2">
        <f>IFERROR(__xludf.DUMMYFUNCTION("""COMPUTED_VALUE"""),42583.0)</f>
        <v>42583</v>
      </c>
      <c r="B120" s="1" t="str">
        <f>IFERROR(__xludf.DUMMYFUNCTION("""COMPUTED_VALUE"""),"1.991 €/m2")</f>
        <v>1.991 €/m2</v>
      </c>
      <c r="C120" s="1" t="str">
        <f>IFERROR(__xludf.DUMMYFUNCTION("""COMPUTED_VALUE"""),"+ 1,1 %")</f>
        <v>+ 1,1 %</v>
      </c>
      <c r="D120" s="1" t="str">
        <f>IFERROR(__xludf.DUMMYFUNCTION("""COMPUTED_VALUE"""),"0,0 %")</f>
        <v>0,0 %</v>
      </c>
      <c r="E120" s="1" t="str">
        <f>IFERROR(__xludf.DUMMYFUNCTION("""COMPUTED_VALUE"""),"+ 4,3 %")</f>
        <v>+ 4,3 %</v>
      </c>
    </row>
    <row r="121">
      <c r="A121" s="2">
        <f>IFERROR(__xludf.DUMMYFUNCTION("""COMPUTED_VALUE"""),42552.0)</f>
        <v>42552</v>
      </c>
      <c r="B121" s="1" t="str">
        <f>IFERROR(__xludf.DUMMYFUNCTION("""COMPUTED_VALUE"""),"1.968 €/m2")</f>
        <v>1.968 €/m2</v>
      </c>
      <c r="C121" s="1" t="str">
        <f>IFERROR(__xludf.DUMMYFUNCTION("""COMPUTED_VALUE"""),"- 1,3 %")</f>
        <v>- 1,3 %</v>
      </c>
      <c r="D121" s="1" t="str">
        <f>IFERROR(__xludf.DUMMYFUNCTION("""COMPUTED_VALUE"""),"+ 1,5 %")</f>
        <v>+ 1,5 %</v>
      </c>
      <c r="E121" s="1" t="str">
        <f>IFERROR(__xludf.DUMMYFUNCTION("""COMPUTED_VALUE"""),"+ 2,7 %")</f>
        <v>+ 2,7 %</v>
      </c>
    </row>
    <row r="122">
      <c r="A122" s="2">
        <f>IFERROR(__xludf.DUMMYFUNCTION("""COMPUTED_VALUE"""),42522.0)</f>
        <v>42522</v>
      </c>
      <c r="B122" s="1" t="str">
        <f>IFERROR(__xludf.DUMMYFUNCTION("""COMPUTED_VALUE"""),"1.993 €/m2")</f>
        <v>1.993 €/m2</v>
      </c>
      <c r="C122" s="1" t="str">
        <f>IFERROR(__xludf.DUMMYFUNCTION("""COMPUTED_VALUE"""),"+ 0,1 %")</f>
        <v>+ 0,1 %</v>
      </c>
      <c r="D122" s="1" t="str">
        <f>IFERROR(__xludf.DUMMYFUNCTION("""COMPUTED_VALUE"""),"+ 3,9 %")</f>
        <v>+ 3,9 %</v>
      </c>
      <c r="E122" s="1" t="str">
        <f>IFERROR(__xludf.DUMMYFUNCTION("""COMPUTED_VALUE"""),"+ 4,1 %")</f>
        <v>+ 4,1 %</v>
      </c>
    </row>
    <row r="123">
      <c r="A123" s="2">
        <f>IFERROR(__xludf.DUMMYFUNCTION("""COMPUTED_VALUE"""),42491.0)</f>
        <v>42491</v>
      </c>
      <c r="B123" s="1" t="str">
        <f>IFERROR(__xludf.DUMMYFUNCTION("""COMPUTED_VALUE"""),"1.991 €/m2")</f>
        <v>1.991 €/m2</v>
      </c>
      <c r="C123" s="1" t="str">
        <f>IFERROR(__xludf.DUMMYFUNCTION("""COMPUTED_VALUE"""),"+ 2,7 %")</f>
        <v>+ 2,7 %</v>
      </c>
      <c r="D123" s="1" t="str">
        <f>IFERROR(__xludf.DUMMYFUNCTION("""COMPUTED_VALUE"""),"+ 4,0 %")</f>
        <v>+ 4,0 %</v>
      </c>
      <c r="E123" s="1" t="str">
        <f>IFERROR(__xludf.DUMMYFUNCTION("""COMPUTED_VALUE"""),"+ 4,0 %")</f>
        <v>+ 4,0 %</v>
      </c>
    </row>
    <row r="124">
      <c r="A124" s="2">
        <f>IFERROR(__xludf.DUMMYFUNCTION("""COMPUTED_VALUE"""),42461.0)</f>
        <v>42461</v>
      </c>
      <c r="B124" s="1" t="str">
        <f>IFERROR(__xludf.DUMMYFUNCTION("""COMPUTED_VALUE"""),"1.940 €/m2")</f>
        <v>1.940 €/m2</v>
      </c>
      <c r="C124" s="1" t="str">
        <f>IFERROR(__xludf.DUMMYFUNCTION("""COMPUTED_VALUE"""),"+ 1,1 %")</f>
        <v>+ 1,1 %</v>
      </c>
      <c r="D124" s="1" t="str">
        <f>IFERROR(__xludf.DUMMYFUNCTION("""COMPUTED_VALUE"""),"- 1,4 %")</f>
        <v>- 1,4 %</v>
      </c>
      <c r="E124" s="1" t="str">
        <f>IFERROR(__xludf.DUMMYFUNCTION("""COMPUTED_VALUE"""),"- 0,1 %")</f>
        <v>- 0,1 %</v>
      </c>
    </row>
    <row r="125">
      <c r="A125" s="2">
        <f>IFERROR(__xludf.DUMMYFUNCTION("""COMPUTED_VALUE"""),42430.0)</f>
        <v>42430</v>
      </c>
      <c r="B125" s="1" t="str">
        <f>IFERROR(__xludf.DUMMYFUNCTION("""COMPUTED_VALUE"""),"1.919 €/m2")</f>
        <v>1.919 €/m2</v>
      </c>
      <c r="C125" s="1" t="str">
        <f>IFERROR(__xludf.DUMMYFUNCTION("""COMPUTED_VALUE"""),"+ 0,2 %")</f>
        <v>+ 0,2 %</v>
      </c>
      <c r="D125" s="1" t="str">
        <f>IFERROR(__xludf.DUMMYFUNCTION("""COMPUTED_VALUE"""),"- 0,6 %")</f>
        <v>- 0,6 %</v>
      </c>
      <c r="E125" s="1" t="str">
        <f>IFERROR(__xludf.DUMMYFUNCTION("""COMPUTED_VALUE"""),"- 0,2 %")</f>
        <v>- 0,2 %</v>
      </c>
    </row>
    <row r="126">
      <c r="A126" s="2">
        <f>IFERROR(__xludf.DUMMYFUNCTION("""COMPUTED_VALUE"""),42401.0)</f>
        <v>42401</v>
      </c>
      <c r="B126" s="1" t="str">
        <f>IFERROR(__xludf.DUMMYFUNCTION("""COMPUTED_VALUE"""),"1.915 €/m2")</f>
        <v>1.915 €/m2</v>
      </c>
      <c r="C126" s="1" t="str">
        <f>IFERROR(__xludf.DUMMYFUNCTION("""COMPUTED_VALUE"""),"- 2,6 %")</f>
        <v>- 2,6 %</v>
      </c>
      <c r="D126" s="1" t="str">
        <f>IFERROR(__xludf.DUMMYFUNCTION("""COMPUTED_VALUE"""),"- 1,8 %")</f>
        <v>- 1,8 %</v>
      </c>
      <c r="E126" s="1" t="str">
        <f>IFERROR(__xludf.DUMMYFUNCTION("""COMPUTED_VALUE"""),"- 1,1 %")</f>
        <v>- 1,1 %</v>
      </c>
    </row>
    <row r="127">
      <c r="A127" s="2">
        <f>IFERROR(__xludf.DUMMYFUNCTION("""COMPUTED_VALUE"""),42370.0)</f>
        <v>42370</v>
      </c>
      <c r="B127" s="1" t="str">
        <f>IFERROR(__xludf.DUMMYFUNCTION("""COMPUTED_VALUE"""),"1.967 €/m2")</f>
        <v>1.967 €/m2</v>
      </c>
      <c r="C127" s="1" t="str">
        <f>IFERROR(__xludf.DUMMYFUNCTION("""COMPUTED_VALUE"""),"+ 1,9 %")</f>
        <v>+ 1,9 %</v>
      </c>
      <c r="D127" s="1" t="str">
        <f>IFERROR(__xludf.DUMMYFUNCTION("""COMPUTED_VALUE"""),"+ 0,8 %")</f>
        <v>+ 0,8 %</v>
      </c>
      <c r="E127" s="1" t="str">
        <f>IFERROR(__xludf.DUMMYFUNCTION("""COMPUTED_VALUE"""),"+ 2,1 %")</f>
        <v>+ 2,1 %</v>
      </c>
    </row>
    <row r="128">
      <c r="A128" s="2">
        <f>IFERROR(__xludf.DUMMYFUNCTION("""COMPUTED_VALUE"""),42339.0)</f>
        <v>42339</v>
      </c>
      <c r="B128" s="1" t="str">
        <f>IFERROR(__xludf.DUMMYFUNCTION("""COMPUTED_VALUE"""),"1.930 €/m2")</f>
        <v>1.930 €/m2</v>
      </c>
      <c r="C128" s="1" t="str">
        <f>IFERROR(__xludf.DUMMYFUNCTION("""COMPUTED_VALUE"""),"- 1,0 %")</f>
        <v>- 1,0 %</v>
      </c>
      <c r="D128" s="1" t="str">
        <f>IFERROR(__xludf.DUMMYFUNCTION("""COMPUTED_VALUE"""),"+ 0,1 %")</f>
        <v>+ 0,1 %</v>
      </c>
      <c r="E128" s="1" t="str">
        <f>IFERROR(__xludf.DUMMYFUNCTION("""COMPUTED_VALUE"""),"+ 0,2 %")</f>
        <v>+ 0,2 %</v>
      </c>
    </row>
    <row r="129">
      <c r="A129" s="2">
        <f>IFERROR(__xludf.DUMMYFUNCTION("""COMPUTED_VALUE"""),42309.0)</f>
        <v>42309</v>
      </c>
      <c r="B129" s="1" t="str">
        <f>IFERROR(__xludf.DUMMYFUNCTION("""COMPUTED_VALUE"""),"1.950 €/m2")</f>
        <v>1.950 €/m2</v>
      </c>
      <c r="C129" s="1" t="str">
        <f>IFERROR(__xludf.DUMMYFUNCTION("""COMPUTED_VALUE"""),"0,0 %")</f>
        <v>0,0 %</v>
      </c>
      <c r="D129" s="1" t="str">
        <f>IFERROR(__xludf.DUMMYFUNCTION("""COMPUTED_VALUE"""),"+ 2,2 %")</f>
        <v>+ 2,2 %</v>
      </c>
      <c r="E129" s="1" t="str">
        <f>IFERROR(__xludf.DUMMYFUNCTION("""COMPUTED_VALUE"""),"+ 1,3 %")</f>
        <v>+ 1,3 %</v>
      </c>
    </row>
    <row r="130">
      <c r="A130" s="2">
        <f>IFERROR(__xludf.DUMMYFUNCTION("""COMPUTED_VALUE"""),42278.0)</f>
        <v>42278</v>
      </c>
      <c r="B130" s="1" t="str">
        <f>IFERROR(__xludf.DUMMYFUNCTION("""COMPUTED_VALUE"""),"1.950 €/m2")</f>
        <v>1.950 €/m2</v>
      </c>
      <c r="C130" s="1" t="str">
        <f>IFERROR(__xludf.DUMMYFUNCTION("""COMPUTED_VALUE"""),"+ 1,1 %")</f>
        <v>+ 1,1 %</v>
      </c>
      <c r="D130" s="1" t="str">
        <f>IFERROR(__xludf.DUMMYFUNCTION("""COMPUTED_VALUE"""),"+ 1,8 %")</f>
        <v>+ 1,8 %</v>
      </c>
      <c r="E130" s="1" t="str">
        <f>IFERROR(__xludf.DUMMYFUNCTION("""COMPUTED_VALUE"""),"+ 0,9 %")</f>
        <v>+ 0,9 %</v>
      </c>
    </row>
    <row r="131">
      <c r="A131" s="2">
        <f>IFERROR(__xludf.DUMMYFUNCTION("""COMPUTED_VALUE"""),42248.0)</f>
        <v>42248</v>
      </c>
      <c r="B131" s="1" t="str">
        <f>IFERROR(__xludf.DUMMYFUNCTION("""COMPUTED_VALUE"""),"1.928 €/m2")</f>
        <v>1.928 €/m2</v>
      </c>
      <c r="C131" s="1" t="str">
        <f>IFERROR(__xludf.DUMMYFUNCTION("""COMPUTED_VALUE"""),"+ 1,1 %")</f>
        <v>+ 1,1 %</v>
      </c>
      <c r="D131" s="1" t="str">
        <f>IFERROR(__xludf.DUMMYFUNCTION("""COMPUTED_VALUE"""),"+ 0,7 %")</f>
        <v>+ 0,7 %</v>
      </c>
      <c r="E131" s="1" t="str">
        <f>IFERROR(__xludf.DUMMYFUNCTION("""COMPUTED_VALUE"""),"- 2,6 %")</f>
        <v>- 2,6 %</v>
      </c>
    </row>
    <row r="132">
      <c r="A132" s="2">
        <f>IFERROR(__xludf.DUMMYFUNCTION("""COMPUTED_VALUE"""),42217.0)</f>
        <v>42217</v>
      </c>
      <c r="B132" s="1" t="str">
        <f>IFERROR(__xludf.DUMMYFUNCTION("""COMPUTED_VALUE"""),"1.908 €/m2")</f>
        <v>1.908 €/m2</v>
      </c>
      <c r="C132" s="1" t="str">
        <f>IFERROR(__xludf.DUMMYFUNCTION("""COMPUTED_VALUE"""),"- 0,4 %")</f>
        <v>- 0,4 %</v>
      </c>
      <c r="D132" s="1" t="str">
        <f>IFERROR(__xludf.DUMMYFUNCTION("""COMPUTED_VALUE"""),"- 0,3 %")</f>
        <v>- 0,3 %</v>
      </c>
      <c r="E132" s="1" t="str">
        <f>IFERROR(__xludf.DUMMYFUNCTION("""COMPUTED_VALUE"""),"+ 0,3 %")</f>
        <v>+ 0,3 %</v>
      </c>
    </row>
    <row r="133">
      <c r="A133" s="2">
        <f>IFERROR(__xludf.DUMMYFUNCTION("""COMPUTED_VALUE"""),42186.0)</f>
        <v>42186</v>
      </c>
      <c r="B133" s="1" t="str">
        <f>IFERROR(__xludf.DUMMYFUNCTION("""COMPUTED_VALUE"""),"1.916 €/m2")</f>
        <v>1.916 €/m2</v>
      </c>
      <c r="C133" s="1" t="str">
        <f>IFERROR(__xludf.DUMMYFUNCTION("""COMPUTED_VALUE"""),"+ 0,1 %")</f>
        <v>+ 0,1 %</v>
      </c>
      <c r="D133" s="1" t="str">
        <f>IFERROR(__xludf.DUMMYFUNCTION("""COMPUTED_VALUE"""),"- 1,4 %")</f>
        <v>- 1,4 %</v>
      </c>
      <c r="E133" s="1" t="str">
        <f>IFERROR(__xludf.DUMMYFUNCTION("""COMPUTED_VALUE"""),"+ 0,5 %")</f>
        <v>+ 0,5 %</v>
      </c>
    </row>
    <row r="134">
      <c r="A134" s="2">
        <f>IFERROR(__xludf.DUMMYFUNCTION("""COMPUTED_VALUE"""),42156.0)</f>
        <v>42156</v>
      </c>
      <c r="B134" s="1" t="str">
        <f>IFERROR(__xludf.DUMMYFUNCTION("""COMPUTED_VALUE"""),"1.915 €/m2")</f>
        <v>1.915 €/m2</v>
      </c>
      <c r="C134" s="1" t="str">
        <f>IFERROR(__xludf.DUMMYFUNCTION("""COMPUTED_VALUE"""),"0,0 %")</f>
        <v>0,0 %</v>
      </c>
      <c r="D134" s="1" t="str">
        <f>IFERROR(__xludf.DUMMYFUNCTION("""COMPUTED_VALUE"""),"- 0,4 %")</f>
        <v>- 0,4 %</v>
      </c>
      <c r="E134" s="1" t="str">
        <f>IFERROR(__xludf.DUMMYFUNCTION("""COMPUTED_VALUE"""),"- 0,6 %")</f>
        <v>- 0,6 %</v>
      </c>
    </row>
    <row r="135">
      <c r="A135" s="2">
        <f>IFERROR(__xludf.DUMMYFUNCTION("""COMPUTED_VALUE"""),42125.0)</f>
        <v>42125</v>
      </c>
      <c r="B135" s="1" t="str">
        <f>IFERROR(__xludf.DUMMYFUNCTION("""COMPUTED_VALUE"""),"1.914 €/m2")</f>
        <v>1.914 €/m2</v>
      </c>
      <c r="C135" s="1" t="str">
        <f>IFERROR(__xludf.DUMMYFUNCTION("""COMPUTED_VALUE"""),"- 1,4 %")</f>
        <v>- 1,4 %</v>
      </c>
      <c r="D135" s="1" t="str">
        <f>IFERROR(__xludf.DUMMYFUNCTION("""COMPUTED_VALUE"""),"- 1,2 %")</f>
        <v>- 1,2 %</v>
      </c>
      <c r="E135" s="1" t="str">
        <f>IFERROR(__xludf.DUMMYFUNCTION("""COMPUTED_VALUE"""),"- 3,3 %")</f>
        <v>- 3,3 %</v>
      </c>
    </row>
    <row r="136">
      <c r="A136" s="2">
        <f>IFERROR(__xludf.DUMMYFUNCTION("""COMPUTED_VALUE"""),42095.0)</f>
        <v>42095</v>
      </c>
      <c r="B136" s="1" t="str">
        <f>IFERROR(__xludf.DUMMYFUNCTION("""COMPUTED_VALUE"""),"1.942 €/m2")</f>
        <v>1.942 €/m2</v>
      </c>
      <c r="C136" s="1" t="str">
        <f>IFERROR(__xludf.DUMMYFUNCTION("""COMPUTED_VALUE"""),"+ 1,1 %")</f>
        <v>+ 1,1 %</v>
      </c>
      <c r="D136" s="1" t="str">
        <f>IFERROR(__xludf.DUMMYFUNCTION("""COMPUTED_VALUE"""),"+ 0,9 %")</f>
        <v>+ 0,9 %</v>
      </c>
      <c r="E136" s="1" t="str">
        <f>IFERROR(__xludf.DUMMYFUNCTION("""COMPUTED_VALUE"""),"- 1,4 %")</f>
        <v>- 1,4 %</v>
      </c>
    </row>
    <row r="137">
      <c r="A137" s="2">
        <f>IFERROR(__xludf.DUMMYFUNCTION("""COMPUTED_VALUE"""),42064.0)</f>
        <v>42064</v>
      </c>
      <c r="B137" s="1" t="str">
        <f>IFERROR(__xludf.DUMMYFUNCTION("""COMPUTED_VALUE"""),"1.922 €/m2")</f>
        <v>1.922 €/m2</v>
      </c>
      <c r="C137" s="1" t="str">
        <f>IFERROR(__xludf.DUMMYFUNCTION("""COMPUTED_VALUE"""),"- 0,7 %")</f>
        <v>- 0,7 %</v>
      </c>
      <c r="D137" s="1" t="str">
        <f>IFERROR(__xludf.DUMMYFUNCTION("""COMPUTED_VALUE"""),"- 0,3 %")</f>
        <v>- 0,3 %</v>
      </c>
      <c r="E137" s="1" t="str">
        <f>IFERROR(__xludf.DUMMYFUNCTION("""COMPUTED_VALUE"""),"- 1,3 %")</f>
        <v>- 1,3 %</v>
      </c>
    </row>
    <row r="138">
      <c r="A138" s="2">
        <f>IFERROR(__xludf.DUMMYFUNCTION("""COMPUTED_VALUE"""),42036.0)</f>
        <v>42036</v>
      </c>
      <c r="B138" s="1" t="str">
        <f>IFERROR(__xludf.DUMMYFUNCTION("""COMPUTED_VALUE"""),"1.937 €/m2")</f>
        <v>1.937 €/m2</v>
      </c>
      <c r="C138" s="1" t="str">
        <f>IFERROR(__xludf.DUMMYFUNCTION("""COMPUTED_VALUE"""),"+ 0,6 %")</f>
        <v>+ 0,6 %</v>
      </c>
      <c r="D138" s="1" t="str">
        <f>IFERROR(__xludf.DUMMYFUNCTION("""COMPUTED_VALUE"""),"+ 0,6 %")</f>
        <v>+ 0,6 %</v>
      </c>
      <c r="E138" s="1" t="str">
        <f>IFERROR(__xludf.DUMMYFUNCTION("""COMPUTED_VALUE"""),"+ 0,8 %")</f>
        <v>+ 0,8 %</v>
      </c>
    </row>
    <row r="139">
      <c r="A139" s="2">
        <f>IFERROR(__xludf.DUMMYFUNCTION("""COMPUTED_VALUE"""),42005.0)</f>
        <v>42005</v>
      </c>
      <c r="B139" s="1" t="str">
        <f>IFERROR(__xludf.DUMMYFUNCTION("""COMPUTED_VALUE"""),"1.926 €/m2")</f>
        <v>1.926 €/m2</v>
      </c>
      <c r="C139" s="1" t="str">
        <f>IFERROR(__xludf.DUMMYFUNCTION("""COMPUTED_VALUE"""),"- 0,1 %")</f>
        <v>- 0,1 %</v>
      </c>
      <c r="D139" s="1" t="str">
        <f>IFERROR(__xludf.DUMMYFUNCTION("""COMPUTED_VALUE"""),"- 0,4 %")</f>
        <v>- 0,4 %</v>
      </c>
      <c r="E139" s="1" t="str">
        <f>IFERROR(__xludf.DUMMYFUNCTION("""COMPUTED_VALUE"""),"+ 1,2 %")</f>
        <v>+ 1,2 %</v>
      </c>
    </row>
    <row r="140">
      <c r="A140" s="2">
        <f>IFERROR(__xludf.DUMMYFUNCTION("""COMPUTED_VALUE"""),41974.0)</f>
        <v>41974</v>
      </c>
      <c r="B140" s="1" t="str">
        <f>IFERROR(__xludf.DUMMYFUNCTION("""COMPUTED_VALUE"""),"1.927 €/m2")</f>
        <v>1.927 €/m2</v>
      </c>
      <c r="C140" s="1" t="str">
        <f>IFERROR(__xludf.DUMMYFUNCTION("""COMPUTED_VALUE"""),"+ 0,1 %")</f>
        <v>+ 0,1 %</v>
      </c>
      <c r="D140" s="1" t="str">
        <f>IFERROR(__xludf.DUMMYFUNCTION("""COMPUTED_VALUE"""),"- 2,7 %")</f>
        <v>- 2,7 %</v>
      </c>
      <c r="E140" s="1" t="str">
        <f>IFERROR(__xludf.DUMMYFUNCTION("""COMPUTED_VALUE"""),"+ 0,2 %")</f>
        <v>+ 0,2 %</v>
      </c>
    </row>
    <row r="141">
      <c r="A141" s="2">
        <f>IFERROR(__xludf.DUMMYFUNCTION("""COMPUTED_VALUE"""),41944.0)</f>
        <v>41944</v>
      </c>
      <c r="B141" s="1" t="str">
        <f>IFERROR(__xludf.DUMMYFUNCTION("""COMPUTED_VALUE"""),"1.925 €/m2")</f>
        <v>1.925 €/m2</v>
      </c>
      <c r="C141" s="1" t="str">
        <f>IFERROR(__xludf.DUMMYFUNCTION("""COMPUTED_VALUE"""),"- 0,4 %")</f>
        <v>- 0,4 %</v>
      </c>
      <c r="D141" s="1" t="str">
        <f>IFERROR(__xludf.DUMMYFUNCTION("""COMPUTED_VALUE"""),"+ 1,2 %")</f>
        <v>+ 1,2 %</v>
      </c>
      <c r="E141" s="1" t="str">
        <f>IFERROR(__xludf.DUMMYFUNCTION("""COMPUTED_VALUE"""),"+ 2,3 %")</f>
        <v>+ 2,3 %</v>
      </c>
    </row>
    <row r="142">
      <c r="A142" s="2">
        <f>IFERROR(__xludf.DUMMYFUNCTION("""COMPUTED_VALUE"""),41913.0)</f>
        <v>41913</v>
      </c>
      <c r="B142" s="1" t="str">
        <f>IFERROR(__xludf.DUMMYFUNCTION("""COMPUTED_VALUE"""),"1.933 €/m2")</f>
        <v>1.933 €/m2</v>
      </c>
      <c r="C142" s="1" t="str">
        <f>IFERROR(__xludf.DUMMYFUNCTION("""COMPUTED_VALUE"""),"- 2,4 %")</f>
        <v>- 2,4 %</v>
      </c>
      <c r="D142" s="1" t="str">
        <f>IFERROR(__xludf.DUMMYFUNCTION("""COMPUTED_VALUE"""),"+ 1,4 %")</f>
        <v>+ 1,4 %</v>
      </c>
      <c r="E142" s="1" t="str">
        <f>IFERROR(__xludf.DUMMYFUNCTION("""COMPUTED_VALUE"""),"+ 3,2 %")</f>
        <v>+ 3,2 %</v>
      </c>
    </row>
    <row r="143">
      <c r="A143" s="2">
        <f>IFERROR(__xludf.DUMMYFUNCTION("""COMPUTED_VALUE"""),41883.0)</f>
        <v>41883</v>
      </c>
      <c r="B143" s="1" t="str">
        <f>IFERROR(__xludf.DUMMYFUNCTION("""COMPUTED_VALUE"""),"1.980 €/m2")</f>
        <v>1.980 €/m2</v>
      </c>
      <c r="C143" s="1" t="str">
        <f>IFERROR(__xludf.DUMMYFUNCTION("""COMPUTED_VALUE"""),"+ 4,1 %")</f>
        <v>+ 4,1 %</v>
      </c>
      <c r="D143" s="1" t="str">
        <f>IFERROR(__xludf.DUMMYFUNCTION("""COMPUTED_VALUE"""),"+ 2,8 %")</f>
        <v>+ 2,8 %</v>
      </c>
      <c r="E143" s="1" t="str">
        <f>IFERROR(__xludf.DUMMYFUNCTION("""COMPUTED_VALUE"""),"+ 4,4 %")</f>
        <v>+ 4,4 %</v>
      </c>
    </row>
    <row r="144">
      <c r="A144" s="2">
        <f>IFERROR(__xludf.DUMMYFUNCTION("""COMPUTED_VALUE"""),41852.0)</f>
        <v>41852</v>
      </c>
      <c r="B144" s="1" t="str">
        <f>IFERROR(__xludf.DUMMYFUNCTION("""COMPUTED_VALUE"""),"1.901 €/m2")</f>
        <v>1.901 €/m2</v>
      </c>
      <c r="C144" s="1" t="str">
        <f>IFERROR(__xludf.DUMMYFUNCTION("""COMPUTED_VALUE"""),"- 0,3 %")</f>
        <v>- 0,3 %</v>
      </c>
      <c r="D144" s="1" t="str">
        <f>IFERROR(__xludf.DUMMYFUNCTION("""COMPUTED_VALUE"""),"- 4,0 %")</f>
        <v>- 4,0 %</v>
      </c>
      <c r="E144" s="1" t="str">
        <f>IFERROR(__xludf.DUMMYFUNCTION("""COMPUTED_VALUE"""),"- 0,4 %")</f>
        <v>- 0,4 %</v>
      </c>
    </row>
    <row r="145">
      <c r="A145" s="2">
        <f>IFERROR(__xludf.DUMMYFUNCTION("""COMPUTED_VALUE"""),41821.0)</f>
        <v>41821</v>
      </c>
      <c r="B145" s="1" t="str">
        <f>IFERROR(__xludf.DUMMYFUNCTION("""COMPUTED_VALUE"""),"1.907 €/m2")</f>
        <v>1.907 €/m2</v>
      </c>
      <c r="C145" s="1" t="str">
        <f>IFERROR(__xludf.DUMMYFUNCTION("""COMPUTED_VALUE"""),"- 1,0 %")</f>
        <v>- 1,0 %</v>
      </c>
      <c r="D145" s="1" t="str">
        <f>IFERROR(__xludf.DUMMYFUNCTION("""COMPUTED_VALUE"""),"- 3,3 %")</f>
        <v>- 3,3 %</v>
      </c>
      <c r="E145" s="1" t="str">
        <f>IFERROR(__xludf.DUMMYFUNCTION("""COMPUTED_VALUE"""),"- 4,8 %")</f>
        <v>- 4,8 %</v>
      </c>
    </row>
    <row r="146">
      <c r="A146" s="2">
        <f>IFERROR(__xludf.DUMMYFUNCTION("""COMPUTED_VALUE"""),41791.0)</f>
        <v>41791</v>
      </c>
      <c r="B146" s="1" t="str">
        <f>IFERROR(__xludf.DUMMYFUNCTION("""COMPUTED_VALUE"""),"1.927 €/m2")</f>
        <v>1.927 €/m2</v>
      </c>
      <c r="C146" s="1" t="str">
        <f>IFERROR(__xludf.DUMMYFUNCTION("""COMPUTED_VALUE"""),"- 2,7 %")</f>
        <v>- 2,7 %</v>
      </c>
      <c r="D146" s="1" t="str">
        <f>IFERROR(__xludf.DUMMYFUNCTION("""COMPUTED_VALUE"""),"- 1,1 %")</f>
        <v>- 1,1 %</v>
      </c>
      <c r="E146" s="1" t="str">
        <f>IFERROR(__xludf.DUMMYFUNCTION("""COMPUTED_VALUE"""),"- 3,8 %")</f>
        <v>- 3,8 %</v>
      </c>
    </row>
    <row r="147">
      <c r="A147" s="2">
        <f>IFERROR(__xludf.DUMMYFUNCTION("""COMPUTED_VALUE"""),41760.0)</f>
        <v>41760</v>
      </c>
      <c r="B147" s="1" t="str">
        <f>IFERROR(__xludf.DUMMYFUNCTION("""COMPUTED_VALUE"""),"1.980 €/m2")</f>
        <v>1.980 €/m2</v>
      </c>
      <c r="C147" s="1" t="str">
        <f>IFERROR(__xludf.DUMMYFUNCTION("""COMPUTED_VALUE"""),"+ 0,5 %")</f>
        <v>+ 0,5 %</v>
      </c>
      <c r="D147" s="1" t="str">
        <f>IFERROR(__xludf.DUMMYFUNCTION("""COMPUTED_VALUE"""),"+ 3,0 %")</f>
        <v>+ 3,0 %</v>
      </c>
      <c r="E147" s="1" t="str">
        <f>IFERROR(__xludf.DUMMYFUNCTION("""COMPUTED_VALUE"""),"- 1,6 %")</f>
        <v>- 1,6 %</v>
      </c>
    </row>
    <row r="148">
      <c r="A148" s="2">
        <f>IFERROR(__xludf.DUMMYFUNCTION("""COMPUTED_VALUE"""),41730.0)</f>
        <v>41730</v>
      </c>
      <c r="B148" s="1" t="str">
        <f>IFERROR(__xludf.DUMMYFUNCTION("""COMPUTED_VALUE"""),"1.971 €/m2")</f>
        <v>1.971 €/m2</v>
      </c>
      <c r="C148" s="1" t="str">
        <f>IFERROR(__xludf.DUMMYFUNCTION("""COMPUTED_VALUE"""),"+ 1,2 %")</f>
        <v>+ 1,2 %</v>
      </c>
      <c r="D148" s="1" t="str">
        <f>IFERROR(__xludf.DUMMYFUNCTION("""COMPUTED_VALUE"""),"+ 3,6 %")</f>
        <v>+ 3,6 %</v>
      </c>
      <c r="E148" s="1" t="str">
        <f>IFERROR(__xludf.DUMMYFUNCTION("""COMPUTED_VALUE"""),"- 1,0 %")</f>
        <v>- 1,0 %</v>
      </c>
    </row>
    <row r="149">
      <c r="A149" s="2">
        <f>IFERROR(__xludf.DUMMYFUNCTION("""COMPUTED_VALUE"""),41699.0)</f>
        <v>41699</v>
      </c>
      <c r="B149" s="1" t="str">
        <f>IFERROR(__xludf.DUMMYFUNCTION("""COMPUTED_VALUE"""),"1.948 €/m2")</f>
        <v>1.948 €/m2</v>
      </c>
      <c r="C149" s="1" t="str">
        <f>IFERROR(__xludf.DUMMYFUNCTION("""COMPUTED_VALUE"""),"+ 1,3 %")</f>
        <v>+ 1,3 %</v>
      </c>
      <c r="D149" s="1" t="str">
        <f>IFERROR(__xludf.DUMMYFUNCTION("""COMPUTED_VALUE"""),"+ 1,3 %")</f>
        <v>+ 1,3 %</v>
      </c>
      <c r="E149" s="1" t="str">
        <f>IFERROR(__xludf.DUMMYFUNCTION("""COMPUTED_VALUE"""),"- 2,7 %")</f>
        <v>- 2,7 %</v>
      </c>
    </row>
    <row r="150">
      <c r="A150" s="2">
        <f>IFERROR(__xludf.DUMMYFUNCTION("""COMPUTED_VALUE"""),41671.0)</f>
        <v>41671</v>
      </c>
      <c r="B150" s="1" t="str">
        <f>IFERROR(__xludf.DUMMYFUNCTION("""COMPUTED_VALUE"""),"1.922 €/m2")</f>
        <v>1.922 €/m2</v>
      </c>
      <c r="C150" s="1" t="str">
        <f>IFERROR(__xludf.DUMMYFUNCTION("""COMPUTED_VALUE"""),"+ 1,0 %")</f>
        <v>+ 1,0 %</v>
      </c>
      <c r="D150" s="1" t="str">
        <f>IFERROR(__xludf.DUMMYFUNCTION("""COMPUTED_VALUE"""),"+ 2,2 %")</f>
        <v>+ 2,2 %</v>
      </c>
      <c r="E150" s="1" t="str">
        <f>IFERROR(__xludf.DUMMYFUNCTION("""COMPUTED_VALUE"""),"- 3,3 %")</f>
        <v>- 3,3 %</v>
      </c>
    </row>
    <row r="151">
      <c r="A151" s="2">
        <f>IFERROR(__xludf.DUMMYFUNCTION("""COMPUTED_VALUE"""),41640.0)</f>
        <v>41640</v>
      </c>
      <c r="B151" s="1" t="str">
        <f>IFERROR(__xludf.DUMMYFUNCTION("""COMPUTED_VALUE"""),"1.902 €/m2")</f>
        <v>1.902 €/m2</v>
      </c>
      <c r="C151" s="1" t="str">
        <f>IFERROR(__xludf.DUMMYFUNCTION("""COMPUTED_VALUE"""),"- 1,1 %")</f>
        <v>- 1,1 %</v>
      </c>
      <c r="D151" s="1" t="str">
        <f>IFERROR(__xludf.DUMMYFUNCTION("""COMPUTED_VALUE"""),"+ 1,6 %")</f>
        <v>+ 1,6 %</v>
      </c>
      <c r="E151" s="1" t="str">
        <f>IFERROR(__xludf.DUMMYFUNCTION("""COMPUTED_VALUE"""),"- 5,0 %")</f>
        <v>- 5,0 %</v>
      </c>
    </row>
    <row r="152">
      <c r="A152" s="2">
        <f>IFERROR(__xludf.DUMMYFUNCTION("""COMPUTED_VALUE"""),41609.0)</f>
        <v>41609</v>
      </c>
      <c r="B152" s="1" t="str">
        <f>IFERROR(__xludf.DUMMYFUNCTION("""COMPUTED_VALUE"""),"1.923 €/m2")</f>
        <v>1.923 €/m2</v>
      </c>
      <c r="C152" s="1" t="str">
        <f>IFERROR(__xludf.DUMMYFUNCTION("""COMPUTED_VALUE"""),"+ 2,2 %")</f>
        <v>+ 2,2 %</v>
      </c>
      <c r="D152" s="1" t="str">
        <f>IFERROR(__xludf.DUMMYFUNCTION("""COMPUTED_VALUE"""),"+ 1,4 %")</f>
        <v>+ 1,4 %</v>
      </c>
      <c r="E152" s="1" t="str">
        <f>IFERROR(__xludf.DUMMYFUNCTION("""COMPUTED_VALUE"""),"- 6,1 %")</f>
        <v>- 6,1 %</v>
      </c>
    </row>
    <row r="153">
      <c r="A153" s="2">
        <f>IFERROR(__xludf.DUMMYFUNCTION("""COMPUTED_VALUE"""),41579.0)</f>
        <v>41579</v>
      </c>
      <c r="B153" s="1" t="str">
        <f>IFERROR(__xludf.DUMMYFUNCTION("""COMPUTED_VALUE"""),"1.881 €/m2")</f>
        <v>1.881 €/m2</v>
      </c>
      <c r="C153" s="1" t="str">
        <f>IFERROR(__xludf.DUMMYFUNCTION("""COMPUTED_VALUE"""),"+ 0,4 %")</f>
        <v>+ 0,4 %</v>
      </c>
      <c r="D153" s="1" t="str">
        <f>IFERROR(__xludf.DUMMYFUNCTION("""COMPUTED_VALUE"""),"- 1,5 %")</f>
        <v>- 1,5 %</v>
      </c>
      <c r="E153" s="1" t="str">
        <f>IFERROR(__xludf.DUMMYFUNCTION("""COMPUTED_VALUE"""),"- 9,5 %")</f>
        <v>- 9,5 %</v>
      </c>
    </row>
    <row r="154">
      <c r="A154" s="2">
        <f>IFERROR(__xludf.DUMMYFUNCTION("""COMPUTED_VALUE"""),41548.0)</f>
        <v>41548</v>
      </c>
      <c r="B154" s="1" t="str">
        <f>IFERROR(__xludf.DUMMYFUNCTION("""COMPUTED_VALUE"""),"1.873 €/m2")</f>
        <v>1.873 €/m2</v>
      </c>
      <c r="C154" s="1" t="str">
        <f>IFERROR(__xludf.DUMMYFUNCTION("""COMPUTED_VALUE"""),"- 1,2 %")</f>
        <v>- 1,2 %</v>
      </c>
      <c r="D154" s="1" t="str">
        <f>IFERROR(__xludf.DUMMYFUNCTION("""COMPUTED_VALUE"""),"- 6,4 %")</f>
        <v>- 6,4 %</v>
      </c>
      <c r="E154" s="1" t="str">
        <f>IFERROR(__xludf.DUMMYFUNCTION("""COMPUTED_VALUE"""),"- 12,1 %")</f>
        <v>- 12,1 %</v>
      </c>
    </row>
    <row r="155">
      <c r="A155" s="2">
        <f>IFERROR(__xludf.DUMMYFUNCTION("""COMPUTED_VALUE"""),41518.0)</f>
        <v>41518</v>
      </c>
      <c r="B155" s="1" t="str">
        <f>IFERROR(__xludf.DUMMYFUNCTION("""COMPUTED_VALUE"""),"1.896 €/m2")</f>
        <v>1.896 €/m2</v>
      </c>
      <c r="C155" s="1" t="str">
        <f>IFERROR(__xludf.DUMMYFUNCTION("""COMPUTED_VALUE"""),"- 0,7 %")</f>
        <v>- 0,7 %</v>
      </c>
      <c r="D155" s="1" t="str">
        <f>IFERROR(__xludf.DUMMYFUNCTION("""COMPUTED_VALUE"""),"- 5,3 %")</f>
        <v>- 5,3 %</v>
      </c>
      <c r="E155" s="1" t="str">
        <f>IFERROR(__xludf.DUMMYFUNCTION("""COMPUTED_VALUE"""),"- 11,0 %")</f>
        <v>- 11,0 %</v>
      </c>
    </row>
    <row r="156">
      <c r="A156" s="2">
        <f>IFERROR(__xludf.DUMMYFUNCTION("""COMPUTED_VALUE"""),41487.0)</f>
        <v>41487</v>
      </c>
      <c r="B156" s="1" t="str">
        <f>IFERROR(__xludf.DUMMYFUNCTION("""COMPUTED_VALUE"""),"1.909 €/m2")</f>
        <v>1.909 €/m2</v>
      </c>
      <c r="C156" s="1" t="str">
        <f>IFERROR(__xludf.DUMMYFUNCTION("""COMPUTED_VALUE"""),"- 4,6 %")</f>
        <v>- 4,6 %</v>
      </c>
      <c r="D156" s="1" t="str">
        <f>IFERROR(__xludf.DUMMYFUNCTION("""COMPUTED_VALUE"""),"- 5,1 %")</f>
        <v>- 5,1 %</v>
      </c>
      <c r="E156" s="1" t="str">
        <f>IFERROR(__xludf.DUMMYFUNCTION("""COMPUTED_VALUE"""),"- 11,0 %")</f>
        <v>- 11,0 %</v>
      </c>
    </row>
    <row r="157">
      <c r="A157" s="2">
        <f>IFERROR(__xludf.DUMMYFUNCTION("""COMPUTED_VALUE"""),41456.0)</f>
        <v>41456</v>
      </c>
      <c r="B157" s="1" t="str">
        <f>IFERROR(__xludf.DUMMYFUNCTION("""COMPUTED_VALUE"""),"2.002 €/m2")</f>
        <v>2.002 €/m2</v>
      </c>
      <c r="C157" s="1" t="str">
        <f>IFERROR(__xludf.DUMMYFUNCTION("""COMPUTED_VALUE"""),"0,0 %")</f>
        <v>0,0 %</v>
      </c>
      <c r="D157" s="1" t="str">
        <f>IFERROR(__xludf.DUMMYFUNCTION("""COMPUTED_VALUE"""),"+ 0,6 %")</f>
        <v>+ 0,6 %</v>
      </c>
      <c r="E157" s="1" t="str">
        <f>IFERROR(__xludf.DUMMYFUNCTION("""COMPUTED_VALUE"""),"- 8,8 %")</f>
        <v>- 8,8 %</v>
      </c>
    </row>
    <row r="158">
      <c r="A158" s="2">
        <f>IFERROR(__xludf.DUMMYFUNCTION("""COMPUTED_VALUE"""),41426.0)</f>
        <v>41426</v>
      </c>
      <c r="B158" s="1" t="str">
        <f>IFERROR(__xludf.DUMMYFUNCTION("""COMPUTED_VALUE"""),"2.002 €/m2")</f>
        <v>2.002 €/m2</v>
      </c>
      <c r="C158" s="1" t="str">
        <f>IFERROR(__xludf.DUMMYFUNCTION("""COMPUTED_VALUE"""),"- 0,5 %")</f>
        <v>- 0,5 %</v>
      </c>
      <c r="D158" s="1" t="str">
        <f>IFERROR(__xludf.DUMMYFUNCTION("""COMPUTED_VALUE"""),"0,0 %")</f>
        <v>0,0 %</v>
      </c>
      <c r="E158" s="1" t="str">
        <f>IFERROR(__xludf.DUMMYFUNCTION("""COMPUTED_VALUE"""),"- 10,6 %")</f>
        <v>- 10,6 %</v>
      </c>
    </row>
    <row r="159">
      <c r="A159" s="2">
        <f>IFERROR(__xludf.DUMMYFUNCTION("""COMPUTED_VALUE"""),41395.0)</f>
        <v>41395</v>
      </c>
      <c r="B159" s="1" t="str">
        <f>IFERROR(__xludf.DUMMYFUNCTION("""COMPUTED_VALUE"""),"2.012 €/m2")</f>
        <v>2.012 €/m2</v>
      </c>
      <c r="C159" s="1" t="str">
        <f>IFERROR(__xludf.DUMMYFUNCTION("""COMPUTED_VALUE"""),"+ 1,1 %")</f>
        <v>+ 1,1 %</v>
      </c>
      <c r="D159" s="1" t="str">
        <f>IFERROR(__xludf.DUMMYFUNCTION("""COMPUTED_VALUE"""),"+ 1,3 %")</f>
        <v>+ 1,3 %</v>
      </c>
      <c r="E159" s="1" t="str">
        <f>IFERROR(__xludf.DUMMYFUNCTION("""COMPUTED_VALUE"""),"- 10,7 %")</f>
        <v>- 10,7 %</v>
      </c>
    </row>
    <row r="160">
      <c r="A160" s="2">
        <f>IFERROR(__xludf.DUMMYFUNCTION("""COMPUTED_VALUE"""),41365.0)</f>
        <v>41365</v>
      </c>
      <c r="B160" s="1" t="str">
        <f>IFERROR(__xludf.DUMMYFUNCTION("""COMPUTED_VALUE"""),"1.991 €/m2")</f>
        <v>1.991 €/m2</v>
      </c>
      <c r="C160" s="1" t="str">
        <f>IFERROR(__xludf.DUMMYFUNCTION("""COMPUTED_VALUE"""),"- 0,6 %")</f>
        <v>- 0,6 %</v>
      </c>
      <c r="D160" s="1" t="str">
        <f>IFERROR(__xludf.DUMMYFUNCTION("""COMPUTED_VALUE"""),"- 0,5 %")</f>
        <v>- 0,5 %</v>
      </c>
      <c r="E160" s="1" t="str">
        <f>IFERROR(__xludf.DUMMYFUNCTION("""COMPUTED_VALUE"""),"- 11,7 %")</f>
        <v>- 11,7 %</v>
      </c>
    </row>
    <row r="161">
      <c r="A161" s="2">
        <f>IFERROR(__xludf.DUMMYFUNCTION("""COMPUTED_VALUE"""),41334.0)</f>
        <v>41334</v>
      </c>
      <c r="B161" s="1" t="str">
        <f>IFERROR(__xludf.DUMMYFUNCTION("""COMPUTED_VALUE"""),"2.002 €/m2")</f>
        <v>2.002 €/m2</v>
      </c>
      <c r="C161" s="1" t="str">
        <f>IFERROR(__xludf.DUMMYFUNCTION("""COMPUTED_VALUE"""),"+ 0,8 %")</f>
        <v>+ 0,8 %</v>
      </c>
      <c r="D161" s="1" t="str">
        <f>IFERROR(__xludf.DUMMYFUNCTION("""COMPUTED_VALUE"""),"- 2,2 %")</f>
        <v>- 2,2 %</v>
      </c>
      <c r="E161" s="1" t="str">
        <f>IFERROR(__xludf.DUMMYFUNCTION("""COMPUTED_VALUE"""),"- 13,2 %")</f>
        <v>- 13,2 %</v>
      </c>
    </row>
    <row r="162">
      <c r="A162" s="2">
        <f>IFERROR(__xludf.DUMMYFUNCTION("""COMPUTED_VALUE"""),41306.0)</f>
        <v>41306</v>
      </c>
      <c r="B162" s="1" t="str">
        <f>IFERROR(__xludf.DUMMYFUNCTION("""COMPUTED_VALUE"""),"1.987 €/m2")</f>
        <v>1.987 €/m2</v>
      </c>
      <c r="C162" s="1" t="str">
        <f>IFERROR(__xludf.DUMMYFUNCTION("""COMPUTED_VALUE"""),"- 0,7 %")</f>
        <v>- 0,7 %</v>
      </c>
      <c r="D162" s="1" t="str">
        <f>IFERROR(__xludf.DUMMYFUNCTION("""COMPUTED_VALUE"""),"- 4,4 %")</f>
        <v>- 4,4 %</v>
      </c>
      <c r="E162" s="1" t="str">
        <f>IFERROR(__xludf.DUMMYFUNCTION("""COMPUTED_VALUE"""),"- 14,1 %")</f>
        <v>- 14,1 %</v>
      </c>
    </row>
    <row r="163">
      <c r="A163" s="2">
        <f>IFERROR(__xludf.DUMMYFUNCTION("""COMPUTED_VALUE"""),41275.0)</f>
        <v>41275</v>
      </c>
      <c r="B163" s="1" t="str">
        <f>IFERROR(__xludf.DUMMYFUNCTION("""COMPUTED_VALUE"""),"2.002 €/m2")</f>
        <v>2.002 €/m2</v>
      </c>
      <c r="C163" s="1" t="str">
        <f>IFERROR(__xludf.DUMMYFUNCTION("""COMPUTED_VALUE"""),"- 2,2 %")</f>
        <v>- 2,2 %</v>
      </c>
      <c r="D163" s="1" t="str">
        <f>IFERROR(__xludf.DUMMYFUNCTION("""COMPUTED_VALUE"""),"- 6,0 %")</f>
        <v>- 6,0 %</v>
      </c>
      <c r="E163" s="1" t="str">
        <f>IFERROR(__xludf.DUMMYFUNCTION("""COMPUTED_VALUE"""),"- 13,8 %")</f>
        <v>- 13,8 %</v>
      </c>
    </row>
    <row r="164">
      <c r="A164" s="2">
        <f>IFERROR(__xludf.DUMMYFUNCTION("""COMPUTED_VALUE"""),41244.0)</f>
        <v>41244</v>
      </c>
      <c r="B164" s="1" t="str">
        <f>IFERROR(__xludf.DUMMYFUNCTION("""COMPUTED_VALUE"""),"2.047 €/m2")</f>
        <v>2.047 €/m2</v>
      </c>
      <c r="C164" s="1" t="str">
        <f>IFERROR(__xludf.DUMMYFUNCTION("""COMPUTED_VALUE"""),"- 1,5 %")</f>
        <v>- 1,5 %</v>
      </c>
      <c r="D164" s="1" t="str">
        <f>IFERROR(__xludf.DUMMYFUNCTION("""COMPUTED_VALUE"""),"- 3,9 %")</f>
        <v>- 3,9 %</v>
      </c>
      <c r="E164" s="1" t="str">
        <f>IFERROR(__xludf.DUMMYFUNCTION("""COMPUTED_VALUE"""),"- 10,7 %")</f>
        <v>- 10,7 %</v>
      </c>
    </row>
    <row r="165">
      <c r="A165" s="2">
        <f>IFERROR(__xludf.DUMMYFUNCTION("""COMPUTED_VALUE"""),41214.0)</f>
        <v>41214</v>
      </c>
      <c r="B165" s="1" t="str">
        <f>IFERROR(__xludf.DUMMYFUNCTION("""COMPUTED_VALUE"""),"2.079 €/m2")</f>
        <v>2.079 €/m2</v>
      </c>
      <c r="C165" s="1" t="str">
        <f>IFERROR(__xludf.DUMMYFUNCTION("""COMPUTED_VALUE"""),"- 2,4 %")</f>
        <v>- 2,4 %</v>
      </c>
      <c r="D165" s="1" t="str">
        <f>IFERROR(__xludf.DUMMYFUNCTION("""COMPUTED_VALUE"""),"- 3,1 %")</f>
        <v>- 3,1 %</v>
      </c>
      <c r="E165" s="1" t="str">
        <f>IFERROR(__xludf.DUMMYFUNCTION("""COMPUTED_VALUE"""),"- 11,5 %")</f>
        <v>- 11,5 %</v>
      </c>
    </row>
    <row r="166">
      <c r="A166" s="2">
        <f>IFERROR(__xludf.DUMMYFUNCTION("""COMPUTED_VALUE"""),41183.0)</f>
        <v>41183</v>
      </c>
      <c r="B166" s="1" t="str">
        <f>IFERROR(__xludf.DUMMYFUNCTION("""COMPUTED_VALUE"""),"2.131 €/m2")</f>
        <v>2.131 €/m2</v>
      </c>
      <c r="C166" s="1" t="str">
        <f>IFERROR(__xludf.DUMMYFUNCTION("""COMPUTED_VALUE"""),"0,0 %")</f>
        <v>0,0 %</v>
      </c>
      <c r="D166" s="1" t="str">
        <f>IFERROR(__xludf.DUMMYFUNCTION("""COMPUTED_VALUE"""),"- 3,0 %")</f>
        <v>- 3,0 %</v>
      </c>
      <c r="E166" s="1" t="str">
        <f>IFERROR(__xludf.DUMMYFUNCTION("""COMPUTED_VALUE"""),"- 10,0 %")</f>
        <v>- 10,0 %</v>
      </c>
    </row>
    <row r="167">
      <c r="A167" s="2">
        <f>IFERROR(__xludf.DUMMYFUNCTION("""COMPUTED_VALUE"""),41153.0)</f>
        <v>41153</v>
      </c>
      <c r="B167" s="1" t="str">
        <f>IFERROR(__xludf.DUMMYFUNCTION("""COMPUTED_VALUE"""),"2.131 €/m2")</f>
        <v>2.131 €/m2</v>
      </c>
      <c r="C167" s="1" t="str">
        <f>IFERROR(__xludf.DUMMYFUNCTION("""COMPUTED_VALUE"""),"- 0,7 %")</f>
        <v>- 0,7 %</v>
      </c>
      <c r="D167" s="1" t="str">
        <f>IFERROR(__xludf.DUMMYFUNCTION("""COMPUTED_VALUE"""),"- 4,9 %")</f>
        <v>- 4,9 %</v>
      </c>
      <c r="E167" s="1" t="str">
        <f>IFERROR(__xludf.DUMMYFUNCTION("""COMPUTED_VALUE"""),"- 12,1 %")</f>
        <v>- 12,1 %</v>
      </c>
    </row>
    <row r="168">
      <c r="A168" s="2">
        <f>IFERROR(__xludf.DUMMYFUNCTION("""COMPUTED_VALUE"""),41122.0)</f>
        <v>41122</v>
      </c>
      <c r="B168" s="1" t="str">
        <f>IFERROR(__xludf.DUMMYFUNCTION("""COMPUTED_VALUE"""),"2.145 €/m2")</f>
        <v>2.145 €/m2</v>
      </c>
      <c r="C168" s="1" t="str">
        <f>IFERROR(__xludf.DUMMYFUNCTION("""COMPUTED_VALUE"""),"- 2,3 %")</f>
        <v>- 2,3 %</v>
      </c>
      <c r="D168" s="1" t="str">
        <f>IFERROR(__xludf.DUMMYFUNCTION("""COMPUTED_VALUE"""),"- 4,8 %")</f>
        <v>- 4,8 %</v>
      </c>
      <c r="E168" s="1" t="str">
        <f>IFERROR(__xludf.DUMMYFUNCTION("""COMPUTED_VALUE"""),"- 13,6 %")</f>
        <v>- 13,6 %</v>
      </c>
    </row>
    <row r="169">
      <c r="A169" s="2">
        <f>IFERROR(__xludf.DUMMYFUNCTION("""COMPUTED_VALUE"""),41091.0)</f>
        <v>41091</v>
      </c>
      <c r="B169" s="1" t="str">
        <f>IFERROR(__xludf.DUMMYFUNCTION("""COMPUTED_VALUE"""),"2.196 €/m2")</f>
        <v>2.196 €/m2</v>
      </c>
      <c r="C169" s="1" t="str">
        <f>IFERROR(__xludf.DUMMYFUNCTION("""COMPUTED_VALUE"""),"- 2,0 %")</f>
        <v>- 2,0 %</v>
      </c>
      <c r="D169" s="1" t="str">
        <f>IFERROR(__xludf.DUMMYFUNCTION("""COMPUTED_VALUE"""),"- 2,6 %")</f>
        <v>- 2,6 %</v>
      </c>
      <c r="E169" s="1" t="str">
        <f>IFERROR(__xludf.DUMMYFUNCTION("""COMPUTED_VALUE"""),"- 12,2 %")</f>
        <v>- 12,2 %</v>
      </c>
    </row>
    <row r="170">
      <c r="A170" s="2">
        <f>IFERROR(__xludf.DUMMYFUNCTION("""COMPUTED_VALUE"""),41061.0)</f>
        <v>41061</v>
      </c>
      <c r="B170" s="1" t="str">
        <f>IFERROR(__xludf.DUMMYFUNCTION("""COMPUTED_VALUE"""),"2.240 €/m2")</f>
        <v>2.240 €/m2</v>
      </c>
      <c r="C170" s="1" t="str">
        <f>IFERROR(__xludf.DUMMYFUNCTION("""COMPUTED_VALUE"""),"- 0,6 %")</f>
        <v>- 0,6 %</v>
      </c>
      <c r="D170" s="1" t="str">
        <f>IFERROR(__xludf.DUMMYFUNCTION("""COMPUTED_VALUE"""),"- 2,9 %")</f>
        <v>- 2,9 %</v>
      </c>
      <c r="E170" s="1" t="str">
        <f>IFERROR(__xludf.DUMMYFUNCTION("""COMPUTED_VALUE"""),"- 10,4 %")</f>
        <v>- 10,4 %</v>
      </c>
    </row>
    <row r="171">
      <c r="A171" s="2">
        <f>IFERROR(__xludf.DUMMYFUNCTION("""COMPUTED_VALUE"""),41030.0)</f>
        <v>41030</v>
      </c>
      <c r="B171" s="1" t="str">
        <f>IFERROR(__xludf.DUMMYFUNCTION("""COMPUTED_VALUE"""),"2.254 €/m2")</f>
        <v>2.254 €/m2</v>
      </c>
      <c r="C171" s="1" t="str">
        <f>IFERROR(__xludf.DUMMYFUNCTION("""COMPUTED_VALUE"""),"0,0 %")</f>
        <v>0,0 %</v>
      </c>
      <c r="D171" s="1" t="str">
        <f>IFERROR(__xludf.DUMMYFUNCTION("""COMPUTED_VALUE"""),"- 2,6 %")</f>
        <v>- 2,6 %</v>
      </c>
      <c r="E171" s="1" t="str">
        <f>IFERROR(__xludf.DUMMYFUNCTION("""COMPUTED_VALUE"""),"- 11,4 %")</f>
        <v>- 11,4 %</v>
      </c>
    </row>
    <row r="172">
      <c r="A172" s="2">
        <f>IFERROR(__xludf.DUMMYFUNCTION("""COMPUTED_VALUE"""),41000.0)</f>
        <v>41000</v>
      </c>
      <c r="B172" s="1" t="str">
        <f>IFERROR(__xludf.DUMMYFUNCTION("""COMPUTED_VALUE"""),"2.255 €/m2")</f>
        <v>2.255 €/m2</v>
      </c>
      <c r="C172" s="1" t="str">
        <f>IFERROR(__xludf.DUMMYFUNCTION("""COMPUTED_VALUE"""),"- 2,2 %")</f>
        <v>- 2,2 %</v>
      </c>
      <c r="D172" s="1" t="str">
        <f>IFERROR(__xludf.DUMMYFUNCTION("""COMPUTED_VALUE"""),"- 2,8 %")</f>
        <v>- 2,8 %</v>
      </c>
      <c r="E172" s="1" t="str">
        <f>IFERROR(__xludf.DUMMYFUNCTION("""COMPUTED_VALUE"""),"- 12,2 %")</f>
        <v>- 12,2 %</v>
      </c>
    </row>
    <row r="173">
      <c r="A173" s="2">
        <f>IFERROR(__xludf.DUMMYFUNCTION("""COMPUTED_VALUE"""),40969.0)</f>
        <v>40969</v>
      </c>
      <c r="B173" s="1" t="str">
        <f>IFERROR(__xludf.DUMMYFUNCTION("""COMPUTED_VALUE"""),"2.307 €/m2")</f>
        <v>2.307 €/m2</v>
      </c>
      <c r="C173" s="1" t="str">
        <f>IFERROR(__xludf.DUMMYFUNCTION("""COMPUTED_VALUE"""),"- 0,3 %")</f>
        <v>- 0,3 %</v>
      </c>
      <c r="D173" s="1" t="str">
        <f>IFERROR(__xludf.DUMMYFUNCTION("""COMPUTED_VALUE"""),"+ 0,6 %")</f>
        <v>+ 0,6 %</v>
      </c>
      <c r="E173" s="1" t="str">
        <f>IFERROR(__xludf.DUMMYFUNCTION("""COMPUTED_VALUE"""),"- 12,1 %")</f>
        <v>- 12,1 %</v>
      </c>
    </row>
    <row r="174">
      <c r="A174" s="2">
        <f>IFERROR(__xludf.DUMMYFUNCTION("""COMPUTED_VALUE"""),40940.0)</f>
        <v>40940</v>
      </c>
      <c r="B174" s="1" t="str">
        <f>IFERROR(__xludf.DUMMYFUNCTION("""COMPUTED_VALUE"""),"2.314 €/m2")</f>
        <v>2.314 €/m2</v>
      </c>
      <c r="C174" s="1" t="str">
        <f>IFERROR(__xludf.DUMMYFUNCTION("""COMPUTED_VALUE"""),"- 0,3 %")</f>
        <v>- 0,3 %</v>
      </c>
      <c r="D174" s="1" t="str">
        <f>IFERROR(__xludf.DUMMYFUNCTION("""COMPUTED_VALUE"""),"- 1,5 %")</f>
        <v>- 1,5 %</v>
      </c>
      <c r="E174" s="1" t="str">
        <f>IFERROR(__xludf.DUMMYFUNCTION("""COMPUTED_VALUE"""),"- 13,3 %")</f>
        <v>- 13,3 %</v>
      </c>
    </row>
    <row r="175">
      <c r="A175" s="2">
        <f>IFERROR(__xludf.DUMMYFUNCTION("""COMPUTED_VALUE"""),40909.0)</f>
        <v>40909</v>
      </c>
      <c r="B175" s="1" t="str">
        <f>IFERROR(__xludf.DUMMYFUNCTION("""COMPUTED_VALUE"""),"2.321 €/m2")</f>
        <v>2.321 €/m2</v>
      </c>
      <c r="C175" s="1" t="str">
        <f>IFERROR(__xludf.DUMMYFUNCTION("""COMPUTED_VALUE"""),"+ 1,2 %")</f>
        <v>+ 1,2 %</v>
      </c>
      <c r="D175" s="1" t="str">
        <f>IFERROR(__xludf.DUMMYFUNCTION("""COMPUTED_VALUE"""),"- 1,9 %")</f>
        <v>- 1,9 %</v>
      </c>
      <c r="E175" s="1" t="str">
        <f>IFERROR(__xludf.DUMMYFUNCTION("""COMPUTED_VALUE"""),"- 13,6 %")</f>
        <v>- 13,6 %</v>
      </c>
    </row>
    <row r="176">
      <c r="A176" s="2">
        <f>IFERROR(__xludf.DUMMYFUNCTION("""COMPUTED_VALUE"""),40878.0)</f>
        <v>40878</v>
      </c>
      <c r="B176" s="1" t="str">
        <f>IFERROR(__xludf.DUMMYFUNCTION("""COMPUTED_VALUE"""),"2.293 €/m2")</f>
        <v>2.293 €/m2</v>
      </c>
      <c r="C176" s="1" t="str">
        <f>IFERROR(__xludf.DUMMYFUNCTION("""COMPUTED_VALUE"""),"- 2,4 %")</f>
        <v>- 2,4 %</v>
      </c>
      <c r="D176" s="1" t="str">
        <f>IFERROR(__xludf.DUMMYFUNCTION("""COMPUTED_VALUE"""),"- 5,3 %")</f>
        <v>- 5,3 %</v>
      </c>
      <c r="E176" s="1" t="str">
        <f>IFERROR(__xludf.DUMMYFUNCTION("""COMPUTED_VALUE"""),"- 11,8 %")</f>
        <v>- 11,8 %</v>
      </c>
    </row>
    <row r="177">
      <c r="A177" s="2">
        <f>IFERROR(__xludf.DUMMYFUNCTION("""COMPUTED_VALUE"""),40848.0)</f>
        <v>40848</v>
      </c>
      <c r="B177" s="1" t="str">
        <f>IFERROR(__xludf.DUMMYFUNCTION("""COMPUTED_VALUE"""),"2.350 €/m2")</f>
        <v>2.350 €/m2</v>
      </c>
      <c r="C177" s="1" t="str">
        <f>IFERROR(__xludf.DUMMYFUNCTION("""COMPUTED_VALUE"""),"- 0,7 %")</f>
        <v>- 0,7 %</v>
      </c>
      <c r="D177" s="1" t="str">
        <f>IFERROR(__xludf.DUMMYFUNCTION("""COMPUTED_VALUE"""),"- 5,4 %")</f>
        <v>- 5,4 %</v>
      </c>
      <c r="E177" s="1" t="str">
        <f>IFERROR(__xludf.DUMMYFUNCTION("""COMPUTED_VALUE"""),"- 9,6 %")</f>
        <v>- 9,6 %</v>
      </c>
    </row>
    <row r="178">
      <c r="A178" s="2">
        <f>IFERROR(__xludf.DUMMYFUNCTION("""COMPUTED_VALUE"""),40817.0)</f>
        <v>40817</v>
      </c>
      <c r="B178" s="1" t="str">
        <f>IFERROR(__xludf.DUMMYFUNCTION("""COMPUTED_VALUE"""),"2.366 €/m2")</f>
        <v>2.366 €/m2</v>
      </c>
      <c r="C178" s="1" t="str">
        <f>IFERROR(__xludf.DUMMYFUNCTION("""COMPUTED_VALUE"""),"- 2,3 %")</f>
        <v>- 2,3 %</v>
      </c>
      <c r="D178" s="1" t="str">
        <f>IFERROR(__xludf.DUMMYFUNCTION("""COMPUTED_VALUE"""),"- 5,3 %")</f>
        <v>- 5,3 %</v>
      </c>
      <c r="E178" s="1" t="str">
        <f>IFERROR(__xludf.DUMMYFUNCTION("""COMPUTED_VALUE"""),"- 8,2 %")</f>
        <v>- 8,2 %</v>
      </c>
    </row>
    <row r="179">
      <c r="A179" s="2">
        <f>IFERROR(__xludf.DUMMYFUNCTION("""COMPUTED_VALUE"""),40787.0)</f>
        <v>40787</v>
      </c>
      <c r="B179" s="1" t="str">
        <f>IFERROR(__xludf.DUMMYFUNCTION("""COMPUTED_VALUE"""),"2.423 €/m2")</f>
        <v>2.423 €/m2</v>
      </c>
      <c r="C179" s="1" t="str">
        <f>IFERROR(__xludf.DUMMYFUNCTION("""COMPUTED_VALUE"""),"- 2,5 %")</f>
        <v>- 2,5 %</v>
      </c>
      <c r="D179" s="1" t="str">
        <f>IFERROR(__xludf.DUMMYFUNCTION("""COMPUTED_VALUE"""),"- 3,1 %")</f>
        <v>- 3,1 %</v>
      </c>
      <c r="E179" s="1" t="str">
        <f>IFERROR(__xludf.DUMMYFUNCTION("""COMPUTED_VALUE"""),"- 6,8 %")</f>
        <v>- 6,8 %</v>
      </c>
    </row>
    <row r="180">
      <c r="A180" s="2">
        <f>IFERROR(__xludf.DUMMYFUNCTION("""COMPUTED_VALUE"""),40756.0)</f>
        <v>40756</v>
      </c>
      <c r="B180" s="1" t="str">
        <f>IFERROR(__xludf.DUMMYFUNCTION("""COMPUTED_VALUE"""),"2.484 €/m2")</f>
        <v>2.484 €/m2</v>
      </c>
      <c r="C180" s="1" t="str">
        <f>IFERROR(__xludf.DUMMYFUNCTION("""COMPUTED_VALUE"""),"- 0,6 %")</f>
        <v>- 0,6 %</v>
      </c>
      <c r="D180" s="1" t="str">
        <f>IFERROR(__xludf.DUMMYFUNCTION("""COMPUTED_VALUE"""),"- 2,4 %")</f>
        <v>- 2,4 %</v>
      </c>
      <c r="E180" s="1" t="str">
        <f>IFERROR(__xludf.DUMMYFUNCTION("""COMPUTED_VALUE"""),"- 2,4 %")</f>
        <v>- 2,4 %</v>
      </c>
    </row>
    <row r="181">
      <c r="A181" s="2">
        <f>IFERROR(__xludf.DUMMYFUNCTION("""COMPUTED_VALUE"""),40725.0)</f>
        <v>40725</v>
      </c>
      <c r="B181" s="1" t="str">
        <f>IFERROR(__xludf.DUMMYFUNCTION("""COMPUTED_VALUE"""),"2.500 €/m2")</f>
        <v>2.500 €/m2</v>
      </c>
      <c r="C181" s="1" t="str">
        <f>IFERROR(__xludf.DUMMYFUNCTION("""COMPUTED_VALUE"""),"n.d.")</f>
        <v>n.d.</v>
      </c>
      <c r="D181" s="1" t="str">
        <f>IFERROR(__xludf.DUMMYFUNCTION("""COMPUTED_VALUE"""),"- 2,7 %")</f>
        <v>- 2,7 %</v>
      </c>
      <c r="E181" s="1" t="str">
        <f>IFERROR(__xludf.DUMMYFUNCTION("""COMPUTED_VALUE"""),"- 3,2 %")</f>
        <v>- 3,2 %</v>
      </c>
    </row>
    <row r="182">
      <c r="A182" s="2">
        <f>IFERROR(__xludf.DUMMYFUNCTION("""COMPUTED_VALUE"""),40695.0)</f>
        <v>40695</v>
      </c>
      <c r="B182" s="1" t="str">
        <f>IFERROR(__xludf.DUMMYFUNCTION("""COMPUTED_VALUE"""),"2.500 €/m2")</f>
        <v>2.500 €/m2</v>
      </c>
      <c r="C182" s="1" t="str">
        <f>IFERROR(__xludf.DUMMYFUNCTION("""COMPUTED_VALUE"""),"- 1,8 %")</f>
        <v>- 1,8 %</v>
      </c>
      <c r="D182" s="1" t="str">
        <f>IFERROR(__xludf.DUMMYFUNCTION("""COMPUTED_VALUE"""),"- 4,8 %")</f>
        <v>- 4,8 %</v>
      </c>
      <c r="E182" s="1" t="str">
        <f>IFERROR(__xludf.DUMMYFUNCTION("""COMPUTED_VALUE"""),"- 5,2 %")</f>
        <v>- 5,2 %</v>
      </c>
    </row>
    <row r="183">
      <c r="A183" s="2">
        <f>IFERROR(__xludf.DUMMYFUNCTION("""COMPUTED_VALUE"""),40664.0)</f>
        <v>40664</v>
      </c>
      <c r="B183" s="1" t="str">
        <f>IFERROR(__xludf.DUMMYFUNCTION("""COMPUTED_VALUE"""),"2.545 €/m2")</f>
        <v>2.545 €/m2</v>
      </c>
      <c r="C183" s="1" t="str">
        <f>IFERROR(__xludf.DUMMYFUNCTION("""COMPUTED_VALUE"""),"- 0,9 %")</f>
        <v>- 0,9 %</v>
      </c>
      <c r="D183" s="1" t="str">
        <f>IFERROR(__xludf.DUMMYFUNCTION("""COMPUTED_VALUE"""),"- 4,6 %")</f>
        <v>- 4,6 %</v>
      </c>
      <c r="E183" s="1" t="str">
        <f>IFERROR(__xludf.DUMMYFUNCTION("""COMPUTED_VALUE"""),"- 7,0 %")</f>
        <v>- 7,0 %</v>
      </c>
    </row>
    <row r="184">
      <c r="A184" s="2">
        <f>IFERROR(__xludf.DUMMYFUNCTION("""COMPUTED_VALUE"""),40634.0)</f>
        <v>40634</v>
      </c>
      <c r="B184" s="1" t="str">
        <f>IFERROR(__xludf.DUMMYFUNCTION("""COMPUTED_VALUE"""),"2.569 €/m2")</f>
        <v>2.569 €/m2</v>
      </c>
      <c r="C184" s="1" t="str">
        <f>IFERROR(__xludf.DUMMYFUNCTION("""COMPUTED_VALUE"""),"- 2,1 %")</f>
        <v>- 2,1 %</v>
      </c>
      <c r="D184" s="1" t="str">
        <f>IFERROR(__xludf.DUMMYFUNCTION("""COMPUTED_VALUE"""),"- 4,4 %")</f>
        <v>- 4,4 %</v>
      </c>
      <c r="E184" s="1" t="str">
        <f>IFERROR(__xludf.DUMMYFUNCTION("""COMPUTED_VALUE"""),"- 4,6 %")</f>
        <v>- 4,6 %</v>
      </c>
    </row>
    <row r="185">
      <c r="A185" s="2">
        <f>IFERROR(__xludf.DUMMYFUNCTION("""COMPUTED_VALUE"""),40603.0)</f>
        <v>40603</v>
      </c>
      <c r="B185" s="1" t="str">
        <f>IFERROR(__xludf.DUMMYFUNCTION("""COMPUTED_VALUE"""),"2.625 €/m2")</f>
        <v>2.625 €/m2</v>
      </c>
      <c r="C185" s="1" t="str">
        <f>IFERROR(__xludf.DUMMYFUNCTION("""COMPUTED_VALUE"""),"- 1,7 %")</f>
        <v>- 1,7 %</v>
      </c>
      <c r="D185" s="1" t="str">
        <f>IFERROR(__xludf.DUMMYFUNCTION("""COMPUTED_VALUE"""),"+ 1,0 %")</f>
        <v>+ 1,0 %</v>
      </c>
      <c r="E185" s="1" t="str">
        <f>IFERROR(__xludf.DUMMYFUNCTION("""COMPUTED_VALUE"""),"- 2,3 %")</f>
        <v>- 2,3 %</v>
      </c>
    </row>
    <row r="186">
      <c r="A186" s="2">
        <f>IFERROR(__xludf.DUMMYFUNCTION("""COMPUTED_VALUE"""),40575.0)</f>
        <v>40575</v>
      </c>
      <c r="B186" s="1" t="str">
        <f>IFERROR(__xludf.DUMMYFUNCTION("""COMPUTED_VALUE"""),"2.669 €/m2")</f>
        <v>2.669 €/m2</v>
      </c>
      <c r="C186" s="1" t="str">
        <f>IFERROR(__xludf.DUMMYFUNCTION("""COMPUTED_VALUE"""),"- 0,7 %")</f>
        <v>- 0,7 %</v>
      </c>
      <c r="D186" s="1" t="str">
        <f>IFERROR(__xludf.DUMMYFUNCTION("""COMPUTED_VALUE"""),"+ 2,7 %")</f>
        <v>+ 2,7 %</v>
      </c>
      <c r="E186" s="1" t="str">
        <f>IFERROR(__xludf.DUMMYFUNCTION("""COMPUTED_VALUE"""),"+ 1,8 %")</f>
        <v>+ 1,8 %</v>
      </c>
    </row>
    <row r="187">
      <c r="A187" s="2">
        <f>IFERROR(__xludf.DUMMYFUNCTION("""COMPUTED_VALUE"""),40544.0)</f>
        <v>40544</v>
      </c>
      <c r="B187" s="1" t="str">
        <f>IFERROR(__xludf.DUMMYFUNCTION("""COMPUTED_VALUE"""),"2.688 €/m2")</f>
        <v>2.688 €/m2</v>
      </c>
      <c r="C187" s="1" t="str">
        <f>IFERROR(__xludf.DUMMYFUNCTION("""COMPUTED_VALUE"""),"+ 3,4 %")</f>
        <v>+ 3,4 %</v>
      </c>
      <c r="D187" s="1" t="str">
        <f>IFERROR(__xludf.DUMMYFUNCTION("""COMPUTED_VALUE"""),"+ 4,2 %")</f>
        <v>+ 4,2 %</v>
      </c>
      <c r="E187" s="1" t="str">
        <f>IFERROR(__xludf.DUMMYFUNCTION("""COMPUTED_VALUE"""),"+ 2,5 %")</f>
        <v>+ 2,5 %</v>
      </c>
    </row>
    <row r="188">
      <c r="A188" s="2">
        <f>IFERROR(__xludf.DUMMYFUNCTION("""COMPUTED_VALUE"""),40513.0)</f>
        <v>40513</v>
      </c>
      <c r="B188" s="1" t="str">
        <f>IFERROR(__xludf.DUMMYFUNCTION("""COMPUTED_VALUE"""),"2.600 €/m2")</f>
        <v>2.600 €/m2</v>
      </c>
      <c r="C188" s="1" t="str">
        <f>IFERROR(__xludf.DUMMYFUNCTION("""COMPUTED_VALUE"""),"n.d.")</f>
        <v>n.d.</v>
      </c>
      <c r="D188" s="1" t="str">
        <f>IFERROR(__xludf.DUMMYFUNCTION("""COMPUTED_VALUE"""),"n.d.")</f>
        <v>n.d.</v>
      </c>
      <c r="E188" s="1" t="str">
        <f>IFERROR(__xludf.DUMMYFUNCTION("""COMPUTED_VALUE"""),"n.d.")</f>
        <v>n.d.</v>
      </c>
    </row>
    <row r="189">
      <c r="A189" s="2">
        <f>IFERROR(__xludf.DUMMYFUNCTION("""COMPUTED_VALUE"""),40483.0)</f>
        <v>40483</v>
      </c>
      <c r="B189" s="1" t="str">
        <f>IFERROR(__xludf.DUMMYFUNCTION("""COMPUTED_VALUE"""),"2.600 €/m2")</f>
        <v>2.600 €/m2</v>
      </c>
      <c r="C189" s="1" t="str">
        <f>IFERROR(__xludf.DUMMYFUNCTION("""COMPUTED_VALUE"""),"+ 0,8 %")</f>
        <v>+ 0,8 %</v>
      </c>
      <c r="D189" s="1" t="str">
        <f>IFERROR(__xludf.DUMMYFUNCTION("""COMPUTED_VALUE"""),"+ 2,1 %")</f>
        <v>+ 2,1 %</v>
      </c>
      <c r="E189" s="1" t="str">
        <f>IFERROR(__xludf.DUMMYFUNCTION("""COMPUTED_VALUE"""),"+ 0,4 %")</f>
        <v>+ 0,4 %</v>
      </c>
    </row>
    <row r="190">
      <c r="A190" s="2">
        <f>IFERROR(__xludf.DUMMYFUNCTION("""COMPUTED_VALUE"""),40452.0)</f>
        <v>40452</v>
      </c>
      <c r="B190" s="1" t="str">
        <f>IFERROR(__xludf.DUMMYFUNCTION("""COMPUTED_VALUE"""),"2.579 €/m2")</f>
        <v>2.579 €/m2</v>
      </c>
      <c r="C190" s="1" t="str">
        <f>IFERROR(__xludf.DUMMYFUNCTION("""COMPUTED_VALUE"""),"- 0,8 %")</f>
        <v>- 0,8 %</v>
      </c>
      <c r="D190" s="1" t="str">
        <f>IFERROR(__xludf.DUMMYFUNCTION("""COMPUTED_VALUE"""),"- 0,2 %")</f>
        <v>- 0,2 %</v>
      </c>
      <c r="E190" s="1" t="str">
        <f>IFERROR(__xludf.DUMMYFUNCTION("""COMPUTED_VALUE"""),"+ 3,1 %")</f>
        <v>+ 3,1 %</v>
      </c>
    </row>
    <row r="191">
      <c r="A191" s="2">
        <f>IFERROR(__xludf.DUMMYFUNCTION("""COMPUTED_VALUE"""),40422.0)</f>
        <v>40422</v>
      </c>
      <c r="B191" s="1" t="str">
        <f>IFERROR(__xludf.DUMMYFUNCTION("""COMPUTED_VALUE"""),"2.600 €/m2")</f>
        <v>2.600 €/m2</v>
      </c>
      <c r="C191" s="1" t="str">
        <f>IFERROR(__xludf.DUMMYFUNCTION("""COMPUTED_VALUE"""),"+ 2,1 %")</f>
        <v>+ 2,1 %</v>
      </c>
      <c r="D191" s="1" t="str">
        <f>IFERROR(__xludf.DUMMYFUNCTION("""COMPUTED_VALUE"""),"- 1,4 %")</f>
        <v>- 1,4 %</v>
      </c>
      <c r="E191" s="1" t="str">
        <f>IFERROR(__xludf.DUMMYFUNCTION("""COMPUTED_VALUE"""),"- 7,5 %")</f>
        <v>- 7,5 %</v>
      </c>
    </row>
    <row r="192">
      <c r="A192" s="2">
        <f>IFERROR(__xludf.DUMMYFUNCTION("""COMPUTED_VALUE"""),40391.0)</f>
        <v>40391</v>
      </c>
      <c r="B192" s="1" t="str">
        <f>IFERROR(__xludf.DUMMYFUNCTION("""COMPUTED_VALUE"""),"2.545 €/m2")</f>
        <v>2.545 €/m2</v>
      </c>
      <c r="C192" s="1" t="str">
        <f>IFERROR(__xludf.DUMMYFUNCTION("""COMPUTED_VALUE"""),"- 1,5 %")</f>
        <v>- 1,5 %</v>
      </c>
      <c r="D192" s="1" t="str">
        <f>IFERROR(__xludf.DUMMYFUNCTION("""COMPUTED_VALUE"""),"- 7,0 %")</f>
        <v>- 7,0 %</v>
      </c>
      <c r="E192" s="1" t="str">
        <f>IFERROR(__xludf.DUMMYFUNCTION("""COMPUTED_VALUE"""),"n.d.")</f>
        <v>n.d.</v>
      </c>
    </row>
    <row r="193">
      <c r="A193" s="2">
        <f>IFERROR(__xludf.DUMMYFUNCTION("""COMPUTED_VALUE"""),40360.0)</f>
        <v>40360</v>
      </c>
      <c r="B193" s="1" t="str">
        <f>IFERROR(__xludf.DUMMYFUNCTION("""COMPUTED_VALUE"""),"2.583 €/m2")</f>
        <v>2.583 €/m2</v>
      </c>
      <c r="C193" s="1" t="str">
        <f>IFERROR(__xludf.DUMMYFUNCTION("""COMPUTED_VALUE"""),"- 2,0 %")</f>
        <v>- 2,0 %</v>
      </c>
      <c r="D193" s="1" t="str">
        <f>IFERROR(__xludf.DUMMYFUNCTION("""COMPUTED_VALUE"""),"- 4,0 %")</f>
        <v>- 4,0 %</v>
      </c>
      <c r="E193" s="1" t="str">
        <f>IFERROR(__xludf.DUMMYFUNCTION("""COMPUTED_VALUE"""),"n.d.")</f>
        <v>n.d.</v>
      </c>
    </row>
    <row r="194">
      <c r="A194" s="2">
        <f>IFERROR(__xludf.DUMMYFUNCTION("""COMPUTED_VALUE"""),40330.0)</f>
        <v>40330</v>
      </c>
      <c r="B194" s="1" t="str">
        <f>IFERROR(__xludf.DUMMYFUNCTION("""COMPUTED_VALUE"""),"2.636 €/m2")</f>
        <v>2.636 €/m2</v>
      </c>
      <c r="C194" s="1" t="str">
        <f>IFERROR(__xludf.DUMMYFUNCTION("""COMPUTED_VALUE"""),"- 3,7 %")</f>
        <v>- 3,7 %</v>
      </c>
      <c r="D194" s="1" t="str">
        <f>IFERROR(__xludf.DUMMYFUNCTION("""COMPUTED_VALUE"""),"- 1,9 %")</f>
        <v>- 1,9 %</v>
      </c>
      <c r="E194" s="1" t="str">
        <f>IFERROR(__xludf.DUMMYFUNCTION("""COMPUTED_VALUE"""),"n.d.")</f>
        <v>n.d.</v>
      </c>
    </row>
    <row r="195">
      <c r="A195" s="2">
        <f>IFERROR(__xludf.DUMMYFUNCTION("""COMPUTED_VALUE"""),40299.0)</f>
        <v>40299</v>
      </c>
      <c r="B195" s="1" t="str">
        <f>IFERROR(__xludf.DUMMYFUNCTION("""COMPUTED_VALUE"""),"2.737 €/m2")</f>
        <v>2.737 €/m2</v>
      </c>
      <c r="C195" s="1" t="str">
        <f>IFERROR(__xludf.DUMMYFUNCTION("""COMPUTED_VALUE"""),"+ 1,7 %")</f>
        <v>+ 1,7 %</v>
      </c>
      <c r="D195" s="1" t="str">
        <f>IFERROR(__xludf.DUMMYFUNCTION("""COMPUTED_VALUE"""),"+ 4,4 %")</f>
        <v>+ 4,4 %</v>
      </c>
      <c r="E195" s="1" t="str">
        <f>IFERROR(__xludf.DUMMYFUNCTION("""COMPUTED_VALUE"""),"n.d.")</f>
        <v>n.d.</v>
      </c>
    </row>
    <row r="196">
      <c r="A196" s="2">
        <f>IFERROR(__xludf.DUMMYFUNCTION("""COMPUTED_VALUE"""),40269.0)</f>
        <v>40269</v>
      </c>
      <c r="B196" s="1" t="str">
        <f>IFERROR(__xludf.DUMMYFUNCTION("""COMPUTED_VALUE"""),"2.692 €/m2")</f>
        <v>2.692 €/m2</v>
      </c>
      <c r="C196" s="1" t="str">
        <f>IFERROR(__xludf.DUMMYFUNCTION("""COMPUTED_VALUE"""),"+ 0,2 %")</f>
        <v>+ 0,2 %</v>
      </c>
      <c r="D196" s="1" t="str">
        <f>IFERROR(__xludf.DUMMYFUNCTION("""COMPUTED_VALUE"""),"+ 2,7 %")</f>
        <v>+ 2,7 %</v>
      </c>
      <c r="E196" s="1" t="str">
        <f>IFERROR(__xludf.DUMMYFUNCTION("""COMPUTED_VALUE"""),"n.d.")</f>
        <v>n.d.</v>
      </c>
    </row>
    <row r="197">
      <c r="A197" s="2">
        <f>IFERROR(__xludf.DUMMYFUNCTION("""COMPUTED_VALUE"""),40238.0)</f>
        <v>40238</v>
      </c>
      <c r="B197" s="1" t="str">
        <f>IFERROR(__xludf.DUMMYFUNCTION("""COMPUTED_VALUE"""),"2.687 €/m2")</f>
        <v>2.687 €/m2</v>
      </c>
      <c r="C197" s="1" t="str">
        <f>IFERROR(__xludf.DUMMYFUNCTION("""COMPUTED_VALUE"""),"+ 2,5 %")</f>
        <v>+ 2,5 %</v>
      </c>
      <c r="D197" s="1" t="str">
        <f>IFERROR(__xludf.DUMMYFUNCTION("""COMPUTED_VALUE"""),"+ 3,3 %")</f>
        <v>+ 3,3 %</v>
      </c>
      <c r="E197" s="1" t="str">
        <f>IFERROR(__xludf.DUMMYFUNCTION("""COMPUTED_VALUE"""),"n.d.")</f>
        <v>n.d.</v>
      </c>
    </row>
    <row r="198">
      <c r="A198" s="2">
        <f>IFERROR(__xludf.DUMMYFUNCTION("""COMPUTED_VALUE"""),40210.0)</f>
        <v>40210</v>
      </c>
      <c r="B198" s="1" t="str">
        <f>IFERROR(__xludf.DUMMYFUNCTION("""COMPUTED_VALUE"""),"2.621 €/m2")</f>
        <v>2.621 €/m2</v>
      </c>
      <c r="C198" s="1" t="str">
        <f>IFERROR(__xludf.DUMMYFUNCTION("""COMPUTED_VALUE"""),"n.d.")</f>
        <v>n.d.</v>
      </c>
      <c r="D198" s="1" t="str">
        <f>IFERROR(__xludf.DUMMYFUNCTION("""COMPUTED_VALUE"""),"+ 1,2 %")</f>
        <v>+ 1,2 %</v>
      </c>
      <c r="E198" s="1" t="str">
        <f>IFERROR(__xludf.DUMMYFUNCTION("""COMPUTED_VALUE"""),"n.d.")</f>
        <v>n.d.</v>
      </c>
    </row>
    <row r="199">
      <c r="A199" s="2">
        <f>IFERROR(__xludf.DUMMYFUNCTION("""COMPUTED_VALUE"""),40179.0)</f>
        <v>40179</v>
      </c>
      <c r="B199" s="1" t="str">
        <f>IFERROR(__xludf.DUMMYFUNCTION("""COMPUTED_VALUE"""),"2.621 €/m2")</f>
        <v>2.621 €/m2</v>
      </c>
      <c r="C199" s="1" t="str">
        <f>IFERROR(__xludf.DUMMYFUNCTION("""COMPUTED_VALUE"""),"+ 0,8 %")</f>
        <v>+ 0,8 %</v>
      </c>
      <c r="D199" s="1" t="str">
        <f>IFERROR(__xludf.DUMMYFUNCTION("""COMPUTED_VALUE"""),"+ 4,8 %")</f>
        <v>+ 4,8 %</v>
      </c>
      <c r="E199" s="1" t="str">
        <f>IFERROR(__xludf.DUMMYFUNCTION("""COMPUTED_VALUE"""),"n.d.")</f>
        <v>n.d.</v>
      </c>
    </row>
    <row r="200">
      <c r="A200" s="2">
        <f>IFERROR(__xludf.DUMMYFUNCTION("""COMPUTED_VALUE"""),40148.0)</f>
        <v>40148</v>
      </c>
      <c r="B200" s="1" t="str">
        <f>IFERROR(__xludf.DUMMYFUNCTION("""COMPUTED_VALUE"""),"2.600 €/m2")</f>
        <v>2.600 €/m2</v>
      </c>
      <c r="C200" s="1" t="str">
        <f>IFERROR(__xludf.DUMMYFUNCTION("""COMPUTED_VALUE"""),"+ 0,4 %")</f>
        <v>+ 0,4 %</v>
      </c>
      <c r="D200" s="1" t="str">
        <f>IFERROR(__xludf.DUMMYFUNCTION("""COMPUTED_VALUE"""),"- 7,5 %")</f>
        <v>- 7,5 %</v>
      </c>
      <c r="E200" s="1" t="str">
        <f>IFERROR(__xludf.DUMMYFUNCTION("""COMPUTED_VALUE"""),"n.d.")</f>
        <v>n.d.</v>
      </c>
    </row>
    <row r="201">
      <c r="A201" s="2">
        <f>IFERROR(__xludf.DUMMYFUNCTION("""COMPUTED_VALUE"""),40118.0)</f>
        <v>40118</v>
      </c>
      <c r="B201" s="1" t="str">
        <f>IFERROR(__xludf.DUMMYFUNCTION("""COMPUTED_VALUE"""),"2.589 €/m2")</f>
        <v>2.589 €/m2</v>
      </c>
      <c r="C201" s="1" t="str">
        <f>IFERROR(__xludf.DUMMYFUNCTION("""COMPUTED_VALUE"""),"+ 3,6 %")</f>
        <v>+ 3,6 %</v>
      </c>
      <c r="D201" s="1" t="str">
        <f>IFERROR(__xludf.DUMMYFUNCTION("""COMPUTED_VALUE"""),"n.d.")</f>
        <v>n.d.</v>
      </c>
      <c r="E201" s="1" t="str">
        <f>IFERROR(__xludf.DUMMYFUNCTION("""COMPUTED_VALUE"""),"n.d.")</f>
        <v>n.d.</v>
      </c>
    </row>
    <row r="202">
      <c r="A202" s="2">
        <f>IFERROR(__xludf.DUMMYFUNCTION("""COMPUTED_VALUE"""),40087.0)</f>
        <v>40087</v>
      </c>
      <c r="B202" s="1" t="str">
        <f>IFERROR(__xludf.DUMMYFUNCTION("""COMPUTED_VALUE"""),"2.500 €/m2")</f>
        <v>2.500 €/m2</v>
      </c>
      <c r="C202" s="1" t="str">
        <f>IFERROR(__xludf.DUMMYFUNCTION("""COMPUTED_VALUE"""),"- 11,0 %")</f>
        <v>- 11,0 %</v>
      </c>
      <c r="D202" s="1" t="str">
        <f>IFERROR(__xludf.DUMMYFUNCTION("""COMPUTED_VALUE"""),"n.d.")</f>
        <v>n.d.</v>
      </c>
      <c r="E202" s="1" t="str">
        <f>IFERROR(__xludf.DUMMYFUNCTION("""COMPUTED_VALUE"""),"n.d.")</f>
        <v>n.d.</v>
      </c>
    </row>
    <row r="203">
      <c r="A203" s="2">
        <f>IFERROR(__xludf.DUMMYFUNCTION("""COMPUTED_VALUE"""),40057.0)</f>
        <v>40057</v>
      </c>
      <c r="B203" s="1" t="str">
        <f>IFERROR(__xludf.DUMMYFUNCTION("""COMPUTED_VALUE"""),"2.810 €/m2")</f>
        <v>2.810 €/m2</v>
      </c>
      <c r="C203" s="1" t="str">
        <f>IFERROR(__xludf.DUMMYFUNCTION("""COMPUTED_VALUE"""),"n.d.")</f>
        <v>n.d.</v>
      </c>
      <c r="D203" s="1" t="str">
        <f>IFERROR(__xludf.DUMMYFUNCTION("""COMPUTED_VALUE"""),"n.d.")</f>
        <v>n.d.</v>
      </c>
      <c r="E203" s="1" t="str">
        <f>IFERROR(__xludf.DUMMYFUNCTION("""COMPUTED_VALUE"""),"n.d.")</f>
        <v>n.d.</v>
      </c>
    </row>
    <row r="204">
      <c r="A204" s="2">
        <f>IFERROR(__xludf.DUMMYFUNCTION("""COMPUTED_VALUE"""),40026.0)</f>
        <v>40026</v>
      </c>
      <c r="B204" s="1" t="str">
        <f>IFERROR(__xludf.DUMMYFUNCTION("""COMPUTED_VALUE"""),"n.d.")</f>
        <v>n.d.</v>
      </c>
      <c r="C204" s="1" t="str">
        <f>IFERROR(__xludf.DUMMYFUNCTION("""COMPUTED_VALUE"""),"n.d.")</f>
        <v>n.d.</v>
      </c>
      <c r="D204" s="1" t="str">
        <f>IFERROR(__xludf.DUMMYFUNCTION("""COMPUTED_VALUE"""),"n.d.")</f>
        <v>n.d.</v>
      </c>
      <c r="E204" s="1" t="str">
        <f>IFERROR(__xludf.DUMMYFUNCTION("""COMPUTED_VALUE"""),"n.d.")</f>
        <v>n.d.</v>
      </c>
    </row>
    <row r="205">
      <c r="A205" s="2">
        <f>IFERROR(__xludf.DUMMYFUNCTION("""COMPUTED_VALUE"""),39995.0)</f>
        <v>39995</v>
      </c>
      <c r="B205" s="1" t="str">
        <f>IFERROR(__xludf.DUMMYFUNCTION("""COMPUTED_VALUE"""),"n.d.")</f>
        <v>n.d.</v>
      </c>
      <c r="C205" s="1" t="str">
        <f>IFERROR(__xludf.DUMMYFUNCTION("""COMPUTED_VALUE"""),"n.d.")</f>
        <v>n.d.</v>
      </c>
      <c r="D205" s="1" t="str">
        <f>IFERROR(__xludf.DUMMYFUNCTION("""COMPUTED_VALUE"""),"n.d.")</f>
        <v>n.d.</v>
      </c>
      <c r="E205" s="1" t="str">
        <f>IFERROR(__xludf.DUMMYFUNCTION("""COMPUTED_VALUE"""),"n.d.")</f>
        <v>n.d.</v>
      </c>
    </row>
    <row r="206">
      <c r="A206" s="2">
        <f>IFERROR(__xludf.DUMMYFUNCTION("""COMPUTED_VALUE"""),39965.0)</f>
        <v>39965</v>
      </c>
      <c r="B206" s="1" t="str">
        <f>IFERROR(__xludf.DUMMYFUNCTION("""COMPUTED_VALUE"""),"n.d.")</f>
        <v>n.d.</v>
      </c>
      <c r="C206" s="1" t="str">
        <f>IFERROR(__xludf.DUMMYFUNCTION("""COMPUTED_VALUE"""),"n.d.")</f>
        <v>n.d.</v>
      </c>
      <c r="D206" s="1" t="str">
        <f>IFERROR(__xludf.DUMMYFUNCTION("""COMPUTED_VALUE"""),"n.d.")</f>
        <v>n.d.</v>
      </c>
      <c r="E206" s="1" t="str">
        <f>IFERROR(__xludf.DUMMYFUNCTION("""COMPUTED_VALUE"""),"n.d.")</f>
        <v>n.d.</v>
      </c>
    </row>
    <row r="207">
      <c r="A207" s="2">
        <f>IFERROR(__xludf.DUMMYFUNCTION("""COMPUTED_VALUE"""),39934.0)</f>
        <v>39934</v>
      </c>
      <c r="B207" s="1" t="str">
        <f>IFERROR(__xludf.DUMMYFUNCTION("""COMPUTED_VALUE"""),"n.d.")</f>
        <v>n.d.</v>
      </c>
      <c r="C207" s="1" t="str">
        <f>IFERROR(__xludf.DUMMYFUNCTION("""COMPUTED_VALUE"""),"n.d.")</f>
        <v>n.d.</v>
      </c>
      <c r="D207" s="1" t="str">
        <f>IFERROR(__xludf.DUMMYFUNCTION("""COMPUTED_VALUE"""),"n.d.")</f>
        <v>n.d.</v>
      </c>
      <c r="E207" s="1" t="str">
        <f>IFERROR(__xludf.DUMMYFUNCTION("""COMPUTED_VALUE"""),"n.d.")</f>
        <v>n.d.</v>
      </c>
    </row>
    <row r="208">
      <c r="A208" s="2">
        <f>IFERROR(__xludf.DUMMYFUNCTION("""COMPUTED_VALUE"""),39904.0)</f>
        <v>39904</v>
      </c>
      <c r="B208" s="1" t="str">
        <f>IFERROR(__xludf.DUMMYFUNCTION("""COMPUTED_VALUE"""),"n.d.")</f>
        <v>n.d.</v>
      </c>
      <c r="C208" s="1" t="str">
        <f>IFERROR(__xludf.DUMMYFUNCTION("""COMPUTED_VALUE"""),"n.d.")</f>
        <v>n.d.</v>
      </c>
      <c r="D208" s="1" t="str">
        <f>IFERROR(__xludf.DUMMYFUNCTION("""COMPUTED_VALUE"""),"n.d.")</f>
        <v>n.d.</v>
      </c>
      <c r="E208" s="1" t="str">
        <f>IFERROR(__xludf.DUMMYFUNCTION("""COMPUTED_VALUE"""),"n.d.")</f>
        <v>n.d.</v>
      </c>
    </row>
    <row r="209">
      <c r="A209" s="2">
        <f>IFERROR(__xludf.DUMMYFUNCTION("""COMPUTED_VALUE"""),39873.0)</f>
        <v>39873</v>
      </c>
      <c r="B209" s="1" t="str">
        <f>IFERROR(__xludf.DUMMYFUNCTION("""COMPUTED_VALUE"""),"n.d.")</f>
        <v>n.d.</v>
      </c>
      <c r="C209" s="1" t="str">
        <f>IFERROR(__xludf.DUMMYFUNCTION("""COMPUTED_VALUE"""),"n.d.")</f>
        <v>n.d.</v>
      </c>
      <c r="D209" s="1" t="str">
        <f>IFERROR(__xludf.DUMMYFUNCTION("""COMPUTED_VALUE"""),"n.d.")</f>
        <v>n.d.</v>
      </c>
      <c r="E209" s="1" t="str">
        <f>IFERROR(__xludf.DUMMYFUNCTION("""COMPUTED_VALUE"""),"n.d.")</f>
        <v>n.d.</v>
      </c>
    </row>
    <row r="210">
      <c r="A210" s="2">
        <f>IFERROR(__xludf.DUMMYFUNCTION("""COMPUTED_VALUE"""),39845.0)</f>
        <v>39845</v>
      </c>
      <c r="B210" s="1" t="str">
        <f>IFERROR(__xludf.DUMMYFUNCTION("""COMPUTED_VALUE"""),"n.d.")</f>
        <v>n.d.</v>
      </c>
      <c r="C210" s="1" t="str">
        <f>IFERROR(__xludf.DUMMYFUNCTION("""COMPUTED_VALUE"""),"n.d.")</f>
        <v>n.d.</v>
      </c>
      <c r="D210" s="1" t="str">
        <f>IFERROR(__xludf.DUMMYFUNCTION("""COMPUTED_VALUE"""),"n.d.")</f>
        <v>n.d.</v>
      </c>
      <c r="E210" s="1" t="str">
        <f>IFERROR(__xludf.DUMMYFUNCTION("""COMPUTED_VALUE"""),"n.d.")</f>
        <v>n.d.</v>
      </c>
    </row>
    <row r="211">
      <c r="A211" s="2">
        <f>IFERROR(__xludf.DUMMYFUNCTION("""COMPUTED_VALUE"""),39814.0)</f>
        <v>39814</v>
      </c>
      <c r="B211" s="1" t="str">
        <f>IFERROR(__xludf.DUMMYFUNCTION("""COMPUTED_VALUE"""),"n.d.")</f>
        <v>n.d.</v>
      </c>
      <c r="C211" s="1" t="str">
        <f>IFERROR(__xludf.DUMMYFUNCTION("""COMPUTED_VALUE"""),"n.d.")</f>
        <v>n.d.</v>
      </c>
      <c r="D211" s="1" t="str">
        <f>IFERROR(__xludf.DUMMYFUNCTION("""COMPUTED_VALUE"""),"n.d.")</f>
        <v>n.d.</v>
      </c>
      <c r="E211" s="1" t="str">
        <f>IFERROR(__xludf.DUMMYFUNCTION("""COMPUTED_VALUE"""),"n.d.")</f>
        <v>n.d.</v>
      </c>
    </row>
    <row r="212">
      <c r="A212" s="2">
        <f>IFERROR(__xludf.DUMMYFUNCTION("""COMPUTED_VALUE"""),39783.0)</f>
        <v>39783</v>
      </c>
      <c r="B212" s="1" t="str">
        <f>IFERROR(__xludf.DUMMYFUNCTION("""COMPUTED_VALUE"""),"n.d.")</f>
        <v>n.d.</v>
      </c>
      <c r="C212" s="1" t="str">
        <f>IFERROR(__xludf.DUMMYFUNCTION("""COMPUTED_VALUE"""),"n.d.")</f>
        <v>n.d.</v>
      </c>
      <c r="D212" s="1" t="str">
        <f>IFERROR(__xludf.DUMMYFUNCTION("""COMPUTED_VALUE"""),"n.d.")</f>
        <v>n.d.</v>
      </c>
      <c r="E212" s="1" t="str">
        <f>IFERROR(__xludf.DUMMYFUNCTION("""COMPUTED_VALUE"""),"n.d.")</f>
        <v>n.d.</v>
      </c>
    </row>
    <row r="213">
      <c r="A213" s="2">
        <f>IFERROR(__xludf.DUMMYFUNCTION("""COMPUTED_VALUE"""),39753.0)</f>
        <v>39753</v>
      </c>
      <c r="B213" s="1" t="str">
        <f>IFERROR(__xludf.DUMMYFUNCTION("""COMPUTED_VALUE"""),"n.d.")</f>
        <v>n.d.</v>
      </c>
      <c r="C213" s="1" t="str">
        <f>IFERROR(__xludf.DUMMYFUNCTION("""COMPUTED_VALUE"""),"n.d.")</f>
        <v>n.d.</v>
      </c>
      <c r="D213" s="1" t="str">
        <f>IFERROR(__xludf.DUMMYFUNCTION("""COMPUTED_VALUE"""),"n.d.")</f>
        <v>n.d.</v>
      </c>
      <c r="E213" s="1" t="str">
        <f>IFERROR(__xludf.DUMMYFUNCTION("""COMPUTED_VALUE"""),"n.d.")</f>
        <v>n.d.</v>
      </c>
    </row>
    <row r="214">
      <c r="A214" s="2">
        <f>IFERROR(__xludf.DUMMYFUNCTION("""COMPUTED_VALUE"""),39722.0)</f>
        <v>39722</v>
      </c>
      <c r="B214" s="1" t="str">
        <f>IFERROR(__xludf.DUMMYFUNCTION("""COMPUTED_VALUE"""),"n.d.")</f>
        <v>n.d.</v>
      </c>
      <c r="C214" s="1" t="str">
        <f>IFERROR(__xludf.DUMMYFUNCTION("""COMPUTED_VALUE"""),"n.d.")</f>
        <v>n.d.</v>
      </c>
      <c r="D214" s="1" t="str">
        <f>IFERROR(__xludf.DUMMYFUNCTION("""COMPUTED_VALUE"""),"n.d.")</f>
        <v>n.d.</v>
      </c>
      <c r="E214" s="1" t="str">
        <f>IFERROR(__xludf.DUMMYFUNCTION("""COMPUTED_VALUE"""),"n.d.")</f>
        <v>n.d.</v>
      </c>
    </row>
    <row r="215">
      <c r="A215" s="2">
        <f>IFERROR(__xludf.DUMMYFUNCTION("""COMPUTED_VALUE"""),39692.0)</f>
        <v>39692</v>
      </c>
      <c r="B215" s="1" t="str">
        <f>IFERROR(__xludf.DUMMYFUNCTION("""COMPUTED_VALUE"""),"n.d.")</f>
        <v>n.d.</v>
      </c>
      <c r="C215" s="1" t="str">
        <f>IFERROR(__xludf.DUMMYFUNCTION("""COMPUTED_VALUE"""),"n.d.")</f>
        <v>n.d.</v>
      </c>
      <c r="D215" s="1" t="str">
        <f>IFERROR(__xludf.DUMMYFUNCTION("""COMPUTED_VALUE"""),"n.d.")</f>
        <v>n.d.</v>
      </c>
      <c r="E215" s="1" t="str">
        <f>IFERROR(__xludf.DUMMYFUNCTION("""COMPUTED_VALUE"""),"n.d.")</f>
        <v>n.d.</v>
      </c>
    </row>
    <row r="216">
      <c r="A216" s="2">
        <f>IFERROR(__xludf.DUMMYFUNCTION("""COMPUTED_VALUE"""),39661.0)</f>
        <v>39661</v>
      </c>
      <c r="B216" s="1" t="str">
        <f>IFERROR(__xludf.DUMMYFUNCTION("""COMPUTED_VALUE"""),"n.d.")</f>
        <v>n.d.</v>
      </c>
      <c r="C216" s="1" t="str">
        <f>IFERROR(__xludf.DUMMYFUNCTION("""COMPUTED_VALUE"""),"n.d.")</f>
        <v>n.d.</v>
      </c>
      <c r="D216" s="1" t="str">
        <f>IFERROR(__xludf.DUMMYFUNCTION("""COMPUTED_VALUE"""),"n.d.")</f>
        <v>n.d.</v>
      </c>
      <c r="E216" s="1" t="str">
        <f>IFERROR(__xludf.DUMMYFUNCTION("""COMPUTED_VALUE"""),"n.d.")</f>
        <v>n.d.</v>
      </c>
    </row>
    <row r="217">
      <c r="A217" s="2">
        <f>IFERROR(__xludf.DUMMYFUNCTION("""COMPUTED_VALUE"""),39630.0)</f>
        <v>39630</v>
      </c>
      <c r="B217" s="1" t="str">
        <f>IFERROR(__xludf.DUMMYFUNCTION("""COMPUTED_VALUE"""),"n.d.")</f>
        <v>n.d.</v>
      </c>
      <c r="C217" s="1" t="str">
        <f>IFERROR(__xludf.DUMMYFUNCTION("""COMPUTED_VALUE"""),"n.d.")</f>
        <v>n.d.</v>
      </c>
      <c r="D217" s="1" t="str">
        <f>IFERROR(__xludf.DUMMYFUNCTION("""COMPUTED_VALUE"""),"n.d.")</f>
        <v>n.d.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IFERROR(__xludf.DUMMYFUNCTION("""COMPUTED_VALUE"""),"n.d.")</f>
        <v>n.d.</v>
      </c>
      <c r="C218" s="1" t="str">
        <f>IFERROR(__xludf.DUMMYFUNCTION("""COMPUTED_VALUE"""),"n.d.")</f>
        <v>n.d.</v>
      </c>
      <c r="D218" s="1" t="str">
        <f>IFERROR(__xludf.DUMMYFUNCTION("""COMPUTED_VALUE"""),"n.d.")</f>
        <v>n.d.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IFERROR(__xludf.DUMMYFUNCTION("""COMPUTED_VALUE"""),"n.d.")</f>
        <v>n.d.</v>
      </c>
      <c r="C219" s="1" t="str">
        <f>IFERROR(__xludf.DUMMYFUNCTION("""COMPUTED_VALUE"""),"n.d.")</f>
        <v>n.d.</v>
      </c>
      <c r="D219" s="1" t="str">
        <f>IFERROR(__xludf.DUMMYFUNCTION("""COMPUTED_VALUE"""),"n.d.")</f>
        <v>n.d.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IFERROR(__xludf.DUMMYFUNCTION("""COMPUTED_VALUE"""),"n.d.")</f>
        <v>n.d.</v>
      </c>
      <c r="C220" s="1" t="str">
        <f>IFERROR(__xludf.DUMMYFUNCTION("""COMPUTED_VALUE"""),"n.d.")</f>
        <v>n.d.</v>
      </c>
      <c r="D220" s="1" t="str">
        <f>IFERROR(__xludf.DUMMYFUNCTION("""COMPUTED_VALUE"""),"n.d.")</f>
        <v>n.d.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IFERROR(__xludf.DUMMYFUNCTION("""COMPUTED_VALUE"""),"n.d.")</f>
        <v>n.d.</v>
      </c>
      <c r="C221" s="1" t="str">
        <f>IFERROR(__xludf.DUMMYFUNCTION("""COMPUTED_VALUE"""),"n.d.")</f>
        <v>n.d.</v>
      </c>
      <c r="D221" s="1" t="str">
        <f>IFERROR(__xludf.DUMMYFUNCTION("""COMPUTED_VALUE"""),"n.d.")</f>
        <v>n.d.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IFERROR(__xludf.DUMMYFUNCTION("""COMPUTED_VALUE"""),"n.d.")</f>
        <v>n.d.</v>
      </c>
      <c r="C222" s="1" t="str">
        <f>IFERROR(__xludf.DUMMYFUNCTION("""COMPUTED_VALUE"""),"n.d.")</f>
        <v>n.d.</v>
      </c>
      <c r="D222" s="1" t="str">
        <f>IFERROR(__xludf.DUMMYFUNCTION("""COMPUTED_VALUE"""),"n.d.")</f>
        <v>n.d.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IFERROR(__xludf.DUMMYFUNCTION("""COMPUTED_VALUE"""),"n.d.")</f>
        <v>n.d.</v>
      </c>
      <c r="C223" s="1" t="str">
        <f>IFERROR(__xludf.DUMMYFUNCTION("""COMPUTED_VALUE"""),"n.d.")</f>
        <v>n.d.</v>
      </c>
      <c r="D223" s="1" t="str">
        <f>IFERROR(__xludf.DUMMYFUNCTION("""COMPUTED_VALUE"""),"n.d.")</f>
        <v>n.d.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IFERROR(__xludf.DUMMYFUNCTION("""COMPUTED_VALUE"""),"n.d.")</f>
        <v>n.d.</v>
      </c>
      <c r="C224" s="1" t="str">
        <f>IFERROR(__xludf.DUMMYFUNCTION("""COMPUTED_VALUE"""),"n.d.")</f>
        <v>n.d.</v>
      </c>
      <c r="D224" s="1" t="str">
        <f>IFERROR(__xludf.DUMMYFUNCTION("""COMPUTED_VALUE"""),"n.d.")</f>
        <v>n.d.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IFERROR(__xludf.DUMMYFUNCTION("""COMPUTED_VALUE"""),"n.d.")</f>
        <v>n.d.</v>
      </c>
      <c r="C225" s="1" t="str">
        <f>IFERROR(__xludf.DUMMYFUNCTION("""COMPUTED_VALUE"""),"n.d.")</f>
        <v>n.d.</v>
      </c>
      <c r="D225" s="1" t="str">
        <f>IFERROR(__xludf.DUMMYFUNCTION("""COMPUTED_VALUE"""),"n.d.")</f>
        <v>n.d.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IFERROR(__xludf.DUMMYFUNCTION("""COMPUTED_VALUE"""),"n.d.")</f>
        <v>n.d.</v>
      </c>
      <c r="C226" s="1" t="str">
        <f>IFERROR(__xludf.DUMMYFUNCTION("""COMPUTED_VALUE"""),"n.d.")</f>
        <v>n.d.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IFERROR(__xludf.DUMMYFUNCTION("""COMPUTED_VALUE"""),"n.d.")</f>
        <v>n.d.</v>
      </c>
      <c r="C227" s="1" t="str">
        <f>IFERROR(__xludf.DUMMYFUNCTION("""COMPUTED_VALUE"""),"n.d.")</f>
        <v>n.d.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IFERROR(__xludf.DUMMYFUNCTION("""COMPUTED_VALUE"""),"n.d.")</f>
        <v>n.d.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IFERROR(__xludf.DUMMYFUNCTION("IMPORTHTML(""https://www.idealista.com/sala-de-prensa/informes-precio-vivienda/venta/madrid-comunidad/madrid-provincia/madrid/puente-de-vallecas/historico/"",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IFERROR(__xludf.DUMMYFUNCTION("""COMPUTED_VALUE"""),"3.391 €/m2")</f>
        <v>3.391 €/m2</v>
      </c>
      <c r="C2" s="1" t="str">
        <f>IFERROR(__xludf.DUMMYFUNCTION("""COMPUTED_VALUE"""),"- 0,2 %")</f>
        <v>- 0,2 %</v>
      </c>
      <c r="D2" s="1" t="str">
        <f>IFERROR(__xludf.DUMMYFUNCTION("""COMPUTED_VALUE"""),"+ 2,6 %")</f>
        <v>+ 2,6 %</v>
      </c>
      <c r="E2" s="1" t="str">
        <f>IFERROR(__xludf.DUMMYFUNCTION("""COMPUTED_VALUE"""),"+ 18,9 %")</f>
        <v>+ 18,9 %</v>
      </c>
    </row>
    <row r="3">
      <c r="A3" s="2">
        <f>IFERROR(__xludf.DUMMYFUNCTION("""COMPUTED_VALUE"""),46143.0)</f>
        <v>46143</v>
      </c>
      <c r="B3" s="1" t="str">
        <f>IFERROR(__xludf.DUMMYFUNCTION("""COMPUTED_VALUE"""),"3.399 €/m2")</f>
        <v>3.399 €/m2</v>
      </c>
      <c r="C3" s="1" t="str">
        <f>IFERROR(__xludf.DUMMYFUNCTION("""COMPUTED_VALUE"""),"+ 2,2 %")</f>
        <v>+ 2,2 %</v>
      </c>
      <c r="D3" s="1" t="str">
        <f>IFERROR(__xludf.DUMMYFUNCTION("""COMPUTED_VALUE"""),"+ 2,9 %")</f>
        <v>+ 2,9 %</v>
      </c>
      <c r="E3" s="1" t="str">
        <f>IFERROR(__xludf.DUMMYFUNCTION("""COMPUTED_VALUE"""),"+ 20,7 %")</f>
        <v>+ 20,7 %</v>
      </c>
    </row>
    <row r="4">
      <c r="A4" s="2">
        <f>IFERROR(__xludf.DUMMYFUNCTION("""COMPUTED_VALUE"""),46113.0)</f>
        <v>46113</v>
      </c>
      <c r="B4" s="1" t="str">
        <f>IFERROR(__xludf.DUMMYFUNCTION("""COMPUTED_VALUE"""),"3.325 €/m2")</f>
        <v>3.325 €/m2</v>
      </c>
      <c r="C4" s="1" t="str">
        <f>IFERROR(__xludf.DUMMYFUNCTION("""COMPUTED_VALUE"""),"+ 0,6 %")</f>
        <v>+ 0,6 %</v>
      </c>
      <c r="D4" s="1" t="str">
        <f>IFERROR(__xludf.DUMMYFUNCTION("""COMPUTED_VALUE"""),"+ 1,2 %")</f>
        <v>+ 1,2 %</v>
      </c>
      <c r="E4" s="1" t="str">
        <f>IFERROR(__xludf.DUMMYFUNCTION("""COMPUTED_VALUE"""),"+ 22,3 %")</f>
        <v>+ 22,3 %</v>
      </c>
    </row>
    <row r="5">
      <c r="A5" s="2">
        <f>IFERROR(__xludf.DUMMYFUNCTION("""COMPUTED_VALUE"""),46082.0)</f>
        <v>46082</v>
      </c>
      <c r="B5" s="1" t="str">
        <f>IFERROR(__xludf.DUMMYFUNCTION("""COMPUTED_VALUE"""),"3.304 €/m2")</f>
        <v>3.304 €/m2</v>
      </c>
      <c r="C5" s="1" t="str">
        <f>IFERROR(__xludf.DUMMYFUNCTION("""COMPUTED_VALUE"""),"+ 0,1 %")</f>
        <v>+ 0,1 %</v>
      </c>
      <c r="D5" s="1" t="str">
        <f>IFERROR(__xludf.DUMMYFUNCTION("""COMPUTED_VALUE"""),"+ 2,9 %")</f>
        <v>+ 2,9 %</v>
      </c>
      <c r="E5" s="1" t="str">
        <f>IFERROR(__xludf.DUMMYFUNCTION("""COMPUTED_VALUE"""),"+ 24,8 %")</f>
        <v>+ 24,8 %</v>
      </c>
    </row>
    <row r="6">
      <c r="A6" s="2">
        <f>IFERROR(__xludf.DUMMYFUNCTION("""COMPUTED_VALUE"""),46054.0)</f>
        <v>46054</v>
      </c>
      <c r="B6" s="1" t="str">
        <f>IFERROR(__xludf.DUMMYFUNCTION("""COMPUTED_VALUE"""),"3.302 €/m2")</f>
        <v>3.302 €/m2</v>
      </c>
      <c r="C6" s="1" t="str">
        <f>IFERROR(__xludf.DUMMYFUNCTION("""COMPUTED_VALUE"""),"+ 0,5 %")</f>
        <v>+ 0,5 %</v>
      </c>
      <c r="D6" s="1" t="str">
        <f>IFERROR(__xludf.DUMMYFUNCTION("""COMPUTED_VALUE"""),"+ 6,4 %")</f>
        <v>+ 6,4 %</v>
      </c>
      <c r="E6" s="1" t="str">
        <f>IFERROR(__xludf.DUMMYFUNCTION("""COMPUTED_VALUE"""),"+ 26,6 %")</f>
        <v>+ 26,6 %</v>
      </c>
    </row>
    <row r="7">
      <c r="A7" s="2">
        <f>IFERROR(__xludf.DUMMYFUNCTION("""COMPUTED_VALUE"""),46023.0)</f>
        <v>46023</v>
      </c>
      <c r="B7" s="1" t="str">
        <f>IFERROR(__xludf.DUMMYFUNCTION("""COMPUTED_VALUE"""),"3.287 €/m2")</f>
        <v>3.287 €/m2</v>
      </c>
      <c r="C7" s="1" t="str">
        <f>IFERROR(__xludf.DUMMYFUNCTION("""COMPUTED_VALUE"""),"+ 2,4 %")</f>
        <v>+ 2,4 %</v>
      </c>
      <c r="D7" s="1" t="str">
        <f>IFERROR(__xludf.DUMMYFUNCTION("""COMPUTED_VALUE"""),"+ 8,2 %")</f>
        <v>+ 8,2 %</v>
      </c>
      <c r="E7" s="1" t="str">
        <f>IFERROR(__xludf.DUMMYFUNCTION("""COMPUTED_VALUE"""),"+ 26,9 %")</f>
        <v>+ 26,9 %</v>
      </c>
    </row>
    <row r="8">
      <c r="A8" s="2">
        <f>IFERROR(__xludf.DUMMYFUNCTION("""COMPUTED_VALUE"""),45992.0)</f>
        <v>45992</v>
      </c>
      <c r="B8" s="1" t="str">
        <f>IFERROR(__xludf.DUMMYFUNCTION("""COMPUTED_VALUE"""),"3.211 €/m2")</f>
        <v>3.211 €/m2</v>
      </c>
      <c r="C8" s="1" t="str">
        <f>IFERROR(__xludf.DUMMYFUNCTION("""COMPUTED_VALUE"""),"+ 3,5 %")</f>
        <v>+ 3,5 %</v>
      </c>
      <c r="D8" s="1" t="str">
        <f>IFERROR(__xludf.DUMMYFUNCTION("""COMPUTED_VALUE"""),"+ 8,1 %")</f>
        <v>+ 8,1 %</v>
      </c>
      <c r="E8" s="1" t="str">
        <f>IFERROR(__xludf.DUMMYFUNCTION("""COMPUTED_VALUE"""),"+ 23,3 %")</f>
        <v>+ 23,3 %</v>
      </c>
    </row>
    <row r="9">
      <c r="A9" s="2">
        <f>IFERROR(__xludf.DUMMYFUNCTION("""COMPUTED_VALUE"""),45962.0)</f>
        <v>45962</v>
      </c>
      <c r="B9" s="1" t="str">
        <f>IFERROR(__xludf.DUMMYFUNCTION("""COMPUTED_VALUE"""),"3.103 €/m2")</f>
        <v>3.103 €/m2</v>
      </c>
      <c r="C9" s="1" t="str">
        <f>IFERROR(__xludf.DUMMYFUNCTION("""COMPUTED_VALUE"""),"+ 2,1 %")</f>
        <v>+ 2,1 %</v>
      </c>
      <c r="D9" s="1" t="str">
        <f>IFERROR(__xludf.DUMMYFUNCTION("""COMPUTED_VALUE"""),"+ 4,5 %")</f>
        <v>+ 4,5 %</v>
      </c>
      <c r="E9" s="1" t="str">
        <f>IFERROR(__xludf.DUMMYFUNCTION("""COMPUTED_VALUE"""),"+ 23,2 %")</f>
        <v>+ 23,2 %</v>
      </c>
    </row>
    <row r="10">
      <c r="A10" s="2">
        <f>IFERROR(__xludf.DUMMYFUNCTION("""COMPUTED_VALUE"""),45931.0)</f>
        <v>45931</v>
      </c>
      <c r="B10" s="1" t="str">
        <f>IFERROR(__xludf.DUMMYFUNCTION("""COMPUTED_VALUE"""),"3.039 €/m2")</f>
        <v>3.039 €/m2</v>
      </c>
      <c r="C10" s="1" t="str">
        <f>IFERROR(__xludf.DUMMYFUNCTION("""COMPUTED_VALUE"""),"+ 2,3 %")</f>
        <v>+ 2,3 %</v>
      </c>
      <c r="D10" s="1" t="str">
        <f>IFERROR(__xludf.DUMMYFUNCTION("""COMPUTED_VALUE"""),"+ 4,5 %")</f>
        <v>+ 4,5 %</v>
      </c>
      <c r="E10" s="1" t="str">
        <f>IFERROR(__xludf.DUMMYFUNCTION("""COMPUTED_VALUE"""),"+ 22,2 %")</f>
        <v>+ 22,2 %</v>
      </c>
    </row>
    <row r="11">
      <c r="A11" s="2">
        <f>IFERROR(__xludf.DUMMYFUNCTION("""COMPUTED_VALUE"""),45901.0)</f>
        <v>45901</v>
      </c>
      <c r="B11" s="1" t="str">
        <f>IFERROR(__xludf.DUMMYFUNCTION("""COMPUTED_VALUE"""),"2.971 €/m2")</f>
        <v>2.971 €/m2</v>
      </c>
      <c r="C11" s="1" t="str">
        <f>IFERROR(__xludf.DUMMYFUNCTION("""COMPUTED_VALUE"""),"+ 0,1 %")</f>
        <v>+ 0,1 %</v>
      </c>
      <c r="D11" s="1" t="str">
        <f>IFERROR(__xludf.DUMMYFUNCTION("""COMPUTED_VALUE"""),"+ 4,2 %")</f>
        <v>+ 4,2 %</v>
      </c>
      <c r="E11" s="1" t="str">
        <f>IFERROR(__xludf.DUMMYFUNCTION("""COMPUTED_VALUE"""),"+ 21,8 %")</f>
        <v>+ 21,8 %</v>
      </c>
    </row>
    <row r="12">
      <c r="A12" s="2">
        <f>IFERROR(__xludf.DUMMYFUNCTION("""COMPUTED_VALUE"""),45870.0)</f>
        <v>45870</v>
      </c>
      <c r="B12" s="1" t="str">
        <f>IFERROR(__xludf.DUMMYFUNCTION("""COMPUTED_VALUE"""),"2.968 €/m2")</f>
        <v>2.968 €/m2</v>
      </c>
      <c r="C12" s="1" t="str">
        <f>IFERROR(__xludf.DUMMYFUNCTION("""COMPUTED_VALUE"""),"+ 2,1 %")</f>
        <v>+ 2,1 %</v>
      </c>
      <c r="D12" s="1" t="str">
        <f>IFERROR(__xludf.DUMMYFUNCTION("""COMPUTED_VALUE"""),"+ 5,4 %")</f>
        <v>+ 5,4 %</v>
      </c>
      <c r="E12" s="1" t="str">
        <f>IFERROR(__xludf.DUMMYFUNCTION("""COMPUTED_VALUE"""),"+ 21,5 %")</f>
        <v>+ 21,5 %</v>
      </c>
    </row>
    <row r="13">
      <c r="A13" s="2">
        <f>IFERROR(__xludf.DUMMYFUNCTION("""COMPUTED_VALUE"""),45839.0)</f>
        <v>45839</v>
      </c>
      <c r="B13" s="1" t="str">
        <f>IFERROR(__xludf.DUMMYFUNCTION("""COMPUTED_VALUE"""),"2.908 €/m2")</f>
        <v>2.908 €/m2</v>
      </c>
      <c r="C13" s="1" t="str">
        <f>IFERROR(__xludf.DUMMYFUNCTION("""COMPUTED_VALUE"""),"+ 2,0 %")</f>
        <v>+ 2,0 %</v>
      </c>
      <c r="D13" s="1" t="str">
        <f>IFERROR(__xludf.DUMMYFUNCTION("""COMPUTED_VALUE"""),"+ 6,9 %")</f>
        <v>+ 6,9 %</v>
      </c>
      <c r="E13" s="1" t="str">
        <f>IFERROR(__xludf.DUMMYFUNCTION("""COMPUTED_VALUE"""),"+ 22,5 %")</f>
        <v>+ 22,5 %</v>
      </c>
    </row>
    <row r="14">
      <c r="A14" s="2">
        <f>IFERROR(__xludf.DUMMYFUNCTION("""COMPUTED_VALUE"""),45809.0)</f>
        <v>45809</v>
      </c>
      <c r="B14" s="1" t="str">
        <f>IFERROR(__xludf.DUMMYFUNCTION("""COMPUTED_VALUE"""),"2.851 €/m2")</f>
        <v>2.851 €/m2</v>
      </c>
      <c r="C14" s="1" t="str">
        <f>IFERROR(__xludf.DUMMYFUNCTION("""COMPUTED_VALUE"""),"+ 1,3 %")</f>
        <v>+ 1,3 %</v>
      </c>
      <c r="D14" s="1" t="str">
        <f>IFERROR(__xludf.DUMMYFUNCTION("""COMPUTED_VALUE"""),"+ 7,7 %")</f>
        <v>+ 7,7 %</v>
      </c>
      <c r="E14" s="1" t="str">
        <f>IFERROR(__xludf.DUMMYFUNCTION("""COMPUTED_VALUE"""),"+ 20,5 %")</f>
        <v>+ 20,5 %</v>
      </c>
    </row>
    <row r="15">
      <c r="A15" s="2">
        <f>IFERROR(__xludf.DUMMYFUNCTION("""COMPUTED_VALUE"""),45778.0)</f>
        <v>45778</v>
      </c>
      <c r="B15" s="1" t="str">
        <f>IFERROR(__xludf.DUMMYFUNCTION("""COMPUTED_VALUE"""),"2.816 €/m2")</f>
        <v>2.816 €/m2</v>
      </c>
      <c r="C15" s="1" t="str">
        <f>IFERROR(__xludf.DUMMYFUNCTION("""COMPUTED_VALUE"""),"+ 3,5 %")</f>
        <v>+ 3,5 %</v>
      </c>
      <c r="D15" s="1" t="str">
        <f>IFERROR(__xludf.DUMMYFUNCTION("""COMPUTED_VALUE"""),"+ 7,9 %")</f>
        <v>+ 7,9 %</v>
      </c>
      <c r="E15" s="1" t="str">
        <f>IFERROR(__xludf.DUMMYFUNCTION("""COMPUTED_VALUE"""),"+ 19,4 %")</f>
        <v>+ 19,4 %</v>
      </c>
    </row>
    <row r="16">
      <c r="A16" s="2">
        <f>IFERROR(__xludf.DUMMYFUNCTION("""COMPUTED_VALUE"""),45748.0)</f>
        <v>45748</v>
      </c>
      <c r="B16" s="1" t="str">
        <f>IFERROR(__xludf.DUMMYFUNCTION("""COMPUTED_VALUE"""),"2.719 €/m2")</f>
        <v>2.719 €/m2</v>
      </c>
      <c r="C16" s="1" t="str">
        <f>IFERROR(__xludf.DUMMYFUNCTION("""COMPUTED_VALUE"""),"+ 2,7 %")</f>
        <v>+ 2,7 %</v>
      </c>
      <c r="D16" s="1" t="str">
        <f>IFERROR(__xludf.DUMMYFUNCTION("""COMPUTED_VALUE"""),"+ 5,0 %")</f>
        <v>+ 5,0 %</v>
      </c>
      <c r="E16" s="1" t="str">
        <f>IFERROR(__xludf.DUMMYFUNCTION("""COMPUTED_VALUE"""),"+ 14,4 %")</f>
        <v>+ 14,4 %</v>
      </c>
    </row>
    <row r="17">
      <c r="A17" s="2">
        <f>IFERROR(__xludf.DUMMYFUNCTION("""COMPUTED_VALUE"""),45717.0)</f>
        <v>45717</v>
      </c>
      <c r="B17" s="1" t="str">
        <f>IFERROR(__xludf.DUMMYFUNCTION("""COMPUTED_VALUE"""),"2.648 €/m2")</f>
        <v>2.648 €/m2</v>
      </c>
      <c r="C17" s="1" t="str">
        <f>IFERROR(__xludf.DUMMYFUNCTION("""COMPUTED_VALUE"""),"+ 1,5 %")</f>
        <v>+ 1,5 %</v>
      </c>
      <c r="D17" s="1" t="str">
        <f>IFERROR(__xludf.DUMMYFUNCTION("""COMPUTED_VALUE"""),"+ 1,7 %")</f>
        <v>+ 1,7 %</v>
      </c>
      <c r="E17" s="1" t="str">
        <f>IFERROR(__xludf.DUMMYFUNCTION("""COMPUTED_VALUE"""),"+ 13,0 %")</f>
        <v>+ 13,0 %</v>
      </c>
    </row>
    <row r="18">
      <c r="A18" s="2">
        <f>IFERROR(__xludf.DUMMYFUNCTION("""COMPUTED_VALUE"""),45689.0)</f>
        <v>45689</v>
      </c>
      <c r="B18" s="1" t="str">
        <f>IFERROR(__xludf.DUMMYFUNCTION("""COMPUTED_VALUE"""),"2.608 €/m2")</f>
        <v>2.608 €/m2</v>
      </c>
      <c r="C18" s="1" t="str">
        <f>IFERROR(__xludf.DUMMYFUNCTION("""COMPUTED_VALUE"""),"+ 0,7 %")</f>
        <v>+ 0,7 %</v>
      </c>
      <c r="D18" s="1" t="str">
        <f>IFERROR(__xludf.DUMMYFUNCTION("""COMPUTED_VALUE"""),"+ 3,6 %")</f>
        <v>+ 3,6 %</v>
      </c>
      <c r="E18" s="1" t="str">
        <f>IFERROR(__xludf.DUMMYFUNCTION("""COMPUTED_VALUE"""),"+ 13,2 %")</f>
        <v>+ 13,2 %</v>
      </c>
    </row>
    <row r="19">
      <c r="A19" s="2">
        <f>IFERROR(__xludf.DUMMYFUNCTION("""COMPUTED_VALUE"""),45658.0)</f>
        <v>45658</v>
      </c>
      <c r="B19" s="1" t="str">
        <f>IFERROR(__xludf.DUMMYFUNCTION("""COMPUTED_VALUE"""),"2.591 €/m2")</f>
        <v>2.591 €/m2</v>
      </c>
      <c r="C19" s="1" t="str">
        <f>IFERROR(__xludf.DUMMYFUNCTION("""COMPUTED_VALUE"""),"- 0,5 %")</f>
        <v>- 0,5 %</v>
      </c>
      <c r="D19" s="1" t="str">
        <f>IFERROR(__xludf.DUMMYFUNCTION("""COMPUTED_VALUE"""),"+ 4,2 %")</f>
        <v>+ 4,2 %</v>
      </c>
      <c r="E19" s="1" t="str">
        <f>IFERROR(__xludf.DUMMYFUNCTION("""COMPUTED_VALUE"""),"+ 14,3 %")</f>
        <v>+ 14,3 %</v>
      </c>
    </row>
    <row r="20">
      <c r="A20" s="2">
        <f>IFERROR(__xludf.DUMMYFUNCTION("""COMPUTED_VALUE"""),45627.0)</f>
        <v>45627</v>
      </c>
      <c r="B20" s="1" t="str">
        <f>IFERROR(__xludf.DUMMYFUNCTION("""COMPUTED_VALUE"""),"2.605 €/m2")</f>
        <v>2.605 €/m2</v>
      </c>
      <c r="C20" s="1" t="str">
        <f>IFERROR(__xludf.DUMMYFUNCTION("""COMPUTED_VALUE"""),"+ 3,5 %")</f>
        <v>+ 3,5 %</v>
      </c>
      <c r="D20" s="1" t="str">
        <f>IFERROR(__xludf.DUMMYFUNCTION("""COMPUTED_VALUE"""),"+ 6,8 %")</f>
        <v>+ 6,8 %</v>
      </c>
      <c r="E20" s="1" t="str">
        <f>IFERROR(__xludf.DUMMYFUNCTION("""COMPUTED_VALUE"""),"+ 15,1 %")</f>
        <v>+ 15,1 %</v>
      </c>
    </row>
    <row r="21">
      <c r="A21" s="2">
        <f>IFERROR(__xludf.DUMMYFUNCTION("""COMPUTED_VALUE"""),45597.0)</f>
        <v>45597</v>
      </c>
      <c r="B21" s="1" t="str">
        <f>IFERROR(__xludf.DUMMYFUNCTION("""COMPUTED_VALUE"""),"2.518 €/m2")</f>
        <v>2.518 €/m2</v>
      </c>
      <c r="C21" s="1" t="str">
        <f>IFERROR(__xludf.DUMMYFUNCTION("""COMPUTED_VALUE"""),"+ 1,2 %")</f>
        <v>+ 1,2 %</v>
      </c>
      <c r="D21" s="1" t="str">
        <f>IFERROR(__xludf.DUMMYFUNCTION("""COMPUTED_VALUE"""),"+ 3,0 %")</f>
        <v>+ 3,0 %</v>
      </c>
      <c r="E21" s="1" t="str">
        <f>IFERROR(__xludf.DUMMYFUNCTION("""COMPUTED_VALUE"""),"+ 13,2 %")</f>
        <v>+ 13,2 %</v>
      </c>
    </row>
    <row r="22">
      <c r="A22" s="2">
        <f>IFERROR(__xludf.DUMMYFUNCTION("""COMPUTED_VALUE"""),45566.0)</f>
        <v>45566</v>
      </c>
      <c r="B22" s="1" t="str">
        <f>IFERROR(__xludf.DUMMYFUNCTION("""COMPUTED_VALUE"""),"2.488 €/m2")</f>
        <v>2.488 €/m2</v>
      </c>
      <c r="C22" s="1" t="str">
        <f>IFERROR(__xludf.DUMMYFUNCTION("""COMPUTED_VALUE"""),"+ 2,0 %")</f>
        <v>+ 2,0 %</v>
      </c>
      <c r="D22" s="1" t="str">
        <f>IFERROR(__xludf.DUMMYFUNCTION("""COMPUTED_VALUE"""),"+ 4,8 %")</f>
        <v>+ 4,8 %</v>
      </c>
      <c r="E22" s="1" t="str">
        <f>IFERROR(__xludf.DUMMYFUNCTION("""COMPUTED_VALUE"""),"+ 11,2 %")</f>
        <v>+ 11,2 %</v>
      </c>
    </row>
    <row r="23">
      <c r="A23" s="2">
        <f>IFERROR(__xludf.DUMMYFUNCTION("""COMPUTED_VALUE"""),45536.0)</f>
        <v>45536</v>
      </c>
      <c r="B23" s="1" t="str">
        <f>IFERROR(__xludf.DUMMYFUNCTION("""COMPUTED_VALUE"""),"2.439 €/m2")</f>
        <v>2.439 €/m2</v>
      </c>
      <c r="C23" s="1" t="str">
        <f>IFERROR(__xludf.DUMMYFUNCTION("""COMPUTED_VALUE"""),"- 0,2 %")</f>
        <v>- 0,2 %</v>
      </c>
      <c r="D23" s="1" t="str">
        <f>IFERROR(__xludf.DUMMYFUNCTION("""COMPUTED_VALUE"""),"+ 3,0 %")</f>
        <v>+ 3,0 %</v>
      </c>
      <c r="E23" s="1" t="str">
        <f>IFERROR(__xludf.DUMMYFUNCTION("""COMPUTED_VALUE"""),"+ 8,9 %")</f>
        <v>+ 8,9 %</v>
      </c>
    </row>
    <row r="24">
      <c r="A24" s="2">
        <f>IFERROR(__xludf.DUMMYFUNCTION("""COMPUTED_VALUE"""),45505.0)</f>
        <v>45505</v>
      </c>
      <c r="B24" s="1" t="str">
        <f>IFERROR(__xludf.DUMMYFUNCTION("""COMPUTED_VALUE"""),"2.444 €/m2")</f>
        <v>2.444 €/m2</v>
      </c>
      <c r="C24" s="1" t="str">
        <f>IFERROR(__xludf.DUMMYFUNCTION("""COMPUTED_VALUE"""),"+ 2,9 %")</f>
        <v>+ 2,9 %</v>
      </c>
      <c r="D24" s="1" t="str">
        <f>IFERROR(__xludf.DUMMYFUNCTION("""COMPUTED_VALUE"""),"+ 3,6 %")</f>
        <v>+ 3,6 %</v>
      </c>
      <c r="E24" s="1" t="str">
        <f>IFERROR(__xludf.DUMMYFUNCTION("""COMPUTED_VALUE"""),"+ 10,4 %")</f>
        <v>+ 10,4 %</v>
      </c>
    </row>
    <row r="25">
      <c r="A25" s="2">
        <f>IFERROR(__xludf.DUMMYFUNCTION("""COMPUTED_VALUE"""),45474.0)</f>
        <v>45474</v>
      </c>
      <c r="B25" s="1" t="str">
        <f>IFERROR(__xludf.DUMMYFUNCTION("""COMPUTED_VALUE"""),"2.375 €/m2")</f>
        <v>2.375 €/m2</v>
      </c>
      <c r="C25" s="1" t="str">
        <f>IFERROR(__xludf.DUMMYFUNCTION("""COMPUTED_VALUE"""),"+ 0,3 %")</f>
        <v>+ 0,3 %</v>
      </c>
      <c r="D25" s="1" t="str">
        <f>IFERROR(__xludf.DUMMYFUNCTION("""COMPUTED_VALUE"""),"- 0,1 %")</f>
        <v>- 0,1 %</v>
      </c>
      <c r="E25" s="1" t="str">
        <f>IFERROR(__xludf.DUMMYFUNCTION("""COMPUTED_VALUE"""),"+ 9,2 %")</f>
        <v>+ 9,2 %</v>
      </c>
    </row>
    <row r="26">
      <c r="A26" s="2">
        <f>IFERROR(__xludf.DUMMYFUNCTION("""COMPUTED_VALUE"""),45444.0)</f>
        <v>45444</v>
      </c>
      <c r="B26" s="1" t="str">
        <f>IFERROR(__xludf.DUMMYFUNCTION("""COMPUTED_VALUE"""),"2.367 €/m2")</f>
        <v>2.367 €/m2</v>
      </c>
      <c r="C26" s="1" t="str">
        <f>IFERROR(__xludf.DUMMYFUNCTION("""COMPUTED_VALUE"""),"+ 0,3 %")</f>
        <v>+ 0,3 %</v>
      </c>
      <c r="D26" s="1" t="str">
        <f>IFERROR(__xludf.DUMMYFUNCTION("""COMPUTED_VALUE"""),"+ 1,0 %")</f>
        <v>+ 1,0 %</v>
      </c>
      <c r="E26" s="1" t="str">
        <f>IFERROR(__xludf.DUMMYFUNCTION("""COMPUTED_VALUE"""),"+ 8,4 %")</f>
        <v>+ 8,4 %</v>
      </c>
    </row>
    <row r="27">
      <c r="A27" s="2">
        <f>IFERROR(__xludf.DUMMYFUNCTION("""COMPUTED_VALUE"""),45413.0)</f>
        <v>45413</v>
      </c>
      <c r="B27" s="1" t="str">
        <f>IFERROR(__xludf.DUMMYFUNCTION("""COMPUTED_VALUE"""),"2.359 €/m2")</f>
        <v>2.359 €/m2</v>
      </c>
      <c r="C27" s="1" t="str">
        <f>IFERROR(__xludf.DUMMYFUNCTION("""COMPUTED_VALUE"""),"- 0,7 %")</f>
        <v>- 0,7 %</v>
      </c>
      <c r="D27" s="1" t="str">
        <f>IFERROR(__xludf.DUMMYFUNCTION("""COMPUTED_VALUE"""),"+ 2,3 %")</f>
        <v>+ 2,3 %</v>
      </c>
      <c r="E27" s="1" t="str">
        <f>IFERROR(__xludf.DUMMYFUNCTION("""COMPUTED_VALUE"""),"+ 8,6 %")</f>
        <v>+ 8,6 %</v>
      </c>
    </row>
    <row r="28">
      <c r="A28" s="2">
        <f>IFERROR(__xludf.DUMMYFUNCTION("""COMPUTED_VALUE"""),45383.0)</f>
        <v>45383</v>
      </c>
      <c r="B28" s="1" t="str">
        <f>IFERROR(__xludf.DUMMYFUNCTION("""COMPUTED_VALUE"""),"2.376 €/m2")</f>
        <v>2.376 €/m2</v>
      </c>
      <c r="C28" s="1" t="str">
        <f>IFERROR(__xludf.DUMMYFUNCTION("""COMPUTED_VALUE"""),"+ 1,4 %")</f>
        <v>+ 1,4 %</v>
      </c>
      <c r="D28" s="1" t="str">
        <f>IFERROR(__xludf.DUMMYFUNCTION("""COMPUTED_VALUE"""),"+ 4,8 %")</f>
        <v>+ 4,8 %</v>
      </c>
      <c r="E28" s="1" t="str">
        <f>IFERROR(__xludf.DUMMYFUNCTION("""COMPUTED_VALUE"""),"+ 11,3 %")</f>
        <v>+ 11,3 %</v>
      </c>
    </row>
    <row r="29">
      <c r="A29" s="2">
        <f>IFERROR(__xludf.DUMMYFUNCTION("""COMPUTED_VALUE"""),45352.0)</f>
        <v>45352</v>
      </c>
      <c r="B29" s="1" t="str">
        <f>IFERROR(__xludf.DUMMYFUNCTION("""COMPUTED_VALUE"""),"2.344 €/m2")</f>
        <v>2.344 €/m2</v>
      </c>
      <c r="C29" s="1" t="str">
        <f>IFERROR(__xludf.DUMMYFUNCTION("""COMPUTED_VALUE"""),"+ 1,7 %")</f>
        <v>+ 1,7 %</v>
      </c>
      <c r="D29" s="1" t="str">
        <f>IFERROR(__xludf.DUMMYFUNCTION("""COMPUTED_VALUE"""),"+ 3,6 %")</f>
        <v>+ 3,6 %</v>
      </c>
      <c r="E29" s="1" t="str">
        <f>IFERROR(__xludf.DUMMYFUNCTION("""COMPUTED_VALUE"""),"+ 11,6 %")</f>
        <v>+ 11,6 %</v>
      </c>
    </row>
    <row r="30">
      <c r="A30" s="2">
        <f>IFERROR(__xludf.DUMMYFUNCTION("""COMPUTED_VALUE"""),45323.0)</f>
        <v>45323</v>
      </c>
      <c r="B30" s="1" t="str">
        <f>IFERROR(__xludf.DUMMYFUNCTION("""COMPUTED_VALUE"""),"2.305 €/m2")</f>
        <v>2.305 €/m2</v>
      </c>
      <c r="C30" s="1" t="str">
        <f>IFERROR(__xludf.DUMMYFUNCTION("""COMPUTED_VALUE"""),"+ 1,7 %")</f>
        <v>+ 1,7 %</v>
      </c>
      <c r="D30" s="1" t="str">
        <f>IFERROR(__xludf.DUMMYFUNCTION("""COMPUTED_VALUE"""),"+ 3,7 %")</f>
        <v>+ 3,7 %</v>
      </c>
      <c r="E30" s="1" t="str">
        <f>IFERROR(__xludf.DUMMYFUNCTION("""COMPUTED_VALUE"""),"+ 9,4 %")</f>
        <v>+ 9,4 %</v>
      </c>
    </row>
    <row r="31">
      <c r="A31" s="2">
        <f>IFERROR(__xludf.DUMMYFUNCTION("""COMPUTED_VALUE"""),45292.0)</f>
        <v>45292</v>
      </c>
      <c r="B31" s="1" t="str">
        <f>IFERROR(__xludf.DUMMYFUNCTION("""COMPUTED_VALUE"""),"2.267 €/m2")</f>
        <v>2.267 €/m2</v>
      </c>
      <c r="C31" s="1" t="str">
        <f>IFERROR(__xludf.DUMMYFUNCTION("""COMPUTED_VALUE"""),"+ 0,2 %")</f>
        <v>+ 0,2 %</v>
      </c>
      <c r="D31" s="1" t="str">
        <f>IFERROR(__xludf.DUMMYFUNCTION("""COMPUTED_VALUE"""),"+ 1,3 %")</f>
        <v>+ 1,3 %</v>
      </c>
      <c r="E31" s="1" t="str">
        <f>IFERROR(__xludf.DUMMYFUNCTION("""COMPUTED_VALUE"""),"+ 7,3 %")</f>
        <v>+ 7,3 %</v>
      </c>
    </row>
    <row r="32">
      <c r="A32" s="2">
        <f>IFERROR(__xludf.DUMMYFUNCTION("""COMPUTED_VALUE"""),45261.0)</f>
        <v>45261</v>
      </c>
      <c r="B32" s="1" t="str">
        <f>IFERROR(__xludf.DUMMYFUNCTION("""COMPUTED_VALUE"""),"2.262 €/m2")</f>
        <v>2.262 €/m2</v>
      </c>
      <c r="C32" s="1" t="str">
        <f>IFERROR(__xludf.DUMMYFUNCTION("""COMPUTED_VALUE"""),"+ 1,7 %")</f>
        <v>+ 1,7 %</v>
      </c>
      <c r="D32" s="1" t="str">
        <f>IFERROR(__xludf.DUMMYFUNCTION("""COMPUTED_VALUE"""),"+ 1,0 %")</f>
        <v>+ 1,0 %</v>
      </c>
      <c r="E32" s="1" t="str">
        <f>IFERROR(__xludf.DUMMYFUNCTION("""COMPUTED_VALUE"""),"+ 6,7 %")</f>
        <v>+ 6,7 %</v>
      </c>
    </row>
    <row r="33">
      <c r="A33" s="2">
        <f>IFERROR(__xludf.DUMMYFUNCTION("""COMPUTED_VALUE"""),45231.0)</f>
        <v>45231</v>
      </c>
      <c r="B33" s="1" t="str">
        <f>IFERROR(__xludf.DUMMYFUNCTION("""COMPUTED_VALUE"""),"2.224 €/m2")</f>
        <v>2.224 €/m2</v>
      </c>
      <c r="C33" s="1" t="str">
        <f>IFERROR(__xludf.DUMMYFUNCTION("""COMPUTED_VALUE"""),"- 0,6 %")</f>
        <v>- 0,6 %</v>
      </c>
      <c r="D33" s="1" t="str">
        <f>IFERROR(__xludf.DUMMYFUNCTION("""COMPUTED_VALUE"""),"+ 0,5 %")</f>
        <v>+ 0,5 %</v>
      </c>
      <c r="E33" s="1" t="str">
        <f>IFERROR(__xludf.DUMMYFUNCTION("""COMPUTED_VALUE"""),"+ 4,8 %")</f>
        <v>+ 4,8 %</v>
      </c>
    </row>
    <row r="34">
      <c r="A34" s="2">
        <f>IFERROR(__xludf.DUMMYFUNCTION("""COMPUTED_VALUE"""),45200.0)</f>
        <v>45200</v>
      </c>
      <c r="B34" s="1" t="str">
        <f>IFERROR(__xludf.DUMMYFUNCTION("""COMPUTED_VALUE"""),"2.238 €/m2")</f>
        <v>2.238 €/m2</v>
      </c>
      <c r="C34" s="1" t="str">
        <f>IFERROR(__xludf.DUMMYFUNCTION("""COMPUTED_VALUE"""),"- 0,1 %")</f>
        <v>- 0,1 %</v>
      </c>
      <c r="D34" s="1" t="str">
        <f>IFERROR(__xludf.DUMMYFUNCTION("""COMPUTED_VALUE"""),"+ 2,9 %")</f>
        <v>+ 2,9 %</v>
      </c>
      <c r="E34" s="1" t="str">
        <f>IFERROR(__xludf.DUMMYFUNCTION("""COMPUTED_VALUE"""),"+ 5,1 %")</f>
        <v>+ 5,1 %</v>
      </c>
    </row>
    <row r="35">
      <c r="A35" s="2">
        <f>IFERROR(__xludf.DUMMYFUNCTION("""COMPUTED_VALUE"""),45170.0)</f>
        <v>45170</v>
      </c>
      <c r="B35" s="1" t="str">
        <f>IFERROR(__xludf.DUMMYFUNCTION("""COMPUTED_VALUE"""),"2.240 €/m2")</f>
        <v>2.240 €/m2</v>
      </c>
      <c r="C35" s="1" t="str">
        <f>IFERROR(__xludf.DUMMYFUNCTION("""COMPUTED_VALUE"""),"+ 1,3 %")</f>
        <v>+ 1,3 %</v>
      </c>
      <c r="D35" s="1" t="str">
        <f>IFERROR(__xludf.DUMMYFUNCTION("""COMPUTED_VALUE"""),"+ 2,7 %")</f>
        <v>+ 2,7 %</v>
      </c>
      <c r="E35" s="1" t="str">
        <f>IFERROR(__xludf.DUMMYFUNCTION("""COMPUTED_VALUE"""),"+ 4,3 %")</f>
        <v>+ 4,3 %</v>
      </c>
    </row>
    <row r="36">
      <c r="A36" s="2">
        <f>IFERROR(__xludf.DUMMYFUNCTION("""COMPUTED_VALUE"""),45139.0)</f>
        <v>45139</v>
      </c>
      <c r="B36" s="1" t="str">
        <f>IFERROR(__xludf.DUMMYFUNCTION("""COMPUTED_VALUE"""),"2.213 €/m2")</f>
        <v>2.213 €/m2</v>
      </c>
      <c r="C36" s="1" t="str">
        <f>IFERROR(__xludf.DUMMYFUNCTION("""COMPUTED_VALUE"""),"+ 1,7 %")</f>
        <v>+ 1,7 %</v>
      </c>
      <c r="D36" s="1" t="str">
        <f>IFERROR(__xludf.DUMMYFUNCTION("""COMPUTED_VALUE"""),"+ 1,9 %")</f>
        <v>+ 1,9 %</v>
      </c>
      <c r="E36" s="1" t="str">
        <f>IFERROR(__xludf.DUMMYFUNCTION("""COMPUTED_VALUE"""),"+ 3,2 %")</f>
        <v>+ 3,2 %</v>
      </c>
    </row>
    <row r="37">
      <c r="A37" s="2">
        <f>IFERROR(__xludf.DUMMYFUNCTION("""COMPUTED_VALUE"""),45108.0)</f>
        <v>45108</v>
      </c>
      <c r="B37" s="1" t="str">
        <f>IFERROR(__xludf.DUMMYFUNCTION("""COMPUTED_VALUE"""),"2.175 €/m2")</f>
        <v>2.175 €/m2</v>
      </c>
      <c r="C37" s="1" t="str">
        <f>IFERROR(__xludf.DUMMYFUNCTION("""COMPUTED_VALUE"""),"- 0,3 %")</f>
        <v>- 0,3 %</v>
      </c>
      <c r="D37" s="1" t="str">
        <f>IFERROR(__xludf.DUMMYFUNCTION("""COMPUTED_VALUE"""),"+ 1,8 %")</f>
        <v>+ 1,8 %</v>
      </c>
      <c r="E37" s="1" t="str">
        <f>IFERROR(__xludf.DUMMYFUNCTION("""COMPUTED_VALUE"""),"+ 2,7 %")</f>
        <v>+ 2,7 %</v>
      </c>
    </row>
    <row r="38">
      <c r="A38" s="2">
        <f>IFERROR(__xludf.DUMMYFUNCTION("""COMPUTED_VALUE"""),45078.0)</f>
        <v>45078</v>
      </c>
      <c r="B38" s="1" t="str">
        <f>IFERROR(__xludf.DUMMYFUNCTION("""COMPUTED_VALUE"""),"2.182 €/m2")</f>
        <v>2.182 €/m2</v>
      </c>
      <c r="C38" s="1" t="str">
        <f>IFERROR(__xludf.DUMMYFUNCTION("""COMPUTED_VALUE"""),"+ 0,5 %")</f>
        <v>+ 0,5 %</v>
      </c>
      <c r="D38" s="1" t="str">
        <f>IFERROR(__xludf.DUMMYFUNCTION("""COMPUTED_VALUE"""),"+ 3,9 %")</f>
        <v>+ 3,9 %</v>
      </c>
      <c r="E38" s="1" t="str">
        <f>IFERROR(__xludf.DUMMYFUNCTION("""COMPUTED_VALUE"""),"+ 5,4 %")</f>
        <v>+ 5,4 %</v>
      </c>
    </row>
    <row r="39">
      <c r="A39" s="2">
        <f>IFERROR(__xludf.DUMMYFUNCTION("""COMPUTED_VALUE"""),45047.0)</f>
        <v>45047</v>
      </c>
      <c r="B39" s="1" t="str">
        <f>IFERROR(__xludf.DUMMYFUNCTION("""COMPUTED_VALUE"""),"2.172 €/m2")</f>
        <v>2.172 €/m2</v>
      </c>
      <c r="C39" s="1" t="str">
        <f>IFERROR(__xludf.DUMMYFUNCTION("""COMPUTED_VALUE"""),"+ 1,7 %")</f>
        <v>+ 1,7 %</v>
      </c>
      <c r="D39" s="1" t="str">
        <f>IFERROR(__xludf.DUMMYFUNCTION("""COMPUTED_VALUE"""),"+ 3,1 %")</f>
        <v>+ 3,1 %</v>
      </c>
      <c r="E39" s="1" t="str">
        <f>IFERROR(__xludf.DUMMYFUNCTION("""COMPUTED_VALUE"""),"+ 7,6 %")</f>
        <v>+ 7,6 %</v>
      </c>
    </row>
    <row r="40">
      <c r="A40" s="2">
        <f>IFERROR(__xludf.DUMMYFUNCTION("""COMPUTED_VALUE"""),45017.0)</f>
        <v>45017</v>
      </c>
      <c r="B40" s="1" t="str">
        <f>IFERROR(__xludf.DUMMYFUNCTION("""COMPUTED_VALUE"""),"2.136 €/m2")</f>
        <v>2.136 €/m2</v>
      </c>
      <c r="C40" s="1" t="str">
        <f>IFERROR(__xludf.DUMMYFUNCTION("""COMPUTED_VALUE"""),"+ 1,7 %")</f>
        <v>+ 1,7 %</v>
      </c>
      <c r="D40" s="1" t="str">
        <f>IFERROR(__xludf.DUMMYFUNCTION("""COMPUTED_VALUE"""),"+ 1,1 %")</f>
        <v>+ 1,1 %</v>
      </c>
      <c r="E40" s="1" t="str">
        <f>IFERROR(__xludf.DUMMYFUNCTION("""COMPUTED_VALUE"""),"+ 7,4 %")</f>
        <v>+ 7,4 %</v>
      </c>
    </row>
    <row r="41">
      <c r="A41" s="2">
        <f>IFERROR(__xludf.DUMMYFUNCTION("""COMPUTED_VALUE"""),44986.0)</f>
        <v>44986</v>
      </c>
      <c r="B41" s="1" t="str">
        <f>IFERROR(__xludf.DUMMYFUNCTION("""COMPUTED_VALUE"""),"2.100 €/m2")</f>
        <v>2.100 €/m2</v>
      </c>
      <c r="C41" s="1" t="str">
        <f>IFERROR(__xludf.DUMMYFUNCTION("""COMPUTED_VALUE"""),"- 0,3 %")</f>
        <v>- 0,3 %</v>
      </c>
      <c r="D41" s="1" t="str">
        <f>IFERROR(__xludf.DUMMYFUNCTION("""COMPUTED_VALUE"""),"- 0,9 %")</f>
        <v>- 0,9 %</v>
      </c>
      <c r="E41" s="1" t="str">
        <f>IFERROR(__xludf.DUMMYFUNCTION("""COMPUTED_VALUE"""),"+ 7,7 %")</f>
        <v>+ 7,7 %</v>
      </c>
    </row>
    <row r="42">
      <c r="A42" s="2">
        <f>IFERROR(__xludf.DUMMYFUNCTION("""COMPUTED_VALUE"""),44958.0)</f>
        <v>44958</v>
      </c>
      <c r="B42" s="1" t="str">
        <f>IFERROR(__xludf.DUMMYFUNCTION("""COMPUTED_VALUE"""),"2.107 €/m2")</f>
        <v>2.107 €/m2</v>
      </c>
      <c r="C42" s="1" t="str">
        <f>IFERROR(__xludf.DUMMYFUNCTION("""COMPUTED_VALUE"""),"- 0,2 %")</f>
        <v>- 0,2 %</v>
      </c>
      <c r="D42" s="1" t="str">
        <f>IFERROR(__xludf.DUMMYFUNCTION("""COMPUTED_VALUE"""),"- 0,7 %")</f>
        <v>- 0,7 %</v>
      </c>
      <c r="E42" s="1" t="str">
        <f>IFERROR(__xludf.DUMMYFUNCTION("""COMPUTED_VALUE"""),"+ 8,6 %")</f>
        <v>+ 8,6 %</v>
      </c>
    </row>
    <row r="43">
      <c r="A43" s="2">
        <f>IFERROR(__xludf.DUMMYFUNCTION("""COMPUTED_VALUE"""),44927.0)</f>
        <v>44927</v>
      </c>
      <c r="B43" s="1" t="str">
        <f>IFERROR(__xludf.DUMMYFUNCTION("""COMPUTED_VALUE"""),"2.112 €/m2")</f>
        <v>2.112 €/m2</v>
      </c>
      <c r="C43" s="1" t="str">
        <f>IFERROR(__xludf.DUMMYFUNCTION("""COMPUTED_VALUE"""),"- 0,4 %")</f>
        <v>- 0,4 %</v>
      </c>
      <c r="D43" s="1" t="str">
        <f>IFERROR(__xludf.DUMMYFUNCTION("""COMPUTED_VALUE"""),"- 0,9 %")</f>
        <v>- 0,9 %</v>
      </c>
      <c r="E43" s="1" t="str">
        <f>IFERROR(__xludf.DUMMYFUNCTION("""COMPUTED_VALUE"""),"+ 8,8 %")</f>
        <v>+ 8,8 %</v>
      </c>
    </row>
    <row r="44">
      <c r="A44" s="2">
        <f>IFERROR(__xludf.DUMMYFUNCTION("""COMPUTED_VALUE"""),44896.0)</f>
        <v>44896</v>
      </c>
      <c r="B44" s="1" t="str">
        <f>IFERROR(__xludf.DUMMYFUNCTION("""COMPUTED_VALUE"""),"2.120 €/m2")</f>
        <v>2.120 €/m2</v>
      </c>
      <c r="C44" s="1" t="str">
        <f>IFERROR(__xludf.DUMMYFUNCTION("""COMPUTED_VALUE"""),"- 0,1 %")</f>
        <v>- 0,1 %</v>
      </c>
      <c r="D44" s="1" t="str">
        <f>IFERROR(__xludf.DUMMYFUNCTION("""COMPUTED_VALUE"""),"- 1,3 %")</f>
        <v>- 1,3 %</v>
      </c>
      <c r="E44" s="1" t="str">
        <f>IFERROR(__xludf.DUMMYFUNCTION("""COMPUTED_VALUE"""),"+ 10,0 %")</f>
        <v>+ 10,0 %</v>
      </c>
    </row>
    <row r="45">
      <c r="A45" s="2">
        <f>IFERROR(__xludf.DUMMYFUNCTION("""COMPUTED_VALUE"""),44866.0)</f>
        <v>44866</v>
      </c>
      <c r="B45" s="1" t="str">
        <f>IFERROR(__xludf.DUMMYFUNCTION("""COMPUTED_VALUE"""),"2.123 €/m2")</f>
        <v>2.123 €/m2</v>
      </c>
      <c r="C45" s="1" t="str">
        <f>IFERROR(__xludf.DUMMYFUNCTION("""COMPUTED_VALUE"""),"- 0,3 %")</f>
        <v>- 0,3 %</v>
      </c>
      <c r="D45" s="1" t="str">
        <f>IFERROR(__xludf.DUMMYFUNCTION("""COMPUTED_VALUE"""),"- 1,0 %")</f>
        <v>- 1,0 %</v>
      </c>
      <c r="E45" s="1" t="str">
        <f>IFERROR(__xludf.DUMMYFUNCTION("""COMPUTED_VALUE"""),"+ 10,4 %")</f>
        <v>+ 10,4 %</v>
      </c>
    </row>
    <row r="46">
      <c r="A46" s="2">
        <f>IFERROR(__xludf.DUMMYFUNCTION("""COMPUTED_VALUE"""),44835.0)</f>
        <v>44835</v>
      </c>
      <c r="B46" s="1" t="str">
        <f>IFERROR(__xludf.DUMMYFUNCTION("""COMPUTED_VALUE"""),"2.130 €/m2")</f>
        <v>2.130 €/m2</v>
      </c>
      <c r="C46" s="1" t="str">
        <f>IFERROR(__xludf.DUMMYFUNCTION("""COMPUTED_VALUE"""),"- 0,8 %")</f>
        <v>- 0,8 %</v>
      </c>
      <c r="D46" s="1" t="str">
        <f>IFERROR(__xludf.DUMMYFUNCTION("""COMPUTED_VALUE"""),"+ 0,6 %")</f>
        <v>+ 0,6 %</v>
      </c>
      <c r="E46" s="1" t="str">
        <f>IFERROR(__xludf.DUMMYFUNCTION("""COMPUTED_VALUE"""),"+ 10,9 %")</f>
        <v>+ 10,9 %</v>
      </c>
    </row>
    <row r="47">
      <c r="A47" s="2">
        <f>IFERROR(__xludf.DUMMYFUNCTION("""COMPUTED_VALUE"""),44805.0)</f>
        <v>44805</v>
      </c>
      <c r="B47" s="1" t="str">
        <f>IFERROR(__xludf.DUMMYFUNCTION("""COMPUTED_VALUE"""),"2.148 €/m2")</f>
        <v>2.148 €/m2</v>
      </c>
      <c r="C47" s="1" t="str">
        <f>IFERROR(__xludf.DUMMYFUNCTION("""COMPUTED_VALUE"""),"+ 0,2 %")</f>
        <v>+ 0,2 %</v>
      </c>
      <c r="D47" s="1" t="str">
        <f>IFERROR(__xludf.DUMMYFUNCTION("""COMPUTED_VALUE"""),"+ 3,7 %")</f>
        <v>+ 3,7 %</v>
      </c>
      <c r="E47" s="1" t="str">
        <f>IFERROR(__xludf.DUMMYFUNCTION("""COMPUTED_VALUE"""),"+ 11,8 %")</f>
        <v>+ 11,8 %</v>
      </c>
    </row>
    <row r="48">
      <c r="A48" s="2">
        <f>IFERROR(__xludf.DUMMYFUNCTION("""COMPUTED_VALUE"""),44774.0)</f>
        <v>44774</v>
      </c>
      <c r="B48" s="1" t="str">
        <f>IFERROR(__xludf.DUMMYFUNCTION("""COMPUTED_VALUE"""),"2.144 €/m2")</f>
        <v>2.144 €/m2</v>
      </c>
      <c r="C48" s="1" t="str">
        <f>IFERROR(__xludf.DUMMYFUNCTION("""COMPUTED_VALUE"""),"+ 1,3 %")</f>
        <v>+ 1,3 %</v>
      </c>
      <c r="D48" s="1" t="str">
        <f>IFERROR(__xludf.DUMMYFUNCTION("""COMPUTED_VALUE"""),"+ 6,2 %")</f>
        <v>+ 6,2 %</v>
      </c>
      <c r="E48" s="1" t="str">
        <f>IFERROR(__xludf.DUMMYFUNCTION("""COMPUTED_VALUE"""),"+ 12,1 %")</f>
        <v>+ 12,1 %</v>
      </c>
    </row>
    <row r="49">
      <c r="A49" s="2">
        <f>IFERROR(__xludf.DUMMYFUNCTION("""COMPUTED_VALUE"""),44743.0)</f>
        <v>44743</v>
      </c>
      <c r="B49" s="1" t="str">
        <f>IFERROR(__xludf.DUMMYFUNCTION("""COMPUTED_VALUE"""),"2.117 €/m2")</f>
        <v>2.117 €/m2</v>
      </c>
      <c r="C49" s="1" t="str">
        <f>IFERROR(__xludf.DUMMYFUNCTION("""COMPUTED_VALUE"""),"+ 2,2 %")</f>
        <v>+ 2,2 %</v>
      </c>
      <c r="D49" s="1" t="str">
        <f>IFERROR(__xludf.DUMMYFUNCTION("""COMPUTED_VALUE"""),"+ 6,5 %")</f>
        <v>+ 6,5 %</v>
      </c>
      <c r="E49" s="1" t="str">
        <f>IFERROR(__xludf.DUMMYFUNCTION("""COMPUTED_VALUE"""),"+ 10,8 %")</f>
        <v>+ 10,8 %</v>
      </c>
    </row>
    <row r="50">
      <c r="A50" s="2">
        <f>IFERROR(__xludf.DUMMYFUNCTION("""COMPUTED_VALUE"""),44713.0)</f>
        <v>44713</v>
      </c>
      <c r="B50" s="1" t="str">
        <f>IFERROR(__xludf.DUMMYFUNCTION("""COMPUTED_VALUE"""),"2.071 €/m2")</f>
        <v>2.071 €/m2</v>
      </c>
      <c r="C50" s="1" t="str">
        <f>IFERROR(__xludf.DUMMYFUNCTION("""COMPUTED_VALUE"""),"+ 2,6 %")</f>
        <v>+ 2,6 %</v>
      </c>
      <c r="D50" s="1" t="str">
        <f>IFERROR(__xludf.DUMMYFUNCTION("""COMPUTED_VALUE"""),"+ 6,2 %")</f>
        <v>+ 6,2 %</v>
      </c>
      <c r="E50" s="1" t="str">
        <f>IFERROR(__xludf.DUMMYFUNCTION("""COMPUTED_VALUE"""),"+ 7,8 %")</f>
        <v>+ 7,8 %</v>
      </c>
    </row>
    <row r="51">
      <c r="A51" s="2">
        <f>IFERROR(__xludf.DUMMYFUNCTION("""COMPUTED_VALUE"""),44682.0)</f>
        <v>44682</v>
      </c>
      <c r="B51" s="1" t="str">
        <f>IFERROR(__xludf.DUMMYFUNCTION("""COMPUTED_VALUE"""),"2.019 €/m2")</f>
        <v>2.019 €/m2</v>
      </c>
      <c r="C51" s="1" t="str">
        <f>IFERROR(__xludf.DUMMYFUNCTION("""COMPUTED_VALUE"""),"+ 1,5 %")</f>
        <v>+ 1,5 %</v>
      </c>
      <c r="D51" s="1" t="str">
        <f>IFERROR(__xludf.DUMMYFUNCTION("""COMPUTED_VALUE"""),"+ 4,0 %")</f>
        <v>+ 4,0 %</v>
      </c>
      <c r="E51" s="1" t="str">
        <f>IFERROR(__xludf.DUMMYFUNCTION("""COMPUTED_VALUE"""),"+ 5,8 %")</f>
        <v>+ 5,8 %</v>
      </c>
    </row>
    <row r="52">
      <c r="A52" s="2">
        <f>IFERROR(__xludf.DUMMYFUNCTION("""COMPUTED_VALUE"""),44652.0)</f>
        <v>44652</v>
      </c>
      <c r="B52" s="1" t="str">
        <f>IFERROR(__xludf.DUMMYFUNCTION("""COMPUTED_VALUE"""),"1.988 €/m2")</f>
        <v>1.988 €/m2</v>
      </c>
      <c r="C52" s="1" t="str">
        <f>IFERROR(__xludf.DUMMYFUNCTION("""COMPUTED_VALUE"""),"+ 2,0 %")</f>
        <v>+ 2,0 %</v>
      </c>
      <c r="D52" s="1" t="str">
        <f>IFERROR(__xludf.DUMMYFUNCTION("""COMPUTED_VALUE"""),"+ 2,4 %")</f>
        <v>+ 2,4 %</v>
      </c>
      <c r="E52" s="1" t="str">
        <f>IFERROR(__xludf.DUMMYFUNCTION("""COMPUTED_VALUE"""),"+ 5,9 %")</f>
        <v>+ 5,9 %</v>
      </c>
    </row>
    <row r="53">
      <c r="A53" s="2">
        <f>IFERROR(__xludf.DUMMYFUNCTION("""COMPUTED_VALUE"""),44621.0)</f>
        <v>44621</v>
      </c>
      <c r="B53" s="1" t="str">
        <f>IFERROR(__xludf.DUMMYFUNCTION("""COMPUTED_VALUE"""),"1.950 €/m2")</f>
        <v>1.950 €/m2</v>
      </c>
      <c r="C53" s="1" t="str">
        <f>IFERROR(__xludf.DUMMYFUNCTION("""COMPUTED_VALUE"""),"+ 0,5 %")</f>
        <v>+ 0,5 %</v>
      </c>
      <c r="D53" s="1" t="str">
        <f>IFERROR(__xludf.DUMMYFUNCTION("""COMPUTED_VALUE"""),"+ 1,2 %")</f>
        <v>+ 1,2 %</v>
      </c>
      <c r="E53" s="1" t="str">
        <f>IFERROR(__xludf.DUMMYFUNCTION("""COMPUTED_VALUE"""),"+ 4,3 %")</f>
        <v>+ 4,3 %</v>
      </c>
    </row>
    <row r="54">
      <c r="A54" s="2">
        <f>IFERROR(__xludf.DUMMYFUNCTION("""COMPUTED_VALUE"""),44593.0)</f>
        <v>44593</v>
      </c>
      <c r="B54" s="1" t="str">
        <f>IFERROR(__xludf.DUMMYFUNCTION("""COMPUTED_VALUE"""),"1.941 €/m2")</f>
        <v>1.941 €/m2</v>
      </c>
      <c r="C54" s="1" t="str">
        <f>IFERROR(__xludf.DUMMYFUNCTION("""COMPUTED_VALUE"""),"0,0 %")</f>
        <v>0,0 %</v>
      </c>
      <c r="D54" s="1" t="str">
        <f>IFERROR(__xludf.DUMMYFUNCTION("""COMPUTED_VALUE"""),"+ 1,0 %")</f>
        <v>+ 1,0 %</v>
      </c>
      <c r="E54" s="1" t="str">
        <f>IFERROR(__xludf.DUMMYFUNCTION("""COMPUTED_VALUE"""),"+ 3,5 %")</f>
        <v>+ 3,5 %</v>
      </c>
    </row>
    <row r="55">
      <c r="A55" s="2">
        <f>IFERROR(__xludf.DUMMYFUNCTION("""COMPUTED_VALUE"""),44562.0)</f>
        <v>44562</v>
      </c>
      <c r="B55" s="1" t="str">
        <f>IFERROR(__xludf.DUMMYFUNCTION("""COMPUTED_VALUE"""),"1.941 €/m2")</f>
        <v>1.941 €/m2</v>
      </c>
      <c r="C55" s="1" t="str">
        <f>IFERROR(__xludf.DUMMYFUNCTION("""COMPUTED_VALUE"""),"+ 0,7 %")</f>
        <v>+ 0,7 %</v>
      </c>
      <c r="D55" s="1" t="str">
        <f>IFERROR(__xludf.DUMMYFUNCTION("""COMPUTED_VALUE"""),"+ 1,0 %")</f>
        <v>+ 1,0 %</v>
      </c>
      <c r="E55" s="1" t="str">
        <f>IFERROR(__xludf.DUMMYFUNCTION("""COMPUTED_VALUE"""),"+ 4,2 %")</f>
        <v>+ 4,2 %</v>
      </c>
    </row>
    <row r="56">
      <c r="A56" s="2">
        <f>IFERROR(__xludf.DUMMYFUNCTION("""COMPUTED_VALUE"""),44531.0)</f>
        <v>44531</v>
      </c>
      <c r="B56" s="1" t="str">
        <f>IFERROR(__xludf.DUMMYFUNCTION("""COMPUTED_VALUE"""),"1.928 €/m2")</f>
        <v>1.928 €/m2</v>
      </c>
      <c r="C56" s="1" t="str">
        <f>IFERROR(__xludf.DUMMYFUNCTION("""COMPUTED_VALUE"""),"+ 0,3 %")</f>
        <v>+ 0,3 %</v>
      </c>
      <c r="D56" s="1" t="str">
        <f>IFERROR(__xludf.DUMMYFUNCTION("""COMPUTED_VALUE"""),"+ 0,3 %")</f>
        <v>+ 0,3 %</v>
      </c>
      <c r="E56" s="1" t="str">
        <f>IFERROR(__xludf.DUMMYFUNCTION("""COMPUTED_VALUE"""),"+ 2,7 %")</f>
        <v>+ 2,7 %</v>
      </c>
    </row>
    <row r="57">
      <c r="A57" s="2">
        <f>IFERROR(__xludf.DUMMYFUNCTION("""COMPUTED_VALUE"""),44501.0)</f>
        <v>44501</v>
      </c>
      <c r="B57" s="1" t="str">
        <f>IFERROR(__xludf.DUMMYFUNCTION("""COMPUTED_VALUE"""),"1.923 €/m2")</f>
        <v>1.923 €/m2</v>
      </c>
      <c r="C57" s="1" t="str">
        <f>IFERROR(__xludf.DUMMYFUNCTION("""COMPUTED_VALUE"""),"+ 0,1 %")</f>
        <v>+ 0,1 %</v>
      </c>
      <c r="D57" s="1" t="str">
        <f>IFERROR(__xludf.DUMMYFUNCTION("""COMPUTED_VALUE"""),"+ 0,6 %")</f>
        <v>+ 0,6 %</v>
      </c>
      <c r="E57" s="1" t="str">
        <f>IFERROR(__xludf.DUMMYFUNCTION("""COMPUTED_VALUE"""),"+ 2,3 %")</f>
        <v>+ 2,3 %</v>
      </c>
    </row>
    <row r="58">
      <c r="A58" s="2">
        <f>IFERROR(__xludf.DUMMYFUNCTION("""COMPUTED_VALUE"""),44470.0)</f>
        <v>44470</v>
      </c>
      <c r="B58" s="1" t="str">
        <f>IFERROR(__xludf.DUMMYFUNCTION("""COMPUTED_VALUE"""),"1.921 €/m2")</f>
        <v>1.921 €/m2</v>
      </c>
      <c r="C58" s="1" t="str">
        <f>IFERROR(__xludf.DUMMYFUNCTION("""COMPUTED_VALUE"""),"0,0 %")</f>
        <v>0,0 %</v>
      </c>
      <c r="D58" s="1" t="str">
        <f>IFERROR(__xludf.DUMMYFUNCTION("""COMPUTED_VALUE"""),"+ 0,5 %")</f>
        <v>+ 0,5 %</v>
      </c>
      <c r="E58" s="1" t="str">
        <f>IFERROR(__xludf.DUMMYFUNCTION("""COMPUTED_VALUE"""),"+ 1,7 %")</f>
        <v>+ 1,7 %</v>
      </c>
    </row>
    <row r="59">
      <c r="A59" s="2">
        <f>IFERROR(__xludf.DUMMYFUNCTION("""COMPUTED_VALUE"""),44440.0)</f>
        <v>44440</v>
      </c>
      <c r="B59" s="1" t="str">
        <f>IFERROR(__xludf.DUMMYFUNCTION("""COMPUTED_VALUE"""),"1.922 €/m2")</f>
        <v>1.922 €/m2</v>
      </c>
      <c r="C59" s="1" t="str">
        <f>IFERROR(__xludf.DUMMYFUNCTION("""COMPUTED_VALUE"""),"+ 0,5 %")</f>
        <v>+ 0,5 %</v>
      </c>
      <c r="D59" s="1" t="str">
        <f>IFERROR(__xludf.DUMMYFUNCTION("""COMPUTED_VALUE"""),"+ 0,1 %")</f>
        <v>+ 0,1 %</v>
      </c>
      <c r="E59" s="1" t="str">
        <f>IFERROR(__xludf.DUMMYFUNCTION("""COMPUTED_VALUE"""),"+ 1,7 %")</f>
        <v>+ 1,7 %</v>
      </c>
    </row>
    <row r="60">
      <c r="A60" s="2">
        <f>IFERROR(__xludf.DUMMYFUNCTION("""COMPUTED_VALUE"""),44409.0)</f>
        <v>44409</v>
      </c>
      <c r="B60" s="1" t="str">
        <f>IFERROR(__xludf.DUMMYFUNCTION("""COMPUTED_VALUE"""),"1.912 €/m2")</f>
        <v>1.912 €/m2</v>
      </c>
      <c r="C60" s="1" t="str">
        <f>IFERROR(__xludf.DUMMYFUNCTION("""COMPUTED_VALUE"""),"0,0 %")</f>
        <v>0,0 %</v>
      </c>
      <c r="D60" s="1" t="str">
        <f>IFERROR(__xludf.DUMMYFUNCTION("""COMPUTED_VALUE"""),"+ 0,2 %")</f>
        <v>+ 0,2 %</v>
      </c>
      <c r="E60" s="1" t="str">
        <f>IFERROR(__xludf.DUMMYFUNCTION("""COMPUTED_VALUE"""),"+ 0,9 %")</f>
        <v>+ 0,9 %</v>
      </c>
    </row>
    <row r="61">
      <c r="A61" s="2">
        <f>IFERROR(__xludf.DUMMYFUNCTION("""COMPUTED_VALUE"""),44378.0)</f>
        <v>44378</v>
      </c>
      <c r="B61" s="1" t="str">
        <f>IFERROR(__xludf.DUMMYFUNCTION("""COMPUTED_VALUE"""),"1.911 €/m2")</f>
        <v>1.911 €/m2</v>
      </c>
      <c r="C61" s="1" t="str">
        <f>IFERROR(__xludf.DUMMYFUNCTION("""COMPUTED_VALUE"""),"- 0,5 %")</f>
        <v>- 0,5 %</v>
      </c>
      <c r="D61" s="1" t="str">
        <f>IFERROR(__xludf.DUMMYFUNCTION("""COMPUTED_VALUE"""),"+ 1,8 %")</f>
        <v>+ 1,8 %</v>
      </c>
      <c r="E61" s="1" t="str">
        <f>IFERROR(__xludf.DUMMYFUNCTION("""COMPUTED_VALUE"""),"+ 0,1 %")</f>
        <v>+ 0,1 %</v>
      </c>
    </row>
    <row r="62">
      <c r="A62" s="2">
        <f>IFERROR(__xludf.DUMMYFUNCTION("""COMPUTED_VALUE"""),44348.0)</f>
        <v>44348</v>
      </c>
      <c r="B62" s="1" t="str">
        <f>IFERROR(__xludf.DUMMYFUNCTION("""COMPUTED_VALUE"""),"1.921 €/m2")</f>
        <v>1.921 €/m2</v>
      </c>
      <c r="C62" s="1" t="str">
        <f>IFERROR(__xludf.DUMMYFUNCTION("""COMPUTED_VALUE"""),"+ 0,6 %")</f>
        <v>+ 0,6 %</v>
      </c>
      <c r="D62" s="1" t="str">
        <f>IFERROR(__xludf.DUMMYFUNCTION("""COMPUTED_VALUE"""),"+ 2,7 %")</f>
        <v>+ 2,7 %</v>
      </c>
      <c r="E62" s="1" t="str">
        <f>IFERROR(__xludf.DUMMYFUNCTION("""COMPUTED_VALUE"""),"- 0,2 %")</f>
        <v>- 0,2 %</v>
      </c>
    </row>
    <row r="63">
      <c r="A63" s="2">
        <f>IFERROR(__xludf.DUMMYFUNCTION("""COMPUTED_VALUE"""),44317.0)</f>
        <v>44317</v>
      </c>
      <c r="B63" s="1" t="str">
        <f>IFERROR(__xludf.DUMMYFUNCTION("""COMPUTED_VALUE"""),"1.909 €/m2")</f>
        <v>1.909 €/m2</v>
      </c>
      <c r="C63" s="1" t="str">
        <f>IFERROR(__xludf.DUMMYFUNCTION("""COMPUTED_VALUE"""),"+ 1,7 %")</f>
        <v>+ 1,7 %</v>
      </c>
      <c r="D63" s="1" t="str">
        <f>IFERROR(__xludf.DUMMYFUNCTION("""COMPUTED_VALUE"""),"+ 1,8 %")</f>
        <v>+ 1,8 %</v>
      </c>
      <c r="E63" s="1" t="str">
        <f>IFERROR(__xludf.DUMMYFUNCTION("""COMPUTED_VALUE"""),"- 1,8 %")</f>
        <v>- 1,8 %</v>
      </c>
    </row>
    <row r="64">
      <c r="A64" s="2">
        <f>IFERROR(__xludf.DUMMYFUNCTION("""COMPUTED_VALUE"""),44287.0)</f>
        <v>44287</v>
      </c>
      <c r="B64" s="1" t="str">
        <f>IFERROR(__xludf.DUMMYFUNCTION("""COMPUTED_VALUE"""),"1.877 €/m2")</f>
        <v>1.877 €/m2</v>
      </c>
      <c r="C64" s="1" t="str">
        <f>IFERROR(__xludf.DUMMYFUNCTION("""COMPUTED_VALUE"""),"+ 0,4 %")</f>
        <v>+ 0,4 %</v>
      </c>
      <c r="D64" s="1" t="str">
        <f>IFERROR(__xludf.DUMMYFUNCTION("""COMPUTED_VALUE"""),"+ 0,7 %")</f>
        <v>+ 0,7 %</v>
      </c>
      <c r="E64" s="1" t="str">
        <f>IFERROR(__xludf.DUMMYFUNCTION("""COMPUTED_VALUE"""),"- 2,9 %")</f>
        <v>- 2,9 %</v>
      </c>
    </row>
    <row r="65">
      <c r="A65" s="2">
        <f>IFERROR(__xludf.DUMMYFUNCTION("""COMPUTED_VALUE"""),44256.0)</f>
        <v>44256</v>
      </c>
      <c r="B65" s="1" t="str">
        <f>IFERROR(__xludf.DUMMYFUNCTION("""COMPUTED_VALUE"""),"1.869 €/m2")</f>
        <v>1.869 €/m2</v>
      </c>
      <c r="C65" s="1" t="str">
        <f>IFERROR(__xludf.DUMMYFUNCTION("""COMPUTED_VALUE"""),"- 0,3 %")</f>
        <v>- 0,3 %</v>
      </c>
      <c r="D65" s="1" t="str">
        <f>IFERROR(__xludf.DUMMYFUNCTION("""COMPUTED_VALUE"""),"- 0,4 %")</f>
        <v>- 0,4 %</v>
      </c>
      <c r="E65" s="1" t="str">
        <f>IFERROR(__xludf.DUMMYFUNCTION("""COMPUTED_VALUE"""),"- 3,6 %")</f>
        <v>- 3,6 %</v>
      </c>
    </row>
    <row r="66">
      <c r="A66" s="2">
        <f>IFERROR(__xludf.DUMMYFUNCTION("""COMPUTED_VALUE"""),44228.0)</f>
        <v>44228</v>
      </c>
      <c r="B66" s="1" t="str">
        <f>IFERROR(__xludf.DUMMYFUNCTION("""COMPUTED_VALUE"""),"1.875 €/m2")</f>
        <v>1.875 €/m2</v>
      </c>
      <c r="C66" s="1" t="str">
        <f>IFERROR(__xludf.DUMMYFUNCTION("""COMPUTED_VALUE"""),"+ 0,6 %")</f>
        <v>+ 0,6 %</v>
      </c>
      <c r="D66" s="1" t="str">
        <f>IFERROR(__xludf.DUMMYFUNCTION("""COMPUTED_VALUE"""),"- 0,2 %")</f>
        <v>- 0,2 %</v>
      </c>
      <c r="E66" s="1" t="str">
        <f>IFERROR(__xludf.DUMMYFUNCTION("""COMPUTED_VALUE"""),"- 3,5 %")</f>
        <v>- 3,5 %</v>
      </c>
    </row>
    <row r="67">
      <c r="A67" s="2">
        <f>IFERROR(__xludf.DUMMYFUNCTION("""COMPUTED_VALUE"""),44197.0)</f>
        <v>44197</v>
      </c>
      <c r="B67" s="1" t="str">
        <f>IFERROR(__xludf.DUMMYFUNCTION("""COMPUTED_VALUE"""),"1.863 €/m2")</f>
        <v>1.863 €/m2</v>
      </c>
      <c r="C67" s="1" t="str">
        <f>IFERROR(__xludf.DUMMYFUNCTION("""COMPUTED_VALUE"""),"- 0,8 %")</f>
        <v>- 0,8 %</v>
      </c>
      <c r="D67" s="1" t="str">
        <f>IFERROR(__xludf.DUMMYFUNCTION("""COMPUTED_VALUE"""),"- 1,4 %")</f>
        <v>- 1,4 %</v>
      </c>
      <c r="E67" s="1" t="str">
        <f>IFERROR(__xludf.DUMMYFUNCTION("""COMPUTED_VALUE"""),"- 4,5 %")</f>
        <v>- 4,5 %</v>
      </c>
    </row>
    <row r="68">
      <c r="A68" s="2">
        <f>IFERROR(__xludf.DUMMYFUNCTION("""COMPUTED_VALUE"""),44166.0)</f>
        <v>44166</v>
      </c>
      <c r="B68" s="1" t="str">
        <f>IFERROR(__xludf.DUMMYFUNCTION("""COMPUTED_VALUE"""),"1.877 €/m2")</f>
        <v>1.877 €/m2</v>
      </c>
      <c r="C68" s="1" t="str">
        <f>IFERROR(__xludf.DUMMYFUNCTION("""COMPUTED_VALUE"""),"- 0,1 %")</f>
        <v>- 0,1 %</v>
      </c>
      <c r="D68" s="1" t="str">
        <f>IFERROR(__xludf.DUMMYFUNCTION("""COMPUTED_VALUE"""),"- 0,6 %")</f>
        <v>- 0,6 %</v>
      </c>
      <c r="E68" s="1" t="str">
        <f>IFERROR(__xludf.DUMMYFUNCTION("""COMPUTED_VALUE"""),"- 4,8 %")</f>
        <v>- 4,8 %</v>
      </c>
    </row>
    <row r="69">
      <c r="A69" s="2">
        <f>IFERROR(__xludf.DUMMYFUNCTION("""COMPUTED_VALUE"""),44136.0)</f>
        <v>44136</v>
      </c>
      <c r="B69" s="1" t="str">
        <f>IFERROR(__xludf.DUMMYFUNCTION("""COMPUTED_VALUE"""),"1.879 €/m2")</f>
        <v>1.879 €/m2</v>
      </c>
      <c r="C69" s="1" t="str">
        <f>IFERROR(__xludf.DUMMYFUNCTION("""COMPUTED_VALUE"""),"- 0,6 %")</f>
        <v>- 0,6 %</v>
      </c>
      <c r="D69" s="1" t="str">
        <f>IFERROR(__xludf.DUMMYFUNCTION("""COMPUTED_VALUE"""),"- 0,8 %")</f>
        <v>- 0,8 %</v>
      </c>
      <c r="E69" s="1" t="str">
        <f>IFERROR(__xludf.DUMMYFUNCTION("""COMPUTED_VALUE"""),"- 4,8 %")</f>
        <v>- 4,8 %</v>
      </c>
    </row>
    <row r="70">
      <c r="A70" s="2">
        <f>IFERROR(__xludf.DUMMYFUNCTION("""COMPUTED_VALUE"""),44105.0)</f>
        <v>44105</v>
      </c>
      <c r="B70" s="1" t="str">
        <f>IFERROR(__xludf.DUMMYFUNCTION("""COMPUTED_VALUE"""),"1.890 €/m2")</f>
        <v>1.890 €/m2</v>
      </c>
      <c r="C70" s="1" t="str">
        <f>IFERROR(__xludf.DUMMYFUNCTION("""COMPUTED_VALUE"""),"0,0 %")</f>
        <v>0,0 %</v>
      </c>
      <c r="D70" s="1" t="str">
        <f>IFERROR(__xludf.DUMMYFUNCTION("""COMPUTED_VALUE"""),"- 1,0 %")</f>
        <v>- 1,0 %</v>
      </c>
      <c r="E70" s="1" t="str">
        <f>IFERROR(__xludf.DUMMYFUNCTION("""COMPUTED_VALUE"""),"- 4,0 %")</f>
        <v>- 4,0 %</v>
      </c>
    </row>
    <row r="71">
      <c r="A71" s="2">
        <f>IFERROR(__xludf.DUMMYFUNCTION("""COMPUTED_VALUE"""),44075.0)</f>
        <v>44075</v>
      </c>
      <c r="B71" s="1" t="str">
        <f>IFERROR(__xludf.DUMMYFUNCTION("""COMPUTED_VALUE"""),"1.890 €/m2")</f>
        <v>1.890 €/m2</v>
      </c>
      <c r="C71" s="1" t="str">
        <f>IFERROR(__xludf.DUMMYFUNCTION("""COMPUTED_VALUE"""),"- 0,2 %")</f>
        <v>- 0,2 %</v>
      </c>
      <c r="D71" s="1" t="str">
        <f>IFERROR(__xludf.DUMMYFUNCTION("""COMPUTED_VALUE"""),"- 1,8 %")</f>
        <v>- 1,8 %</v>
      </c>
      <c r="E71" s="1" t="str">
        <f>IFERROR(__xludf.DUMMYFUNCTION("""COMPUTED_VALUE"""),"- 3,1 %")</f>
        <v>- 3,1 %</v>
      </c>
    </row>
    <row r="72">
      <c r="A72" s="2">
        <f>IFERROR(__xludf.DUMMYFUNCTION("""COMPUTED_VALUE"""),44044.0)</f>
        <v>44044</v>
      </c>
      <c r="B72" s="1" t="str">
        <f>IFERROR(__xludf.DUMMYFUNCTION("""COMPUTED_VALUE"""),"1.894 €/m2")</f>
        <v>1.894 €/m2</v>
      </c>
      <c r="C72" s="1" t="str">
        <f>IFERROR(__xludf.DUMMYFUNCTION("""COMPUTED_VALUE"""),"- 0,8 %")</f>
        <v>- 0,8 %</v>
      </c>
      <c r="D72" s="1" t="str">
        <f>IFERROR(__xludf.DUMMYFUNCTION("""COMPUTED_VALUE"""),"- 2,6 %")</f>
        <v>- 2,6 %</v>
      </c>
      <c r="E72" s="1" t="str">
        <f>IFERROR(__xludf.DUMMYFUNCTION("""COMPUTED_VALUE"""),"- 1,6 %")</f>
        <v>- 1,6 %</v>
      </c>
    </row>
    <row r="73">
      <c r="A73" s="2">
        <f>IFERROR(__xludf.DUMMYFUNCTION("""COMPUTED_VALUE"""),44013.0)</f>
        <v>44013</v>
      </c>
      <c r="B73" s="1" t="str">
        <f>IFERROR(__xludf.DUMMYFUNCTION("""COMPUTED_VALUE"""),"1.909 €/m2")</f>
        <v>1.909 €/m2</v>
      </c>
      <c r="C73" s="1" t="str">
        <f>IFERROR(__xludf.DUMMYFUNCTION("""COMPUTED_VALUE"""),"- 0,8 %")</f>
        <v>- 0,8 %</v>
      </c>
      <c r="D73" s="1" t="str">
        <f>IFERROR(__xludf.DUMMYFUNCTION("""COMPUTED_VALUE"""),"- 1,2 %")</f>
        <v>- 1,2 %</v>
      </c>
      <c r="E73" s="1" t="str">
        <f>IFERROR(__xludf.DUMMYFUNCTION("""COMPUTED_VALUE"""),"- 0,6 %")</f>
        <v>- 0,6 %</v>
      </c>
    </row>
    <row r="74">
      <c r="A74" s="2">
        <f>IFERROR(__xludf.DUMMYFUNCTION("""COMPUTED_VALUE"""),43983.0)</f>
        <v>43983</v>
      </c>
      <c r="B74" s="1" t="str">
        <f>IFERROR(__xludf.DUMMYFUNCTION("""COMPUTED_VALUE"""),"1.925 €/m2")</f>
        <v>1.925 €/m2</v>
      </c>
      <c r="C74" s="1" t="str">
        <f>IFERROR(__xludf.DUMMYFUNCTION("""COMPUTED_VALUE"""),"- 1,0 %")</f>
        <v>- 1,0 %</v>
      </c>
      <c r="D74" s="1" t="str">
        <f>IFERROR(__xludf.DUMMYFUNCTION("""COMPUTED_VALUE"""),"- 0,7 %")</f>
        <v>- 0,7 %</v>
      </c>
      <c r="E74" s="1" t="str">
        <f>IFERROR(__xludf.DUMMYFUNCTION("""COMPUTED_VALUE"""),"+ 0,7 %")</f>
        <v>+ 0,7 %</v>
      </c>
    </row>
    <row r="75">
      <c r="A75" s="2">
        <f>IFERROR(__xludf.DUMMYFUNCTION("""COMPUTED_VALUE"""),43952.0)</f>
        <v>43952</v>
      </c>
      <c r="B75" s="1" t="str">
        <f>IFERROR(__xludf.DUMMYFUNCTION("""COMPUTED_VALUE"""),"1.944 €/m2")</f>
        <v>1.944 €/m2</v>
      </c>
      <c r="C75" s="1" t="str">
        <f>IFERROR(__xludf.DUMMYFUNCTION("""COMPUTED_VALUE"""),"+ 0,6 %")</f>
        <v>+ 0,6 %</v>
      </c>
      <c r="D75" s="1" t="str">
        <f>IFERROR(__xludf.DUMMYFUNCTION("""COMPUTED_VALUE"""),"0,0 %")</f>
        <v>0,0 %</v>
      </c>
      <c r="E75" s="1" t="str">
        <f>IFERROR(__xludf.DUMMYFUNCTION("""COMPUTED_VALUE"""),"+ 1,6 %")</f>
        <v>+ 1,6 %</v>
      </c>
    </row>
    <row r="76">
      <c r="A76" s="2">
        <f>IFERROR(__xludf.DUMMYFUNCTION("""COMPUTED_VALUE"""),43922.0)</f>
        <v>43922</v>
      </c>
      <c r="B76" s="1" t="str">
        <f>IFERROR(__xludf.DUMMYFUNCTION("""COMPUTED_VALUE"""),"1.932 €/m2")</f>
        <v>1.932 €/m2</v>
      </c>
      <c r="C76" s="1" t="str">
        <f>IFERROR(__xludf.DUMMYFUNCTION("""COMPUTED_VALUE"""),"- 0,3 %")</f>
        <v>- 0,3 %</v>
      </c>
      <c r="D76" s="1" t="str">
        <f>IFERROR(__xludf.DUMMYFUNCTION("""COMPUTED_VALUE"""),"- 0,9 %")</f>
        <v>- 0,9 %</v>
      </c>
      <c r="E76" s="1" t="str">
        <f>IFERROR(__xludf.DUMMYFUNCTION("""COMPUTED_VALUE"""),"+ 2,0 %")</f>
        <v>+ 2,0 %</v>
      </c>
    </row>
    <row r="77">
      <c r="A77" s="2">
        <f>IFERROR(__xludf.DUMMYFUNCTION("""COMPUTED_VALUE"""),43891.0)</f>
        <v>43891</v>
      </c>
      <c r="B77" s="1" t="str">
        <f>IFERROR(__xludf.DUMMYFUNCTION("""COMPUTED_VALUE"""),"1.939 €/m2")</f>
        <v>1.939 €/m2</v>
      </c>
      <c r="C77" s="1" t="str">
        <f>IFERROR(__xludf.DUMMYFUNCTION("""COMPUTED_VALUE"""),"- 0,2 %")</f>
        <v>- 0,2 %</v>
      </c>
      <c r="D77" s="1" t="str">
        <f>IFERROR(__xludf.DUMMYFUNCTION("""COMPUTED_VALUE"""),"- 1,6 %")</f>
        <v>- 1,6 %</v>
      </c>
      <c r="E77" s="1" t="str">
        <f>IFERROR(__xludf.DUMMYFUNCTION("""COMPUTED_VALUE"""),"+ 2,9 %")</f>
        <v>+ 2,9 %</v>
      </c>
    </row>
    <row r="78">
      <c r="A78" s="2">
        <f>IFERROR(__xludf.DUMMYFUNCTION("""COMPUTED_VALUE"""),43862.0)</f>
        <v>43862</v>
      </c>
      <c r="B78" s="1" t="str">
        <f>IFERROR(__xludf.DUMMYFUNCTION("""COMPUTED_VALUE"""),"1.944 €/m2")</f>
        <v>1.944 €/m2</v>
      </c>
      <c r="C78" s="1" t="str">
        <f>IFERROR(__xludf.DUMMYFUNCTION("""COMPUTED_VALUE"""),"- 0,4 %")</f>
        <v>- 0,4 %</v>
      </c>
      <c r="D78" s="1" t="str">
        <f>IFERROR(__xludf.DUMMYFUNCTION("""COMPUTED_VALUE"""),"- 1,6 %")</f>
        <v>- 1,6 %</v>
      </c>
      <c r="E78" s="1" t="str">
        <f>IFERROR(__xludf.DUMMYFUNCTION("""COMPUTED_VALUE"""),"+ 3,3 %")</f>
        <v>+ 3,3 %</v>
      </c>
    </row>
    <row r="79">
      <c r="A79" s="2">
        <f>IFERROR(__xludf.DUMMYFUNCTION("""COMPUTED_VALUE"""),43831.0)</f>
        <v>43831</v>
      </c>
      <c r="B79" s="1" t="str">
        <f>IFERROR(__xludf.DUMMYFUNCTION("""COMPUTED_VALUE"""),"1.951 €/m2")</f>
        <v>1.951 €/m2</v>
      </c>
      <c r="C79" s="1" t="str">
        <f>IFERROR(__xludf.DUMMYFUNCTION("""COMPUTED_VALUE"""),"- 1,1 %")</f>
        <v>- 1,1 %</v>
      </c>
      <c r="D79" s="1" t="str">
        <f>IFERROR(__xludf.DUMMYFUNCTION("""COMPUTED_VALUE"""),"- 0,9 %")</f>
        <v>- 0,9 %</v>
      </c>
      <c r="E79" s="1" t="str">
        <f>IFERROR(__xludf.DUMMYFUNCTION("""COMPUTED_VALUE"""),"+ 3,9 %")</f>
        <v>+ 3,9 %</v>
      </c>
    </row>
    <row r="80">
      <c r="A80" s="2">
        <f>IFERROR(__xludf.DUMMYFUNCTION("""COMPUTED_VALUE"""),43800.0)</f>
        <v>43800</v>
      </c>
      <c r="B80" s="1" t="str">
        <f>IFERROR(__xludf.DUMMYFUNCTION("""COMPUTED_VALUE"""),"1.971 €/m2")</f>
        <v>1.971 €/m2</v>
      </c>
      <c r="C80" s="1" t="str">
        <f>IFERROR(__xludf.DUMMYFUNCTION("""COMPUTED_VALUE"""),"- 0,2 %")</f>
        <v>- 0,2 %</v>
      </c>
      <c r="D80" s="1" t="str">
        <f>IFERROR(__xludf.DUMMYFUNCTION("""COMPUTED_VALUE"""),"+ 1,1 %")</f>
        <v>+ 1,1 %</v>
      </c>
      <c r="E80" s="1" t="str">
        <f>IFERROR(__xludf.DUMMYFUNCTION("""COMPUTED_VALUE"""),"+ 6,7 %")</f>
        <v>+ 6,7 %</v>
      </c>
    </row>
    <row r="81">
      <c r="A81" s="2">
        <f>IFERROR(__xludf.DUMMYFUNCTION("""COMPUTED_VALUE"""),43770.0)</f>
        <v>43770</v>
      </c>
      <c r="B81" s="1" t="str">
        <f>IFERROR(__xludf.DUMMYFUNCTION("""COMPUTED_VALUE"""),"1.975 €/m2")</f>
        <v>1.975 €/m2</v>
      </c>
      <c r="C81" s="1" t="str">
        <f>IFERROR(__xludf.DUMMYFUNCTION("""COMPUTED_VALUE"""),"+ 0,3 %")</f>
        <v>+ 0,3 %</v>
      </c>
      <c r="D81" s="1" t="str">
        <f>IFERROR(__xludf.DUMMYFUNCTION("""COMPUTED_VALUE"""),"+ 2,6 %")</f>
        <v>+ 2,6 %</v>
      </c>
      <c r="E81" s="1" t="str">
        <f>IFERROR(__xludf.DUMMYFUNCTION("""COMPUTED_VALUE"""),"+ 7,8 %")</f>
        <v>+ 7,8 %</v>
      </c>
    </row>
    <row r="82">
      <c r="A82" s="2">
        <f>IFERROR(__xludf.DUMMYFUNCTION("""COMPUTED_VALUE"""),43739.0)</f>
        <v>43739</v>
      </c>
      <c r="B82" s="1" t="str">
        <f>IFERROR(__xludf.DUMMYFUNCTION("""COMPUTED_VALUE"""),"1.968 €/m2")</f>
        <v>1.968 €/m2</v>
      </c>
      <c r="C82" s="1" t="str">
        <f>IFERROR(__xludf.DUMMYFUNCTION("""COMPUTED_VALUE"""),"+ 1,0 %")</f>
        <v>+ 1,0 %</v>
      </c>
      <c r="D82" s="1" t="str">
        <f>IFERROR(__xludf.DUMMYFUNCTION("""COMPUTED_VALUE"""),"+ 2,5 %")</f>
        <v>+ 2,5 %</v>
      </c>
      <c r="E82" s="1" t="str">
        <f>IFERROR(__xludf.DUMMYFUNCTION("""COMPUTED_VALUE"""),"+ 8,3 %")</f>
        <v>+ 8,3 %</v>
      </c>
    </row>
    <row r="83">
      <c r="A83" s="2">
        <f>IFERROR(__xludf.DUMMYFUNCTION("""COMPUTED_VALUE"""),43709.0)</f>
        <v>43709</v>
      </c>
      <c r="B83" s="1" t="str">
        <f>IFERROR(__xludf.DUMMYFUNCTION("""COMPUTED_VALUE"""),"1.949 €/m2")</f>
        <v>1.949 €/m2</v>
      </c>
      <c r="C83" s="1" t="str">
        <f>IFERROR(__xludf.DUMMYFUNCTION("""COMPUTED_VALUE"""),"+ 1,2 %")</f>
        <v>+ 1,2 %</v>
      </c>
      <c r="D83" s="1" t="str">
        <f>IFERROR(__xludf.DUMMYFUNCTION("""COMPUTED_VALUE"""),"+ 1,9 %")</f>
        <v>+ 1,9 %</v>
      </c>
      <c r="E83" s="1" t="str">
        <f>IFERROR(__xludf.DUMMYFUNCTION("""COMPUTED_VALUE"""),"+ 8,3 %")</f>
        <v>+ 8,3 %</v>
      </c>
    </row>
    <row r="84">
      <c r="A84" s="2">
        <f>IFERROR(__xludf.DUMMYFUNCTION("""COMPUTED_VALUE"""),43678.0)</f>
        <v>43678</v>
      </c>
      <c r="B84" s="1" t="str">
        <f>IFERROR(__xludf.DUMMYFUNCTION("""COMPUTED_VALUE"""),"1.925 €/m2")</f>
        <v>1.925 €/m2</v>
      </c>
      <c r="C84" s="1" t="str">
        <f>IFERROR(__xludf.DUMMYFUNCTION("""COMPUTED_VALUE"""),"+ 0,3 %")</f>
        <v>+ 0,3 %</v>
      </c>
      <c r="D84" s="1" t="str">
        <f>IFERROR(__xludf.DUMMYFUNCTION("""COMPUTED_VALUE"""),"+ 0,7 %")</f>
        <v>+ 0,7 %</v>
      </c>
      <c r="E84" s="1" t="str">
        <f>IFERROR(__xludf.DUMMYFUNCTION("""COMPUTED_VALUE"""),"+ 6,9 %")</f>
        <v>+ 6,9 %</v>
      </c>
    </row>
    <row r="85">
      <c r="A85" s="2">
        <f>IFERROR(__xludf.DUMMYFUNCTION("""COMPUTED_VALUE"""),43647.0)</f>
        <v>43647</v>
      </c>
      <c r="B85" s="1" t="str">
        <f>IFERROR(__xludf.DUMMYFUNCTION("""COMPUTED_VALUE"""),"1.919 €/m2")</f>
        <v>1.919 €/m2</v>
      </c>
      <c r="C85" s="1" t="str">
        <f>IFERROR(__xludf.DUMMYFUNCTION("""COMPUTED_VALUE"""),"+ 0,4 %")</f>
        <v>+ 0,4 %</v>
      </c>
      <c r="D85" s="1" t="str">
        <f>IFERROR(__xludf.DUMMYFUNCTION("""COMPUTED_VALUE"""),"+ 1,3 %")</f>
        <v>+ 1,3 %</v>
      </c>
      <c r="E85" s="1" t="str">
        <f>IFERROR(__xludf.DUMMYFUNCTION("""COMPUTED_VALUE"""),"+ 7,5 %")</f>
        <v>+ 7,5 %</v>
      </c>
    </row>
    <row r="86">
      <c r="A86" s="2">
        <f>IFERROR(__xludf.DUMMYFUNCTION("""COMPUTED_VALUE"""),43617.0)</f>
        <v>43617</v>
      </c>
      <c r="B86" s="1" t="str">
        <f>IFERROR(__xludf.DUMMYFUNCTION("""COMPUTED_VALUE"""),"1.912 €/m2")</f>
        <v>1.912 €/m2</v>
      </c>
      <c r="C86" s="1" t="str">
        <f>IFERROR(__xludf.DUMMYFUNCTION("""COMPUTED_VALUE"""),"0,0 %")</f>
        <v>0,0 %</v>
      </c>
      <c r="D86" s="1" t="str">
        <f>IFERROR(__xludf.DUMMYFUNCTION("""COMPUTED_VALUE"""),"+ 1,4 %")</f>
        <v>+ 1,4 %</v>
      </c>
      <c r="E86" s="1" t="str">
        <f>IFERROR(__xludf.DUMMYFUNCTION("""COMPUTED_VALUE"""),"+ 9,8 %")</f>
        <v>+ 9,8 %</v>
      </c>
    </row>
    <row r="87">
      <c r="A87" s="2">
        <f>IFERROR(__xludf.DUMMYFUNCTION("""COMPUTED_VALUE"""),43586.0)</f>
        <v>43586</v>
      </c>
      <c r="B87" s="1" t="str">
        <f>IFERROR(__xludf.DUMMYFUNCTION("""COMPUTED_VALUE"""),"1.913 €/m2")</f>
        <v>1.913 €/m2</v>
      </c>
      <c r="C87" s="1" t="str">
        <f>IFERROR(__xludf.DUMMYFUNCTION("""COMPUTED_VALUE"""),"+ 1,0 %")</f>
        <v>+ 1,0 %</v>
      </c>
      <c r="D87" s="1" t="str">
        <f>IFERROR(__xludf.DUMMYFUNCTION("""COMPUTED_VALUE"""),"+ 1,6 %")</f>
        <v>+ 1,6 %</v>
      </c>
      <c r="E87" s="1" t="str">
        <f>IFERROR(__xludf.DUMMYFUNCTION("""COMPUTED_VALUE"""),"+ 11,1 %")</f>
        <v>+ 11,1 %</v>
      </c>
    </row>
    <row r="88">
      <c r="A88" s="2">
        <f>IFERROR(__xludf.DUMMYFUNCTION("""COMPUTED_VALUE"""),43556.0)</f>
        <v>43556</v>
      </c>
      <c r="B88" s="1" t="str">
        <f>IFERROR(__xludf.DUMMYFUNCTION("""COMPUTED_VALUE"""),"1.894 €/m2")</f>
        <v>1.894 €/m2</v>
      </c>
      <c r="C88" s="1" t="str">
        <f>IFERROR(__xludf.DUMMYFUNCTION("""COMPUTED_VALUE"""),"+ 0,5 %")</f>
        <v>+ 0,5 %</v>
      </c>
      <c r="D88" s="1" t="str">
        <f>IFERROR(__xludf.DUMMYFUNCTION("""COMPUTED_VALUE"""),"+ 0,9 %")</f>
        <v>+ 0,9 %</v>
      </c>
      <c r="E88" s="1" t="str">
        <f>IFERROR(__xludf.DUMMYFUNCTION("""COMPUTED_VALUE"""),"+ 12,9 %")</f>
        <v>+ 12,9 %</v>
      </c>
    </row>
    <row r="89">
      <c r="A89" s="2">
        <f>IFERROR(__xludf.DUMMYFUNCTION("""COMPUTED_VALUE"""),43525.0)</f>
        <v>43525</v>
      </c>
      <c r="B89" s="1" t="str">
        <f>IFERROR(__xludf.DUMMYFUNCTION("""COMPUTED_VALUE"""),"1.885 €/m2")</f>
        <v>1.885 €/m2</v>
      </c>
      <c r="C89" s="1" t="str">
        <f>IFERROR(__xludf.DUMMYFUNCTION("""COMPUTED_VALUE"""),"+ 0,1 %")</f>
        <v>+ 0,1 %</v>
      </c>
      <c r="D89" s="1" t="str">
        <f>IFERROR(__xludf.DUMMYFUNCTION("""COMPUTED_VALUE"""),"+ 2,0 %")</f>
        <v>+ 2,0 %</v>
      </c>
      <c r="E89" s="1" t="str">
        <f>IFERROR(__xludf.DUMMYFUNCTION("""COMPUTED_VALUE"""),"+ 15,5 %")</f>
        <v>+ 15,5 %</v>
      </c>
    </row>
    <row r="90">
      <c r="A90" s="2">
        <f>IFERROR(__xludf.DUMMYFUNCTION("""COMPUTED_VALUE"""),43497.0)</f>
        <v>43497</v>
      </c>
      <c r="B90" s="1" t="str">
        <f>IFERROR(__xludf.DUMMYFUNCTION("""COMPUTED_VALUE"""),"1.882 €/m2")</f>
        <v>1.882 €/m2</v>
      </c>
      <c r="C90" s="1" t="str">
        <f>IFERROR(__xludf.DUMMYFUNCTION("""COMPUTED_VALUE"""),"+ 0,3 %")</f>
        <v>+ 0,3 %</v>
      </c>
      <c r="D90" s="1" t="str">
        <f>IFERROR(__xludf.DUMMYFUNCTION("""COMPUTED_VALUE"""),"+ 2,8 %")</f>
        <v>+ 2,8 %</v>
      </c>
      <c r="E90" s="1" t="str">
        <f>IFERROR(__xludf.DUMMYFUNCTION("""COMPUTED_VALUE"""),"+ 18,5 %")</f>
        <v>+ 18,5 %</v>
      </c>
    </row>
    <row r="91">
      <c r="A91" s="2">
        <f>IFERROR(__xludf.DUMMYFUNCTION("""COMPUTED_VALUE"""),43466.0)</f>
        <v>43466</v>
      </c>
      <c r="B91" s="1" t="str">
        <f>IFERROR(__xludf.DUMMYFUNCTION("""COMPUTED_VALUE"""),"1.876 €/m2")</f>
        <v>1.876 €/m2</v>
      </c>
      <c r="C91" s="1" t="str">
        <f>IFERROR(__xludf.DUMMYFUNCTION("""COMPUTED_VALUE"""),"+ 1,5 %")</f>
        <v>+ 1,5 %</v>
      </c>
      <c r="D91" s="1" t="str">
        <f>IFERROR(__xludf.DUMMYFUNCTION("""COMPUTED_VALUE"""),"+ 3,3 %")</f>
        <v>+ 3,3 %</v>
      </c>
      <c r="E91" s="1" t="str">
        <f>IFERROR(__xludf.DUMMYFUNCTION("""COMPUTED_VALUE"""),"+ 22,2 %")</f>
        <v>+ 22,2 %</v>
      </c>
    </row>
    <row r="92">
      <c r="A92" s="2">
        <f>IFERROR(__xludf.DUMMYFUNCTION("""COMPUTED_VALUE"""),43435.0)</f>
        <v>43435</v>
      </c>
      <c r="B92" s="1" t="str">
        <f>IFERROR(__xludf.DUMMYFUNCTION("""COMPUTED_VALUE"""),"1.848 €/m2")</f>
        <v>1.848 €/m2</v>
      </c>
      <c r="C92" s="1" t="str">
        <f>IFERROR(__xludf.DUMMYFUNCTION("""COMPUTED_VALUE"""),"+ 0,9 %")</f>
        <v>+ 0,9 %</v>
      </c>
      <c r="D92" s="1" t="str">
        <f>IFERROR(__xludf.DUMMYFUNCTION("""COMPUTED_VALUE"""),"+ 2,7 %")</f>
        <v>+ 2,7 %</v>
      </c>
      <c r="E92" s="1" t="str">
        <f>IFERROR(__xludf.DUMMYFUNCTION("""COMPUTED_VALUE"""),"+ 22,7 %")</f>
        <v>+ 22,7 %</v>
      </c>
    </row>
    <row r="93">
      <c r="A93" s="2">
        <f>IFERROR(__xludf.DUMMYFUNCTION("""COMPUTED_VALUE"""),43405.0)</f>
        <v>43405</v>
      </c>
      <c r="B93" s="1" t="str">
        <f>IFERROR(__xludf.DUMMYFUNCTION("""COMPUTED_VALUE"""),"1.831 €/m2")</f>
        <v>1.831 €/m2</v>
      </c>
      <c r="C93" s="1" t="str">
        <f>IFERROR(__xludf.DUMMYFUNCTION("""COMPUTED_VALUE"""),"+ 0,8 %")</f>
        <v>+ 0,8 %</v>
      </c>
      <c r="D93" s="1" t="str">
        <f>IFERROR(__xludf.DUMMYFUNCTION("""COMPUTED_VALUE"""),"+ 1,6 %")</f>
        <v>+ 1,6 %</v>
      </c>
      <c r="E93" s="1" t="str">
        <f>IFERROR(__xludf.DUMMYFUNCTION("""COMPUTED_VALUE"""),"+ 21,0 %")</f>
        <v>+ 21,0 %</v>
      </c>
    </row>
    <row r="94">
      <c r="A94" s="2">
        <f>IFERROR(__xludf.DUMMYFUNCTION("""COMPUTED_VALUE"""),43374.0)</f>
        <v>43374</v>
      </c>
      <c r="B94" s="1" t="str">
        <f>IFERROR(__xludf.DUMMYFUNCTION("""COMPUTED_VALUE"""),"1.817 €/m2")</f>
        <v>1.817 €/m2</v>
      </c>
      <c r="C94" s="1" t="str">
        <f>IFERROR(__xludf.DUMMYFUNCTION("""COMPUTED_VALUE"""),"+ 0,9 %")</f>
        <v>+ 0,9 %</v>
      </c>
      <c r="D94" s="1" t="str">
        <f>IFERROR(__xludf.DUMMYFUNCTION("""COMPUTED_VALUE"""),"+ 1,8 %")</f>
        <v>+ 1,8 %</v>
      </c>
      <c r="E94" s="1" t="str">
        <f>IFERROR(__xludf.DUMMYFUNCTION("""COMPUTED_VALUE"""),"+ 19,4 %")</f>
        <v>+ 19,4 %</v>
      </c>
    </row>
    <row r="95">
      <c r="A95" s="2">
        <f>IFERROR(__xludf.DUMMYFUNCTION("""COMPUTED_VALUE"""),43344.0)</f>
        <v>43344</v>
      </c>
      <c r="B95" s="1" t="str">
        <f>IFERROR(__xludf.DUMMYFUNCTION("""COMPUTED_VALUE"""),"1.800 €/m2")</f>
        <v>1.800 €/m2</v>
      </c>
      <c r="C95" s="1" t="str">
        <f>IFERROR(__xludf.DUMMYFUNCTION("""COMPUTED_VALUE"""),"- 0,1 %")</f>
        <v>- 0,1 %</v>
      </c>
      <c r="D95" s="1" t="str">
        <f>IFERROR(__xludf.DUMMYFUNCTION("""COMPUTED_VALUE"""),"+ 3,4 %")</f>
        <v>+ 3,4 %</v>
      </c>
      <c r="E95" s="1" t="str">
        <f>IFERROR(__xludf.DUMMYFUNCTION("""COMPUTED_VALUE"""),"+ 21,2 %")</f>
        <v>+ 21,2 %</v>
      </c>
    </row>
    <row r="96">
      <c r="A96" s="2">
        <f>IFERROR(__xludf.DUMMYFUNCTION("""COMPUTED_VALUE"""),43313.0)</f>
        <v>43313</v>
      </c>
      <c r="B96" s="1" t="str">
        <f>IFERROR(__xludf.DUMMYFUNCTION("""COMPUTED_VALUE"""),"1.802 €/m2")</f>
        <v>1.802 €/m2</v>
      </c>
      <c r="C96" s="1" t="str">
        <f>IFERROR(__xludf.DUMMYFUNCTION("""COMPUTED_VALUE"""),"+ 1,0 %")</f>
        <v>+ 1,0 %</v>
      </c>
      <c r="D96" s="1" t="str">
        <f>IFERROR(__xludf.DUMMYFUNCTION("""COMPUTED_VALUE"""),"+ 4,7 %")</f>
        <v>+ 4,7 %</v>
      </c>
      <c r="E96" s="1" t="str">
        <f>IFERROR(__xludf.DUMMYFUNCTION("""COMPUTED_VALUE"""),"+ 22,4 %")</f>
        <v>+ 22,4 %</v>
      </c>
    </row>
    <row r="97">
      <c r="A97" s="2">
        <f>IFERROR(__xludf.DUMMYFUNCTION("""COMPUTED_VALUE"""),43282.0)</f>
        <v>43282</v>
      </c>
      <c r="B97" s="1" t="str">
        <f>IFERROR(__xludf.DUMMYFUNCTION("""COMPUTED_VALUE"""),"1.785 €/m2")</f>
        <v>1.785 €/m2</v>
      </c>
      <c r="C97" s="1" t="str">
        <f>IFERROR(__xludf.DUMMYFUNCTION("""COMPUTED_VALUE"""),"+ 2,5 %")</f>
        <v>+ 2,5 %</v>
      </c>
      <c r="D97" s="1" t="str">
        <f>IFERROR(__xludf.DUMMYFUNCTION("""COMPUTED_VALUE"""),"+ 6,4 %")</f>
        <v>+ 6,4 %</v>
      </c>
      <c r="E97" s="1" t="str">
        <f>IFERROR(__xludf.DUMMYFUNCTION("""COMPUTED_VALUE"""),"+ 22,2 %")</f>
        <v>+ 22,2 %</v>
      </c>
    </row>
    <row r="98">
      <c r="A98" s="2">
        <f>IFERROR(__xludf.DUMMYFUNCTION("""COMPUTED_VALUE"""),43252.0)</f>
        <v>43252</v>
      </c>
      <c r="B98" s="1" t="str">
        <f>IFERROR(__xludf.DUMMYFUNCTION("""COMPUTED_VALUE"""),"1.741 €/m2")</f>
        <v>1.741 €/m2</v>
      </c>
      <c r="C98" s="1" t="str">
        <f>IFERROR(__xludf.DUMMYFUNCTION("""COMPUTED_VALUE"""),"+ 1,1 %")</f>
        <v>+ 1,1 %</v>
      </c>
      <c r="D98" s="1" t="str">
        <f>IFERROR(__xludf.DUMMYFUNCTION("""COMPUTED_VALUE"""),"+ 6,7 %")</f>
        <v>+ 6,7 %</v>
      </c>
      <c r="E98" s="1" t="str">
        <f>IFERROR(__xludf.DUMMYFUNCTION("""COMPUTED_VALUE"""),"+ 21,2 %")</f>
        <v>+ 21,2 %</v>
      </c>
    </row>
    <row r="99">
      <c r="A99" s="2">
        <f>IFERROR(__xludf.DUMMYFUNCTION("""COMPUTED_VALUE"""),43221.0)</f>
        <v>43221</v>
      </c>
      <c r="B99" s="1" t="str">
        <f>IFERROR(__xludf.DUMMYFUNCTION("""COMPUTED_VALUE"""),"1.722 €/m2")</f>
        <v>1.722 €/m2</v>
      </c>
      <c r="C99" s="1" t="str">
        <f>IFERROR(__xludf.DUMMYFUNCTION("""COMPUTED_VALUE"""),"+ 2,6 %")</f>
        <v>+ 2,6 %</v>
      </c>
      <c r="D99" s="1" t="str">
        <f>IFERROR(__xludf.DUMMYFUNCTION("""COMPUTED_VALUE"""),"+ 8,4 %")</f>
        <v>+ 8,4 %</v>
      </c>
      <c r="E99" s="1" t="str">
        <f>IFERROR(__xludf.DUMMYFUNCTION("""COMPUTED_VALUE"""),"+ 21,2 %")</f>
        <v>+ 21,2 %</v>
      </c>
    </row>
    <row r="100">
      <c r="A100" s="2">
        <f>IFERROR(__xludf.DUMMYFUNCTION("""COMPUTED_VALUE"""),43191.0)</f>
        <v>43191</v>
      </c>
      <c r="B100" s="1" t="str">
        <f>IFERROR(__xludf.DUMMYFUNCTION("""COMPUTED_VALUE"""),"1.678 €/m2")</f>
        <v>1.678 €/m2</v>
      </c>
      <c r="C100" s="1" t="str">
        <f>IFERROR(__xludf.DUMMYFUNCTION("""COMPUTED_VALUE"""),"+ 2,8 %")</f>
        <v>+ 2,8 %</v>
      </c>
      <c r="D100" s="1" t="str">
        <f>IFERROR(__xludf.DUMMYFUNCTION("""COMPUTED_VALUE"""),"+ 9,2 %")</f>
        <v>+ 9,2 %</v>
      </c>
      <c r="E100" s="1" t="str">
        <f>IFERROR(__xludf.DUMMYFUNCTION("""COMPUTED_VALUE"""),"+ 22,1 %")</f>
        <v>+ 22,1 %</v>
      </c>
    </row>
    <row r="101">
      <c r="A101" s="2">
        <f>IFERROR(__xludf.DUMMYFUNCTION("""COMPUTED_VALUE"""),43160.0)</f>
        <v>43160</v>
      </c>
      <c r="B101" s="1" t="str">
        <f>IFERROR(__xludf.DUMMYFUNCTION("""COMPUTED_VALUE"""),"1.633 €/m2")</f>
        <v>1.633 €/m2</v>
      </c>
      <c r="C101" s="1" t="str">
        <f>IFERROR(__xludf.DUMMYFUNCTION("""COMPUTED_VALUE"""),"+ 2,8 %")</f>
        <v>+ 2,8 %</v>
      </c>
      <c r="D101" s="1" t="str">
        <f>IFERROR(__xludf.DUMMYFUNCTION("""COMPUTED_VALUE"""),"+ 8,4 %")</f>
        <v>+ 8,4 %</v>
      </c>
      <c r="E101" s="1" t="str">
        <f>IFERROR(__xludf.DUMMYFUNCTION("""COMPUTED_VALUE"""),"+ 19,1 %")</f>
        <v>+ 19,1 %</v>
      </c>
    </row>
    <row r="102">
      <c r="A102" s="2">
        <f>IFERROR(__xludf.DUMMYFUNCTION("""COMPUTED_VALUE"""),43132.0)</f>
        <v>43132</v>
      </c>
      <c r="B102" s="1" t="str">
        <f>IFERROR(__xludf.DUMMYFUNCTION("""COMPUTED_VALUE"""),"1.589 €/m2")</f>
        <v>1.589 €/m2</v>
      </c>
      <c r="C102" s="1" t="str">
        <f>IFERROR(__xludf.DUMMYFUNCTION("""COMPUTED_VALUE"""),"+ 3,4 %")</f>
        <v>+ 3,4 %</v>
      </c>
      <c r="D102" s="1" t="str">
        <f>IFERROR(__xludf.DUMMYFUNCTION("""COMPUTED_VALUE"""),"+ 5,0 %")</f>
        <v>+ 5,0 %</v>
      </c>
      <c r="E102" s="1" t="str">
        <f>IFERROR(__xludf.DUMMYFUNCTION("""COMPUTED_VALUE"""),"+ 14,2 %")</f>
        <v>+ 14,2 %</v>
      </c>
    </row>
    <row r="103">
      <c r="A103" s="2">
        <f>IFERROR(__xludf.DUMMYFUNCTION("""COMPUTED_VALUE"""),43101.0)</f>
        <v>43101</v>
      </c>
      <c r="B103" s="1" t="str">
        <f>IFERROR(__xludf.DUMMYFUNCTION("""COMPUTED_VALUE"""),"1.536 €/m2")</f>
        <v>1.536 €/m2</v>
      </c>
      <c r="C103" s="1" t="str">
        <f>IFERROR(__xludf.DUMMYFUNCTION("""COMPUTED_VALUE"""),"+ 1,9 %")</f>
        <v>+ 1,9 %</v>
      </c>
      <c r="D103" s="1" t="str">
        <f>IFERROR(__xludf.DUMMYFUNCTION("""COMPUTED_VALUE"""),"+ 1,0 %")</f>
        <v>+ 1,0 %</v>
      </c>
      <c r="E103" s="1" t="str">
        <f>IFERROR(__xludf.DUMMYFUNCTION("""COMPUTED_VALUE"""),"+ 12,6 %")</f>
        <v>+ 12,6 %</v>
      </c>
    </row>
    <row r="104">
      <c r="A104" s="2">
        <f>IFERROR(__xludf.DUMMYFUNCTION("""COMPUTED_VALUE"""),43070.0)</f>
        <v>43070</v>
      </c>
      <c r="B104" s="1" t="str">
        <f>IFERROR(__xludf.DUMMYFUNCTION("""COMPUTED_VALUE"""),"1.507 €/m2")</f>
        <v>1.507 €/m2</v>
      </c>
      <c r="C104" s="1" t="str">
        <f>IFERROR(__xludf.DUMMYFUNCTION("""COMPUTED_VALUE"""),"- 0,4 %")</f>
        <v>- 0,4 %</v>
      </c>
      <c r="D104" s="1" t="str">
        <f>IFERROR(__xludf.DUMMYFUNCTION("""COMPUTED_VALUE"""),"+ 1,4 %")</f>
        <v>+ 1,4 %</v>
      </c>
      <c r="E104" s="1" t="str">
        <f>IFERROR(__xludf.DUMMYFUNCTION("""COMPUTED_VALUE"""),"+ 11,3 %")</f>
        <v>+ 11,3 %</v>
      </c>
    </row>
    <row r="105">
      <c r="A105" s="2">
        <f>IFERROR(__xludf.DUMMYFUNCTION("""COMPUTED_VALUE"""),43040.0)</f>
        <v>43040</v>
      </c>
      <c r="B105" s="1" t="str">
        <f>IFERROR(__xludf.DUMMYFUNCTION("""COMPUTED_VALUE"""),"1.513 €/m2")</f>
        <v>1.513 €/m2</v>
      </c>
      <c r="C105" s="1" t="str">
        <f>IFERROR(__xludf.DUMMYFUNCTION("""COMPUTED_VALUE"""),"- 0,5 %")</f>
        <v>- 0,5 %</v>
      </c>
      <c r="D105" s="1" t="str">
        <f>IFERROR(__xludf.DUMMYFUNCTION("""COMPUTED_VALUE"""),"+ 2,8 %")</f>
        <v>+ 2,8 %</v>
      </c>
      <c r="E105" s="1" t="str">
        <f>IFERROR(__xludf.DUMMYFUNCTION("""COMPUTED_VALUE"""),"+ 11,6 %")</f>
        <v>+ 11,6 %</v>
      </c>
    </row>
    <row r="106">
      <c r="A106" s="2">
        <f>IFERROR(__xludf.DUMMYFUNCTION("""COMPUTED_VALUE"""),43009.0)</f>
        <v>43009</v>
      </c>
      <c r="B106" s="1" t="str">
        <f>IFERROR(__xludf.DUMMYFUNCTION("""COMPUTED_VALUE"""),"1.521 €/m2")</f>
        <v>1.521 €/m2</v>
      </c>
      <c r="C106" s="1" t="str">
        <f>IFERROR(__xludf.DUMMYFUNCTION("""COMPUTED_VALUE"""),"+ 2,4 %")</f>
        <v>+ 2,4 %</v>
      </c>
      <c r="D106" s="1" t="str">
        <f>IFERROR(__xludf.DUMMYFUNCTION("""COMPUTED_VALUE"""),"+ 4,2 %")</f>
        <v>+ 4,2 %</v>
      </c>
      <c r="E106" s="1" t="str">
        <f>IFERROR(__xludf.DUMMYFUNCTION("""COMPUTED_VALUE"""),"+ 10,5 %")</f>
        <v>+ 10,5 %</v>
      </c>
    </row>
    <row r="107">
      <c r="A107" s="2">
        <f>IFERROR(__xludf.DUMMYFUNCTION("""COMPUTED_VALUE"""),42979.0)</f>
        <v>42979</v>
      </c>
      <c r="B107" s="1" t="str">
        <f>IFERROR(__xludf.DUMMYFUNCTION("""COMPUTED_VALUE"""),"1.485 €/m2")</f>
        <v>1.485 €/m2</v>
      </c>
      <c r="C107" s="1" t="str">
        <f>IFERROR(__xludf.DUMMYFUNCTION("""COMPUTED_VALUE"""),"+ 0,9 %")</f>
        <v>+ 0,9 %</v>
      </c>
      <c r="D107" s="1" t="str">
        <f>IFERROR(__xludf.DUMMYFUNCTION("""COMPUTED_VALUE"""),"+ 3,4 %")</f>
        <v>+ 3,4 %</v>
      </c>
      <c r="E107" s="1" t="str">
        <f>IFERROR(__xludf.DUMMYFUNCTION("""COMPUTED_VALUE"""),"+ 9,1 %")</f>
        <v>+ 9,1 %</v>
      </c>
    </row>
    <row r="108">
      <c r="A108" s="2">
        <f>IFERROR(__xludf.DUMMYFUNCTION("""COMPUTED_VALUE"""),42948.0)</f>
        <v>42948</v>
      </c>
      <c r="B108" s="1" t="str">
        <f>IFERROR(__xludf.DUMMYFUNCTION("""COMPUTED_VALUE"""),"1.472 €/m2")</f>
        <v>1.472 €/m2</v>
      </c>
      <c r="C108" s="1" t="str">
        <f>IFERROR(__xludf.DUMMYFUNCTION("""COMPUTED_VALUE"""),"+ 0,8 %")</f>
        <v>+ 0,8 %</v>
      </c>
      <c r="D108" s="1" t="str">
        <f>IFERROR(__xludf.DUMMYFUNCTION("""COMPUTED_VALUE"""),"+ 3,7 %")</f>
        <v>+ 3,7 %</v>
      </c>
      <c r="E108" s="1" t="str">
        <f>IFERROR(__xludf.DUMMYFUNCTION("""COMPUTED_VALUE"""),"+ 9,2 %")</f>
        <v>+ 9,2 %</v>
      </c>
    </row>
    <row r="109">
      <c r="A109" s="2">
        <f>IFERROR(__xludf.DUMMYFUNCTION("""COMPUTED_VALUE"""),42917.0)</f>
        <v>42917</v>
      </c>
      <c r="B109" s="1" t="str">
        <f>IFERROR(__xludf.DUMMYFUNCTION("""COMPUTED_VALUE"""),"1.460 €/m2")</f>
        <v>1.460 €/m2</v>
      </c>
      <c r="C109" s="1" t="str">
        <f>IFERROR(__xludf.DUMMYFUNCTION("""COMPUTED_VALUE"""),"+ 1,6 %")</f>
        <v>+ 1,6 %</v>
      </c>
      <c r="D109" s="1" t="str">
        <f>IFERROR(__xludf.DUMMYFUNCTION("""COMPUTED_VALUE"""),"+ 6,2 %")</f>
        <v>+ 6,2 %</v>
      </c>
      <c r="E109" s="1" t="str">
        <f>IFERROR(__xludf.DUMMYFUNCTION("""COMPUTED_VALUE"""),"+ 8,4 %")</f>
        <v>+ 8,4 %</v>
      </c>
    </row>
    <row r="110">
      <c r="A110" s="2">
        <f>IFERROR(__xludf.DUMMYFUNCTION("""COMPUTED_VALUE"""),42887.0)</f>
        <v>42887</v>
      </c>
      <c r="B110" s="1" t="str">
        <f>IFERROR(__xludf.DUMMYFUNCTION("""COMPUTED_VALUE"""),"1.436 €/m2")</f>
        <v>1.436 €/m2</v>
      </c>
      <c r="C110" s="1" t="str">
        <f>IFERROR(__xludf.DUMMYFUNCTION("""COMPUTED_VALUE"""),"+ 1,2 %")</f>
        <v>+ 1,2 %</v>
      </c>
      <c r="D110" s="1" t="str">
        <f>IFERROR(__xludf.DUMMYFUNCTION("""COMPUTED_VALUE"""),"+ 4,8 %")</f>
        <v>+ 4,8 %</v>
      </c>
      <c r="E110" s="1" t="str">
        <f>IFERROR(__xludf.DUMMYFUNCTION("""COMPUTED_VALUE"""),"+ 6,0 %")</f>
        <v>+ 6,0 %</v>
      </c>
    </row>
    <row r="111">
      <c r="A111" s="2">
        <f>IFERROR(__xludf.DUMMYFUNCTION("""COMPUTED_VALUE"""),42856.0)</f>
        <v>42856</v>
      </c>
      <c r="B111" s="1" t="str">
        <f>IFERROR(__xludf.DUMMYFUNCTION("""COMPUTED_VALUE"""),"1.420 €/m2")</f>
        <v>1.420 €/m2</v>
      </c>
      <c r="C111" s="1" t="str">
        <f>IFERROR(__xludf.DUMMYFUNCTION("""COMPUTED_VALUE"""),"+ 3,3 %")</f>
        <v>+ 3,3 %</v>
      </c>
      <c r="D111" s="1" t="str">
        <f>IFERROR(__xludf.DUMMYFUNCTION("""COMPUTED_VALUE"""),"+ 2,0 %")</f>
        <v>+ 2,0 %</v>
      </c>
      <c r="E111" s="1" t="str">
        <f>IFERROR(__xludf.DUMMYFUNCTION("""COMPUTED_VALUE"""),"+ 6,0 %")</f>
        <v>+ 6,0 %</v>
      </c>
    </row>
    <row r="112">
      <c r="A112" s="2">
        <f>IFERROR(__xludf.DUMMYFUNCTION("""COMPUTED_VALUE"""),42826.0)</f>
        <v>42826</v>
      </c>
      <c r="B112" s="1" t="str">
        <f>IFERROR(__xludf.DUMMYFUNCTION("""COMPUTED_VALUE"""),"1.375 €/m2")</f>
        <v>1.375 €/m2</v>
      </c>
      <c r="C112" s="1" t="str">
        <f>IFERROR(__xludf.DUMMYFUNCTION("""COMPUTED_VALUE"""),"+ 0,2 %")</f>
        <v>+ 0,2 %</v>
      </c>
      <c r="D112" s="1" t="str">
        <f>IFERROR(__xludf.DUMMYFUNCTION("""COMPUTED_VALUE"""),"+ 0,8 %")</f>
        <v>+ 0,8 %</v>
      </c>
      <c r="E112" s="1" t="str">
        <f>IFERROR(__xludf.DUMMYFUNCTION("""COMPUTED_VALUE"""),"+ 2,5 %")</f>
        <v>+ 2,5 %</v>
      </c>
    </row>
    <row r="113">
      <c r="A113" s="2">
        <f>IFERROR(__xludf.DUMMYFUNCTION("""COMPUTED_VALUE"""),42795.0)</f>
        <v>42795</v>
      </c>
      <c r="B113" s="1" t="str">
        <f>IFERROR(__xludf.DUMMYFUNCTION("""COMPUTED_VALUE"""),"1.371 €/m2")</f>
        <v>1.371 €/m2</v>
      </c>
      <c r="C113" s="1" t="str">
        <f>IFERROR(__xludf.DUMMYFUNCTION("""COMPUTED_VALUE"""),"- 1,5 %")</f>
        <v>- 1,5 %</v>
      </c>
      <c r="D113" s="1" t="str">
        <f>IFERROR(__xludf.DUMMYFUNCTION("""COMPUTED_VALUE"""),"+ 1,3 %")</f>
        <v>+ 1,3 %</v>
      </c>
      <c r="E113" s="1" t="str">
        <f>IFERROR(__xludf.DUMMYFUNCTION("""COMPUTED_VALUE"""),"+ 1,1 %")</f>
        <v>+ 1,1 %</v>
      </c>
    </row>
    <row r="114">
      <c r="A114" s="2">
        <f>IFERROR(__xludf.DUMMYFUNCTION("""COMPUTED_VALUE"""),42767.0)</f>
        <v>42767</v>
      </c>
      <c r="B114" s="1" t="str">
        <f>IFERROR(__xludf.DUMMYFUNCTION("""COMPUTED_VALUE"""),"1.392 €/m2")</f>
        <v>1.392 €/m2</v>
      </c>
      <c r="C114" s="1" t="str">
        <f>IFERROR(__xludf.DUMMYFUNCTION("""COMPUTED_VALUE"""),"+ 2,0 %")</f>
        <v>+ 2,0 %</v>
      </c>
      <c r="D114" s="1" t="str">
        <f>IFERROR(__xludf.DUMMYFUNCTION("""COMPUTED_VALUE"""),"+ 2,6 %")</f>
        <v>+ 2,6 %</v>
      </c>
      <c r="E114" s="1" t="str">
        <f>IFERROR(__xludf.DUMMYFUNCTION("""COMPUTED_VALUE"""),"+ 1,8 %")</f>
        <v>+ 1,8 %</v>
      </c>
    </row>
    <row r="115">
      <c r="A115" s="2">
        <f>IFERROR(__xludf.DUMMYFUNCTION("""COMPUTED_VALUE"""),42736.0)</f>
        <v>42736</v>
      </c>
      <c r="B115" s="1" t="str">
        <f>IFERROR(__xludf.DUMMYFUNCTION("""COMPUTED_VALUE"""),"1.364 €/m2")</f>
        <v>1.364 €/m2</v>
      </c>
      <c r="C115" s="1" t="str">
        <f>IFERROR(__xludf.DUMMYFUNCTION("""COMPUTED_VALUE"""),"+ 0,8 %")</f>
        <v>+ 0,8 %</v>
      </c>
      <c r="D115" s="1" t="str">
        <f>IFERROR(__xludf.DUMMYFUNCTION("""COMPUTED_VALUE"""),"- 1,0 %")</f>
        <v>- 1,0 %</v>
      </c>
      <c r="E115" s="1" t="str">
        <f>IFERROR(__xludf.DUMMYFUNCTION("""COMPUTED_VALUE"""),"+ 0,5 %")</f>
        <v>+ 0,5 %</v>
      </c>
    </row>
    <row r="116">
      <c r="A116" s="2">
        <f>IFERROR(__xludf.DUMMYFUNCTION("""COMPUTED_VALUE"""),42705.0)</f>
        <v>42705</v>
      </c>
      <c r="B116" s="1" t="str">
        <f>IFERROR(__xludf.DUMMYFUNCTION("""COMPUTED_VALUE"""),"1.353 €/m2")</f>
        <v>1.353 €/m2</v>
      </c>
      <c r="C116" s="1" t="str">
        <f>IFERROR(__xludf.DUMMYFUNCTION("""COMPUTED_VALUE"""),"- 0,2 %")</f>
        <v>- 0,2 %</v>
      </c>
      <c r="D116" s="1" t="str">
        <f>IFERROR(__xludf.DUMMYFUNCTION("""COMPUTED_VALUE"""),"- 0,6 %")</f>
        <v>- 0,6 %</v>
      </c>
      <c r="E116" s="1" t="str">
        <f>IFERROR(__xludf.DUMMYFUNCTION("""COMPUTED_VALUE"""),"+ 1,4 %")</f>
        <v>+ 1,4 %</v>
      </c>
    </row>
    <row r="117">
      <c r="A117" s="2">
        <f>IFERROR(__xludf.DUMMYFUNCTION("""COMPUTED_VALUE"""),42675.0)</f>
        <v>42675</v>
      </c>
      <c r="B117" s="1" t="str">
        <f>IFERROR(__xludf.DUMMYFUNCTION("""COMPUTED_VALUE"""),"1.356 €/m2")</f>
        <v>1.356 €/m2</v>
      </c>
      <c r="C117" s="1" t="str">
        <f>IFERROR(__xludf.DUMMYFUNCTION("""COMPUTED_VALUE"""),"- 1,6 %")</f>
        <v>- 1,6 %</v>
      </c>
      <c r="D117" s="1" t="str">
        <f>IFERROR(__xludf.DUMMYFUNCTION("""COMPUTED_VALUE"""),"+ 0,6 %")</f>
        <v>+ 0,6 %</v>
      </c>
      <c r="E117" s="1" t="str">
        <f>IFERROR(__xludf.DUMMYFUNCTION("""COMPUTED_VALUE"""),"+ 1,1 %")</f>
        <v>+ 1,1 %</v>
      </c>
    </row>
    <row r="118">
      <c r="A118" s="2">
        <f>IFERROR(__xludf.DUMMYFUNCTION("""COMPUTED_VALUE"""),42644.0)</f>
        <v>42644</v>
      </c>
      <c r="B118" s="1" t="str">
        <f>IFERROR(__xludf.DUMMYFUNCTION("""COMPUTED_VALUE"""),"1.377 €/m2")</f>
        <v>1.377 €/m2</v>
      </c>
      <c r="C118" s="1" t="str">
        <f>IFERROR(__xludf.DUMMYFUNCTION("""COMPUTED_VALUE"""),"+ 1,2 %")</f>
        <v>+ 1,2 %</v>
      </c>
      <c r="D118" s="1" t="str">
        <f>IFERROR(__xludf.DUMMYFUNCTION("""COMPUTED_VALUE"""),"+ 2,3 %")</f>
        <v>+ 2,3 %</v>
      </c>
      <c r="E118" s="1" t="str">
        <f>IFERROR(__xludf.DUMMYFUNCTION("""COMPUTED_VALUE"""),"+ 1,2 %")</f>
        <v>+ 1,2 %</v>
      </c>
    </row>
    <row r="119">
      <c r="A119" s="2">
        <f>IFERROR(__xludf.DUMMYFUNCTION("""COMPUTED_VALUE"""),42614.0)</f>
        <v>42614</v>
      </c>
      <c r="B119" s="1" t="str">
        <f>IFERROR(__xludf.DUMMYFUNCTION("""COMPUTED_VALUE"""),"1.361 €/m2")</f>
        <v>1.361 €/m2</v>
      </c>
      <c r="C119" s="1" t="str">
        <f>IFERROR(__xludf.DUMMYFUNCTION("""COMPUTED_VALUE"""),"+ 1,0 %")</f>
        <v>+ 1,0 %</v>
      </c>
      <c r="D119" s="1" t="str">
        <f>IFERROR(__xludf.DUMMYFUNCTION("""COMPUTED_VALUE"""),"+ 0,4 %")</f>
        <v>+ 0,4 %</v>
      </c>
      <c r="E119" s="1" t="str">
        <f>IFERROR(__xludf.DUMMYFUNCTION("""COMPUTED_VALUE"""),"+ 0,7 %")</f>
        <v>+ 0,7 %</v>
      </c>
    </row>
    <row r="120">
      <c r="A120" s="2">
        <f>IFERROR(__xludf.DUMMYFUNCTION("""COMPUTED_VALUE"""),42583.0)</f>
        <v>42583</v>
      </c>
      <c r="B120" s="1" t="str">
        <f>IFERROR(__xludf.DUMMYFUNCTION("""COMPUTED_VALUE"""),"1.348 €/m2")</f>
        <v>1.348 €/m2</v>
      </c>
      <c r="C120" s="1" t="str">
        <f>IFERROR(__xludf.DUMMYFUNCTION("""COMPUTED_VALUE"""),"+ 0,1 %")</f>
        <v>+ 0,1 %</v>
      </c>
      <c r="D120" s="1" t="str">
        <f>IFERROR(__xludf.DUMMYFUNCTION("""COMPUTED_VALUE"""),"+ 0,6 %")</f>
        <v>+ 0,6 %</v>
      </c>
      <c r="E120" s="1" t="str">
        <f>IFERROR(__xludf.DUMMYFUNCTION("""COMPUTED_VALUE"""),"+ 1,3 %")</f>
        <v>+ 1,3 %</v>
      </c>
    </row>
    <row r="121">
      <c r="A121" s="2">
        <f>IFERROR(__xludf.DUMMYFUNCTION("""COMPUTED_VALUE"""),42552.0)</f>
        <v>42552</v>
      </c>
      <c r="B121" s="1" t="str">
        <f>IFERROR(__xludf.DUMMYFUNCTION("""COMPUTED_VALUE"""),"1.346 €/m2")</f>
        <v>1.346 €/m2</v>
      </c>
      <c r="C121" s="1" t="str">
        <f>IFERROR(__xludf.DUMMYFUNCTION("""COMPUTED_VALUE"""),"- 0,7 %")</f>
        <v>- 0,7 %</v>
      </c>
      <c r="D121" s="1" t="str">
        <f>IFERROR(__xludf.DUMMYFUNCTION("""COMPUTED_VALUE"""),"+ 0,4 %")</f>
        <v>+ 0,4 %</v>
      </c>
      <c r="E121" s="1" t="str">
        <f>IFERROR(__xludf.DUMMYFUNCTION("""COMPUTED_VALUE"""),"+ 4,1 %")</f>
        <v>+ 4,1 %</v>
      </c>
    </row>
    <row r="122">
      <c r="A122" s="2">
        <f>IFERROR(__xludf.DUMMYFUNCTION("""COMPUTED_VALUE"""),42522.0)</f>
        <v>42522</v>
      </c>
      <c r="B122" s="1" t="str">
        <f>IFERROR(__xludf.DUMMYFUNCTION("""COMPUTED_VALUE"""),"1.355 €/m2")</f>
        <v>1.355 €/m2</v>
      </c>
      <c r="C122" s="1" t="str">
        <f>IFERROR(__xludf.DUMMYFUNCTION("""COMPUTED_VALUE"""),"+ 1,2 %")</f>
        <v>+ 1,2 %</v>
      </c>
      <c r="D122" s="1" t="str">
        <f>IFERROR(__xludf.DUMMYFUNCTION("""COMPUTED_VALUE"""),"- 0,1 %")</f>
        <v>- 0,1 %</v>
      </c>
      <c r="E122" s="1" t="str">
        <f>IFERROR(__xludf.DUMMYFUNCTION("""COMPUTED_VALUE"""),"+ 4,8 %")</f>
        <v>+ 4,8 %</v>
      </c>
    </row>
    <row r="123">
      <c r="A123" s="2">
        <f>IFERROR(__xludf.DUMMYFUNCTION("""COMPUTED_VALUE"""),42491.0)</f>
        <v>42491</v>
      </c>
      <c r="B123" s="1" t="str">
        <f>IFERROR(__xludf.DUMMYFUNCTION("""COMPUTED_VALUE"""),"1.340 €/m2")</f>
        <v>1.340 €/m2</v>
      </c>
      <c r="C123" s="1" t="str">
        <f>IFERROR(__xludf.DUMMYFUNCTION("""COMPUTED_VALUE"""),"- 0,1 %")</f>
        <v>- 0,1 %</v>
      </c>
      <c r="D123" s="1" t="str">
        <f>IFERROR(__xludf.DUMMYFUNCTION("""COMPUTED_VALUE"""),"- 2,0 %")</f>
        <v>- 2,0 %</v>
      </c>
      <c r="E123" s="1" t="str">
        <f>IFERROR(__xludf.DUMMYFUNCTION("""COMPUTED_VALUE"""),"+ 2,7 %")</f>
        <v>+ 2,7 %</v>
      </c>
    </row>
    <row r="124">
      <c r="A124" s="2">
        <f>IFERROR(__xludf.DUMMYFUNCTION("""COMPUTED_VALUE"""),42461.0)</f>
        <v>42461</v>
      </c>
      <c r="B124" s="1" t="str">
        <f>IFERROR(__xludf.DUMMYFUNCTION("""COMPUTED_VALUE"""),"1.341 €/m2")</f>
        <v>1.341 €/m2</v>
      </c>
      <c r="C124" s="1" t="str">
        <f>IFERROR(__xludf.DUMMYFUNCTION("""COMPUTED_VALUE"""),"- 1,1 %")</f>
        <v>- 1,1 %</v>
      </c>
      <c r="D124" s="1" t="str">
        <f>IFERROR(__xludf.DUMMYFUNCTION("""COMPUTED_VALUE"""),"- 1,1 %")</f>
        <v>- 1,1 %</v>
      </c>
      <c r="E124" s="1" t="str">
        <f>IFERROR(__xludf.DUMMYFUNCTION("""COMPUTED_VALUE"""),"+ 1,3 %")</f>
        <v>+ 1,3 %</v>
      </c>
    </row>
    <row r="125">
      <c r="A125" s="2">
        <f>IFERROR(__xludf.DUMMYFUNCTION("""COMPUTED_VALUE"""),42430.0)</f>
        <v>42430</v>
      </c>
      <c r="B125" s="1" t="str">
        <f>IFERROR(__xludf.DUMMYFUNCTION("""COMPUTED_VALUE"""),"1.356 €/m2")</f>
        <v>1.356 €/m2</v>
      </c>
      <c r="C125" s="1" t="str">
        <f>IFERROR(__xludf.DUMMYFUNCTION("""COMPUTED_VALUE"""),"- 0,8 %")</f>
        <v>- 0,8 %</v>
      </c>
      <c r="D125" s="1" t="str">
        <f>IFERROR(__xludf.DUMMYFUNCTION("""COMPUTED_VALUE"""),"+ 1,7 %")</f>
        <v>+ 1,7 %</v>
      </c>
      <c r="E125" s="1" t="str">
        <f>IFERROR(__xludf.DUMMYFUNCTION("""COMPUTED_VALUE"""),"+ 3,6 %")</f>
        <v>+ 3,6 %</v>
      </c>
    </row>
    <row r="126">
      <c r="A126" s="2">
        <f>IFERROR(__xludf.DUMMYFUNCTION("""COMPUTED_VALUE"""),42401.0)</f>
        <v>42401</v>
      </c>
      <c r="B126" s="1" t="str">
        <f>IFERROR(__xludf.DUMMYFUNCTION("""COMPUTED_VALUE"""),"1.367 €/m2")</f>
        <v>1.367 €/m2</v>
      </c>
      <c r="C126" s="1" t="str">
        <f>IFERROR(__xludf.DUMMYFUNCTION("""COMPUTED_VALUE"""),"+ 0,8 %")</f>
        <v>+ 0,8 %</v>
      </c>
      <c r="D126" s="1" t="str">
        <f>IFERROR(__xludf.DUMMYFUNCTION("""COMPUTED_VALUE"""),"+ 2,0 %")</f>
        <v>+ 2,0 %</v>
      </c>
      <c r="E126" s="1" t="str">
        <f>IFERROR(__xludf.DUMMYFUNCTION("""COMPUTED_VALUE"""),"+ 3,0 %")</f>
        <v>+ 3,0 %</v>
      </c>
    </row>
    <row r="127">
      <c r="A127" s="2">
        <f>IFERROR(__xludf.DUMMYFUNCTION("""COMPUTED_VALUE"""),42370.0)</f>
        <v>42370</v>
      </c>
      <c r="B127" s="1" t="str">
        <f>IFERROR(__xludf.DUMMYFUNCTION("""COMPUTED_VALUE"""),"1.357 €/m2")</f>
        <v>1.357 €/m2</v>
      </c>
      <c r="C127" s="1" t="str">
        <f>IFERROR(__xludf.DUMMYFUNCTION("""COMPUTED_VALUE"""),"+ 1,7 %")</f>
        <v>+ 1,7 %</v>
      </c>
      <c r="D127" s="1" t="str">
        <f>IFERROR(__xludf.DUMMYFUNCTION("""COMPUTED_VALUE"""),"- 0,3 %")</f>
        <v>- 0,3 %</v>
      </c>
      <c r="E127" s="1" t="str">
        <f>IFERROR(__xludf.DUMMYFUNCTION("""COMPUTED_VALUE"""),"+ 0,8 %")</f>
        <v>+ 0,8 %</v>
      </c>
    </row>
    <row r="128">
      <c r="A128" s="2">
        <f>IFERROR(__xludf.DUMMYFUNCTION("""COMPUTED_VALUE"""),42339.0)</f>
        <v>42339</v>
      </c>
      <c r="B128" s="1" t="str">
        <f>IFERROR(__xludf.DUMMYFUNCTION("""COMPUTED_VALUE"""),"1.334 €/m2")</f>
        <v>1.334 €/m2</v>
      </c>
      <c r="C128" s="1" t="str">
        <f>IFERROR(__xludf.DUMMYFUNCTION("""COMPUTED_VALUE"""),"- 0,5 %")</f>
        <v>- 0,5 %</v>
      </c>
      <c r="D128" s="1" t="str">
        <f>IFERROR(__xludf.DUMMYFUNCTION("""COMPUTED_VALUE"""),"- 1,3 %")</f>
        <v>- 1,3 %</v>
      </c>
      <c r="E128" s="1" t="str">
        <f>IFERROR(__xludf.DUMMYFUNCTION("""COMPUTED_VALUE"""),"- 1,2 %")</f>
        <v>- 1,2 %</v>
      </c>
    </row>
    <row r="129">
      <c r="A129" s="2">
        <f>IFERROR(__xludf.DUMMYFUNCTION("""COMPUTED_VALUE"""),42309.0)</f>
        <v>42309</v>
      </c>
      <c r="B129" s="1" t="str">
        <f>IFERROR(__xludf.DUMMYFUNCTION("""COMPUTED_VALUE"""),"1.341 €/m2")</f>
        <v>1.341 €/m2</v>
      </c>
      <c r="C129" s="1" t="str">
        <f>IFERROR(__xludf.DUMMYFUNCTION("""COMPUTED_VALUE"""),"- 1,5 %")</f>
        <v>- 1,5 %</v>
      </c>
      <c r="D129" s="1" t="str">
        <f>IFERROR(__xludf.DUMMYFUNCTION("""COMPUTED_VALUE"""),"+ 0,7 %")</f>
        <v>+ 0,7 %</v>
      </c>
      <c r="E129" s="1" t="str">
        <f>IFERROR(__xludf.DUMMYFUNCTION("""COMPUTED_VALUE"""),"- 1,2 %")</f>
        <v>- 1,2 %</v>
      </c>
    </row>
    <row r="130">
      <c r="A130" s="2">
        <f>IFERROR(__xludf.DUMMYFUNCTION("""COMPUTED_VALUE"""),42278.0)</f>
        <v>42278</v>
      </c>
      <c r="B130" s="1" t="str">
        <f>IFERROR(__xludf.DUMMYFUNCTION("""COMPUTED_VALUE"""),"1.360 €/m2")</f>
        <v>1.360 €/m2</v>
      </c>
      <c r="C130" s="1" t="str">
        <f>IFERROR(__xludf.DUMMYFUNCTION("""COMPUTED_VALUE"""),"+ 0,6 %")</f>
        <v>+ 0,6 %</v>
      </c>
      <c r="D130" s="1" t="str">
        <f>IFERROR(__xludf.DUMMYFUNCTION("""COMPUTED_VALUE"""),"+ 5,2 %")</f>
        <v>+ 5,2 %</v>
      </c>
      <c r="E130" s="1" t="str">
        <f>IFERROR(__xludf.DUMMYFUNCTION("""COMPUTED_VALUE"""),"- 2,3 %")</f>
        <v>- 2,3 %</v>
      </c>
    </row>
    <row r="131">
      <c r="A131" s="2">
        <f>IFERROR(__xludf.DUMMYFUNCTION("""COMPUTED_VALUE"""),42248.0)</f>
        <v>42248</v>
      </c>
      <c r="B131" s="1" t="str">
        <f>IFERROR(__xludf.DUMMYFUNCTION("""COMPUTED_VALUE"""),"1.352 €/m2")</f>
        <v>1.352 €/m2</v>
      </c>
      <c r="C131" s="1" t="str">
        <f>IFERROR(__xludf.DUMMYFUNCTION("""COMPUTED_VALUE"""),"+ 1,5 %")</f>
        <v>+ 1,5 %</v>
      </c>
      <c r="D131" s="1" t="str">
        <f>IFERROR(__xludf.DUMMYFUNCTION("""COMPUTED_VALUE"""),"+ 4,5 %")</f>
        <v>+ 4,5 %</v>
      </c>
      <c r="E131" s="1" t="str">
        <f>IFERROR(__xludf.DUMMYFUNCTION("""COMPUTED_VALUE"""),"- 3,3 %")</f>
        <v>- 3,3 %</v>
      </c>
    </row>
    <row r="132">
      <c r="A132" s="2">
        <f>IFERROR(__xludf.DUMMYFUNCTION("""COMPUTED_VALUE"""),42217.0)</f>
        <v>42217</v>
      </c>
      <c r="B132" s="1" t="str">
        <f>IFERROR(__xludf.DUMMYFUNCTION("""COMPUTED_VALUE"""),"1.331 €/m2")</f>
        <v>1.331 €/m2</v>
      </c>
      <c r="C132" s="1" t="str">
        <f>IFERROR(__xludf.DUMMYFUNCTION("""COMPUTED_VALUE"""),"+ 3,0 %")</f>
        <v>+ 3,0 %</v>
      </c>
      <c r="D132" s="1" t="str">
        <f>IFERROR(__xludf.DUMMYFUNCTION("""COMPUTED_VALUE"""),"+ 2,1 %")</f>
        <v>+ 2,1 %</v>
      </c>
      <c r="E132" s="1" t="str">
        <f>IFERROR(__xludf.DUMMYFUNCTION("""COMPUTED_VALUE"""),"- 3,5 %")</f>
        <v>- 3,5 %</v>
      </c>
    </row>
    <row r="133">
      <c r="A133" s="2">
        <f>IFERROR(__xludf.DUMMYFUNCTION("""COMPUTED_VALUE"""),42186.0)</f>
        <v>42186</v>
      </c>
      <c r="B133" s="1" t="str">
        <f>IFERROR(__xludf.DUMMYFUNCTION("""COMPUTED_VALUE"""),"1.293 €/m2")</f>
        <v>1.293 €/m2</v>
      </c>
      <c r="C133" s="1" t="str">
        <f>IFERROR(__xludf.DUMMYFUNCTION("""COMPUTED_VALUE"""),"0,0 %")</f>
        <v>0,0 %</v>
      </c>
      <c r="D133" s="1" t="str">
        <f>IFERROR(__xludf.DUMMYFUNCTION("""COMPUTED_VALUE"""),"- 2,4 %")</f>
        <v>- 2,4 %</v>
      </c>
      <c r="E133" s="1" t="str">
        <f>IFERROR(__xludf.DUMMYFUNCTION("""COMPUTED_VALUE"""),"- 4,9 %")</f>
        <v>- 4,9 %</v>
      </c>
    </row>
    <row r="134">
      <c r="A134" s="2">
        <f>IFERROR(__xludf.DUMMYFUNCTION("""COMPUTED_VALUE"""),42156.0)</f>
        <v>42156</v>
      </c>
      <c r="B134" s="1" t="str">
        <f>IFERROR(__xludf.DUMMYFUNCTION("""COMPUTED_VALUE"""),"1.293 €/m2")</f>
        <v>1.293 €/m2</v>
      </c>
      <c r="C134" s="1" t="str">
        <f>IFERROR(__xludf.DUMMYFUNCTION("""COMPUTED_VALUE"""),"- 0,9 %")</f>
        <v>- 0,9 %</v>
      </c>
      <c r="D134" s="1" t="str">
        <f>IFERROR(__xludf.DUMMYFUNCTION("""COMPUTED_VALUE"""),"- 1,2 %")</f>
        <v>- 1,2 %</v>
      </c>
      <c r="E134" s="1" t="str">
        <f>IFERROR(__xludf.DUMMYFUNCTION("""COMPUTED_VALUE"""),"- 5,2 %")</f>
        <v>- 5,2 %</v>
      </c>
    </row>
    <row r="135">
      <c r="A135" s="2">
        <f>IFERROR(__xludf.DUMMYFUNCTION("""COMPUTED_VALUE"""),42125.0)</f>
        <v>42125</v>
      </c>
      <c r="B135" s="1" t="str">
        <f>IFERROR(__xludf.DUMMYFUNCTION("""COMPUTED_VALUE"""),"1.304 €/m2")</f>
        <v>1.304 €/m2</v>
      </c>
      <c r="C135" s="1" t="str">
        <f>IFERROR(__xludf.DUMMYFUNCTION("""COMPUTED_VALUE"""),"- 1,5 %")</f>
        <v>- 1,5 %</v>
      </c>
      <c r="D135" s="1" t="str">
        <f>IFERROR(__xludf.DUMMYFUNCTION("""COMPUTED_VALUE"""),"- 1,7 %")</f>
        <v>- 1,7 %</v>
      </c>
      <c r="E135" s="1" t="str">
        <f>IFERROR(__xludf.DUMMYFUNCTION("""COMPUTED_VALUE"""),"- 8,1 %")</f>
        <v>- 8,1 %</v>
      </c>
    </row>
    <row r="136">
      <c r="A136" s="2">
        <f>IFERROR(__xludf.DUMMYFUNCTION("""COMPUTED_VALUE"""),42095.0)</f>
        <v>42095</v>
      </c>
      <c r="B136" s="1" t="str">
        <f>IFERROR(__xludf.DUMMYFUNCTION("""COMPUTED_VALUE"""),"1.325 €/m2")</f>
        <v>1.325 €/m2</v>
      </c>
      <c r="C136" s="1" t="str">
        <f>IFERROR(__xludf.DUMMYFUNCTION("""COMPUTED_VALUE"""),"+ 1,2 %")</f>
        <v>+ 1,2 %</v>
      </c>
      <c r="D136" s="1" t="str">
        <f>IFERROR(__xludf.DUMMYFUNCTION("""COMPUTED_VALUE"""),"- 1,6 %")</f>
        <v>- 1,6 %</v>
      </c>
      <c r="E136" s="1" t="str">
        <f>IFERROR(__xludf.DUMMYFUNCTION("""COMPUTED_VALUE"""),"- 5,4 %")</f>
        <v>- 5,4 %</v>
      </c>
    </row>
    <row r="137">
      <c r="A137" s="2">
        <f>IFERROR(__xludf.DUMMYFUNCTION("""COMPUTED_VALUE"""),42064.0)</f>
        <v>42064</v>
      </c>
      <c r="B137" s="1" t="str">
        <f>IFERROR(__xludf.DUMMYFUNCTION("""COMPUTED_VALUE"""),"1.309 €/m2")</f>
        <v>1.309 €/m2</v>
      </c>
      <c r="C137" s="1" t="str">
        <f>IFERROR(__xludf.DUMMYFUNCTION("""COMPUTED_VALUE"""),"- 1,4 %")</f>
        <v>- 1,4 %</v>
      </c>
      <c r="D137" s="1" t="str">
        <f>IFERROR(__xludf.DUMMYFUNCTION("""COMPUTED_VALUE"""),"- 3,1 %")</f>
        <v>- 3,1 %</v>
      </c>
      <c r="E137" s="1" t="str">
        <f>IFERROR(__xludf.DUMMYFUNCTION("""COMPUTED_VALUE"""),"- 9,2 %")</f>
        <v>- 9,2 %</v>
      </c>
    </row>
    <row r="138">
      <c r="A138" s="2">
        <f>IFERROR(__xludf.DUMMYFUNCTION("""COMPUTED_VALUE"""),42036.0)</f>
        <v>42036</v>
      </c>
      <c r="B138" s="1" t="str">
        <f>IFERROR(__xludf.DUMMYFUNCTION("""COMPUTED_VALUE"""),"1.328 €/m2")</f>
        <v>1.328 €/m2</v>
      </c>
      <c r="C138" s="1" t="str">
        <f>IFERROR(__xludf.DUMMYFUNCTION("""COMPUTED_VALUE"""),"- 1,4 %")</f>
        <v>- 1,4 %</v>
      </c>
      <c r="D138" s="1" t="str">
        <f>IFERROR(__xludf.DUMMYFUNCTION("""COMPUTED_VALUE"""),"- 2,1 %")</f>
        <v>- 2,1 %</v>
      </c>
      <c r="E138" s="1" t="str">
        <f>IFERROR(__xludf.DUMMYFUNCTION("""COMPUTED_VALUE"""),"- 10,6 %")</f>
        <v>- 10,6 %</v>
      </c>
    </row>
    <row r="139">
      <c r="A139" s="2">
        <f>IFERROR(__xludf.DUMMYFUNCTION("""COMPUTED_VALUE"""),42005.0)</f>
        <v>42005</v>
      </c>
      <c r="B139" s="1" t="str">
        <f>IFERROR(__xludf.DUMMYFUNCTION("""COMPUTED_VALUE"""),"1.347 €/m2")</f>
        <v>1.347 €/m2</v>
      </c>
      <c r="C139" s="1" t="str">
        <f>IFERROR(__xludf.DUMMYFUNCTION("""COMPUTED_VALUE"""),"- 0,3 %")</f>
        <v>- 0,3 %</v>
      </c>
      <c r="D139" s="1" t="str">
        <f>IFERROR(__xludf.DUMMYFUNCTION("""COMPUTED_VALUE"""),"- 3,3 %")</f>
        <v>- 3,3 %</v>
      </c>
      <c r="E139" s="1" t="str">
        <f>IFERROR(__xludf.DUMMYFUNCTION("""COMPUTED_VALUE"""),"- 7,9 %")</f>
        <v>- 7,9 %</v>
      </c>
    </row>
    <row r="140">
      <c r="A140" s="2">
        <f>IFERROR(__xludf.DUMMYFUNCTION("""COMPUTED_VALUE"""),41974.0)</f>
        <v>41974</v>
      </c>
      <c r="B140" s="1" t="str">
        <f>IFERROR(__xludf.DUMMYFUNCTION("""COMPUTED_VALUE"""),"1.351 €/m2")</f>
        <v>1.351 €/m2</v>
      </c>
      <c r="C140" s="1" t="str">
        <f>IFERROR(__xludf.DUMMYFUNCTION("""COMPUTED_VALUE"""),"- 0,4 %")</f>
        <v>- 0,4 %</v>
      </c>
      <c r="D140" s="1" t="str">
        <f>IFERROR(__xludf.DUMMYFUNCTION("""COMPUTED_VALUE"""),"- 3,4 %")</f>
        <v>- 3,4 %</v>
      </c>
      <c r="E140" s="1" t="str">
        <f>IFERROR(__xludf.DUMMYFUNCTION("""COMPUTED_VALUE"""),"- 8,1 %")</f>
        <v>- 8,1 %</v>
      </c>
    </row>
    <row r="141">
      <c r="A141" s="2">
        <f>IFERROR(__xludf.DUMMYFUNCTION("""COMPUTED_VALUE"""),41944.0)</f>
        <v>41944</v>
      </c>
      <c r="B141" s="1" t="str">
        <f>IFERROR(__xludf.DUMMYFUNCTION("""COMPUTED_VALUE"""),"1.356 €/m2")</f>
        <v>1.356 €/m2</v>
      </c>
      <c r="C141" s="1" t="str">
        <f>IFERROR(__xludf.DUMMYFUNCTION("""COMPUTED_VALUE"""),"- 2,6 %")</f>
        <v>- 2,6 %</v>
      </c>
      <c r="D141" s="1" t="str">
        <f>IFERROR(__xludf.DUMMYFUNCTION("""COMPUTED_VALUE"""),"- 1,6 %")</f>
        <v>- 1,6 %</v>
      </c>
      <c r="E141" s="1" t="str">
        <f>IFERROR(__xludf.DUMMYFUNCTION("""COMPUTED_VALUE"""),"- 8,0 %")</f>
        <v>- 8,0 %</v>
      </c>
    </row>
    <row r="142">
      <c r="A142" s="2">
        <f>IFERROR(__xludf.DUMMYFUNCTION("""COMPUTED_VALUE"""),41913.0)</f>
        <v>41913</v>
      </c>
      <c r="B142" s="1" t="str">
        <f>IFERROR(__xludf.DUMMYFUNCTION("""COMPUTED_VALUE"""),"1.392 €/m2")</f>
        <v>1.392 €/m2</v>
      </c>
      <c r="C142" s="1" t="str">
        <f>IFERROR(__xludf.DUMMYFUNCTION("""COMPUTED_VALUE"""),"- 0,4 %")</f>
        <v>- 0,4 %</v>
      </c>
      <c r="D142" s="1" t="str">
        <f>IFERROR(__xludf.DUMMYFUNCTION("""COMPUTED_VALUE"""),"+ 2,4 %")</f>
        <v>+ 2,4 %</v>
      </c>
      <c r="E142" s="1" t="str">
        <f>IFERROR(__xludf.DUMMYFUNCTION("""COMPUTED_VALUE"""),"- 8,0 %")</f>
        <v>- 8,0 %</v>
      </c>
    </row>
    <row r="143">
      <c r="A143" s="2">
        <f>IFERROR(__xludf.DUMMYFUNCTION("""COMPUTED_VALUE"""),41883.0)</f>
        <v>41883</v>
      </c>
      <c r="B143" s="1" t="str">
        <f>IFERROR(__xludf.DUMMYFUNCTION("""COMPUTED_VALUE"""),"1.398 €/m2")</f>
        <v>1.398 €/m2</v>
      </c>
      <c r="C143" s="1" t="str">
        <f>IFERROR(__xludf.DUMMYFUNCTION("""COMPUTED_VALUE"""),"+ 1,4 %")</f>
        <v>+ 1,4 %</v>
      </c>
      <c r="D143" s="1" t="str">
        <f>IFERROR(__xludf.DUMMYFUNCTION("""COMPUTED_VALUE"""),"+ 2,5 %")</f>
        <v>+ 2,5 %</v>
      </c>
      <c r="E143" s="1" t="str">
        <f>IFERROR(__xludf.DUMMYFUNCTION("""COMPUTED_VALUE"""),"- 8,3 %")</f>
        <v>- 8,3 %</v>
      </c>
    </row>
    <row r="144">
      <c r="A144" s="2">
        <f>IFERROR(__xludf.DUMMYFUNCTION("""COMPUTED_VALUE"""),41852.0)</f>
        <v>41852</v>
      </c>
      <c r="B144" s="1" t="str">
        <f>IFERROR(__xludf.DUMMYFUNCTION("""COMPUTED_VALUE"""),"1.379 €/m2")</f>
        <v>1.379 €/m2</v>
      </c>
      <c r="C144" s="1" t="str">
        <f>IFERROR(__xludf.DUMMYFUNCTION("""COMPUTED_VALUE"""),"+ 1,5 %")</f>
        <v>+ 1,5 %</v>
      </c>
      <c r="D144" s="1" t="str">
        <f>IFERROR(__xludf.DUMMYFUNCTION("""COMPUTED_VALUE"""),"- 2,8 %")</f>
        <v>- 2,8 %</v>
      </c>
      <c r="E144" s="1" t="str">
        <f>IFERROR(__xludf.DUMMYFUNCTION("""COMPUTED_VALUE"""),"- 6,5 %")</f>
        <v>- 6,5 %</v>
      </c>
    </row>
    <row r="145">
      <c r="A145" s="2">
        <f>IFERROR(__xludf.DUMMYFUNCTION("""COMPUTED_VALUE"""),41821.0)</f>
        <v>41821</v>
      </c>
      <c r="B145" s="1" t="str">
        <f>IFERROR(__xludf.DUMMYFUNCTION("""COMPUTED_VALUE"""),"1.359 €/m2")</f>
        <v>1.359 €/m2</v>
      </c>
      <c r="C145" s="1" t="str">
        <f>IFERROR(__xludf.DUMMYFUNCTION("""COMPUTED_VALUE"""),"- 0,4 %")</f>
        <v>- 0,4 %</v>
      </c>
      <c r="D145" s="1" t="str">
        <f>IFERROR(__xludf.DUMMYFUNCTION("""COMPUTED_VALUE"""),"- 3,0 %")</f>
        <v>- 3,0 %</v>
      </c>
      <c r="E145" s="1" t="str">
        <f>IFERROR(__xludf.DUMMYFUNCTION("""COMPUTED_VALUE"""),"- 10,4 %")</f>
        <v>- 10,4 %</v>
      </c>
    </row>
    <row r="146">
      <c r="A146" s="2">
        <f>IFERROR(__xludf.DUMMYFUNCTION("""COMPUTED_VALUE"""),41791.0)</f>
        <v>41791</v>
      </c>
      <c r="B146" s="1" t="str">
        <f>IFERROR(__xludf.DUMMYFUNCTION("""COMPUTED_VALUE"""),"1.364 €/m2")</f>
        <v>1.364 €/m2</v>
      </c>
      <c r="C146" s="1" t="str">
        <f>IFERROR(__xludf.DUMMYFUNCTION("""COMPUTED_VALUE"""),"- 3,9 %")</f>
        <v>- 3,9 %</v>
      </c>
      <c r="D146" s="1" t="str">
        <f>IFERROR(__xludf.DUMMYFUNCTION("""COMPUTED_VALUE"""),"- 5,3 %")</f>
        <v>- 5,3 %</v>
      </c>
      <c r="E146" s="1" t="str">
        <f>IFERROR(__xludf.DUMMYFUNCTION("""COMPUTED_VALUE"""),"- 10,5 %")</f>
        <v>- 10,5 %</v>
      </c>
    </row>
    <row r="147">
      <c r="A147" s="2">
        <f>IFERROR(__xludf.DUMMYFUNCTION("""COMPUTED_VALUE"""),41760.0)</f>
        <v>41760</v>
      </c>
      <c r="B147" s="1" t="str">
        <f>IFERROR(__xludf.DUMMYFUNCTION("""COMPUTED_VALUE"""),"1.419 €/m2")</f>
        <v>1.419 €/m2</v>
      </c>
      <c r="C147" s="1" t="str">
        <f>IFERROR(__xludf.DUMMYFUNCTION("""COMPUTED_VALUE"""),"+ 1,3 %")</f>
        <v>+ 1,3 %</v>
      </c>
      <c r="D147" s="1" t="str">
        <f>IFERROR(__xludf.DUMMYFUNCTION("""COMPUTED_VALUE"""),"- 4,4 %")</f>
        <v>- 4,4 %</v>
      </c>
      <c r="E147" s="1" t="str">
        <f>IFERROR(__xludf.DUMMYFUNCTION("""COMPUTED_VALUE"""),"- 7,3 %")</f>
        <v>- 7,3 %</v>
      </c>
    </row>
    <row r="148">
      <c r="A148" s="2">
        <f>IFERROR(__xludf.DUMMYFUNCTION("""COMPUTED_VALUE"""),41730.0)</f>
        <v>41730</v>
      </c>
      <c r="B148" s="1" t="str">
        <f>IFERROR(__xludf.DUMMYFUNCTION("""COMPUTED_VALUE"""),"1.401 €/m2")</f>
        <v>1.401 €/m2</v>
      </c>
      <c r="C148" s="1" t="str">
        <f>IFERROR(__xludf.DUMMYFUNCTION("""COMPUTED_VALUE"""),"- 2,8 %")</f>
        <v>- 2,8 %</v>
      </c>
      <c r="D148" s="1" t="str">
        <f>IFERROR(__xludf.DUMMYFUNCTION("""COMPUTED_VALUE"""),"- 4,2 %")</f>
        <v>- 4,2 %</v>
      </c>
      <c r="E148" s="1" t="str">
        <f>IFERROR(__xludf.DUMMYFUNCTION("""COMPUTED_VALUE"""),"- 7,7 %")</f>
        <v>- 7,7 %</v>
      </c>
    </row>
    <row r="149">
      <c r="A149" s="2">
        <f>IFERROR(__xludf.DUMMYFUNCTION("""COMPUTED_VALUE"""),41699.0)</f>
        <v>41699</v>
      </c>
      <c r="B149" s="1" t="str">
        <f>IFERROR(__xludf.DUMMYFUNCTION("""COMPUTED_VALUE"""),"1.441 €/m2")</f>
        <v>1.441 €/m2</v>
      </c>
      <c r="C149" s="1" t="str">
        <f>IFERROR(__xludf.DUMMYFUNCTION("""COMPUTED_VALUE"""),"- 2,9 %")</f>
        <v>- 2,9 %</v>
      </c>
      <c r="D149" s="1" t="str">
        <f>IFERROR(__xludf.DUMMYFUNCTION("""COMPUTED_VALUE"""),"- 1,9 %")</f>
        <v>- 1,9 %</v>
      </c>
      <c r="E149" s="1" t="str">
        <f>IFERROR(__xludf.DUMMYFUNCTION("""COMPUTED_VALUE"""),"- 5,8 %")</f>
        <v>- 5,8 %</v>
      </c>
    </row>
    <row r="150">
      <c r="A150" s="2">
        <f>IFERROR(__xludf.DUMMYFUNCTION("""COMPUTED_VALUE"""),41671.0)</f>
        <v>41671</v>
      </c>
      <c r="B150" s="1" t="str">
        <f>IFERROR(__xludf.DUMMYFUNCTION("""COMPUTED_VALUE"""),"1.484 €/m2")</f>
        <v>1.484 €/m2</v>
      </c>
      <c r="C150" s="1" t="str">
        <f>IFERROR(__xludf.DUMMYFUNCTION("""COMPUTED_VALUE"""),"+ 1,6 %")</f>
        <v>+ 1,6 %</v>
      </c>
      <c r="D150" s="1" t="str">
        <f>IFERROR(__xludf.DUMMYFUNCTION("""COMPUTED_VALUE"""),"+ 0,7 %")</f>
        <v>+ 0,7 %</v>
      </c>
      <c r="E150" s="1" t="str">
        <f>IFERROR(__xludf.DUMMYFUNCTION("""COMPUTED_VALUE"""),"- 2,8 %")</f>
        <v>- 2,8 %</v>
      </c>
    </row>
    <row r="151">
      <c r="A151" s="2">
        <f>IFERROR(__xludf.DUMMYFUNCTION("""COMPUTED_VALUE"""),41640.0)</f>
        <v>41640</v>
      </c>
      <c r="B151" s="1" t="str">
        <f>IFERROR(__xludf.DUMMYFUNCTION("""COMPUTED_VALUE"""),"1.462 €/m2")</f>
        <v>1.462 €/m2</v>
      </c>
      <c r="C151" s="1" t="str">
        <f>IFERROR(__xludf.DUMMYFUNCTION("""COMPUTED_VALUE"""),"- 0,5 %")</f>
        <v>- 0,5 %</v>
      </c>
      <c r="D151" s="1" t="str">
        <f>IFERROR(__xludf.DUMMYFUNCTION("""COMPUTED_VALUE"""),"- 3,4 %")</f>
        <v>- 3,4 %</v>
      </c>
      <c r="E151" s="1" t="str">
        <f>IFERROR(__xludf.DUMMYFUNCTION("""COMPUTED_VALUE"""),"- 5,8 %")</f>
        <v>- 5,8 %</v>
      </c>
    </row>
    <row r="152">
      <c r="A152" s="2">
        <f>IFERROR(__xludf.DUMMYFUNCTION("""COMPUTED_VALUE"""),41609.0)</f>
        <v>41609</v>
      </c>
      <c r="B152" s="1" t="str">
        <f>IFERROR(__xludf.DUMMYFUNCTION("""COMPUTED_VALUE"""),"1.470 €/m2")</f>
        <v>1.470 €/m2</v>
      </c>
      <c r="C152" s="1" t="str">
        <f>IFERROR(__xludf.DUMMYFUNCTION("""COMPUTED_VALUE"""),"- 0,3 %")</f>
        <v>- 0,3 %</v>
      </c>
      <c r="D152" s="1" t="str">
        <f>IFERROR(__xludf.DUMMYFUNCTION("""COMPUTED_VALUE"""),"- 3,6 %")</f>
        <v>- 3,6 %</v>
      </c>
      <c r="E152" s="1" t="str">
        <f>IFERROR(__xludf.DUMMYFUNCTION("""COMPUTED_VALUE"""),"- 6,7 %")</f>
        <v>- 6,7 %</v>
      </c>
    </row>
    <row r="153">
      <c r="A153" s="2">
        <f>IFERROR(__xludf.DUMMYFUNCTION("""COMPUTED_VALUE"""),41579.0)</f>
        <v>41579</v>
      </c>
      <c r="B153" s="1" t="str">
        <f>IFERROR(__xludf.DUMMYFUNCTION("""COMPUTED_VALUE"""),"1.474 €/m2")</f>
        <v>1.474 €/m2</v>
      </c>
      <c r="C153" s="1" t="str">
        <f>IFERROR(__xludf.DUMMYFUNCTION("""COMPUTED_VALUE"""),"- 2,6 %")</f>
        <v>- 2,6 %</v>
      </c>
      <c r="D153" s="1" t="str">
        <f>IFERROR(__xludf.DUMMYFUNCTION("""COMPUTED_VALUE"""),"- 0,1 %")</f>
        <v>- 0,1 %</v>
      </c>
      <c r="E153" s="1" t="str">
        <f>IFERROR(__xludf.DUMMYFUNCTION("""COMPUTED_VALUE"""),"- 9,4 %")</f>
        <v>- 9,4 %</v>
      </c>
    </row>
    <row r="154">
      <c r="A154" s="2">
        <f>IFERROR(__xludf.DUMMYFUNCTION("""COMPUTED_VALUE"""),41548.0)</f>
        <v>41548</v>
      </c>
      <c r="B154" s="1" t="str">
        <f>IFERROR(__xludf.DUMMYFUNCTION("""COMPUTED_VALUE"""),"1.513 €/m2")</f>
        <v>1.513 €/m2</v>
      </c>
      <c r="C154" s="1" t="str">
        <f>IFERROR(__xludf.DUMMYFUNCTION("""COMPUTED_VALUE"""),"- 0,8 %")</f>
        <v>- 0,8 %</v>
      </c>
      <c r="D154" s="1" t="str">
        <f>IFERROR(__xludf.DUMMYFUNCTION("""COMPUTED_VALUE"""),"- 0,2 %")</f>
        <v>- 0,2 %</v>
      </c>
      <c r="E154" s="1" t="str">
        <f>IFERROR(__xludf.DUMMYFUNCTION("""COMPUTED_VALUE"""),"- 8,5 %")</f>
        <v>- 8,5 %</v>
      </c>
    </row>
    <row r="155">
      <c r="A155" s="2">
        <f>IFERROR(__xludf.DUMMYFUNCTION("""COMPUTED_VALUE"""),41518.0)</f>
        <v>41518</v>
      </c>
      <c r="B155" s="1" t="str">
        <f>IFERROR(__xludf.DUMMYFUNCTION("""COMPUTED_VALUE"""),"1.525 €/m2")</f>
        <v>1.525 €/m2</v>
      </c>
      <c r="C155" s="1" t="str">
        <f>IFERROR(__xludf.DUMMYFUNCTION("""COMPUTED_VALUE"""),"+ 3,4 %")</f>
        <v>+ 3,4 %</v>
      </c>
      <c r="D155" s="1" t="str">
        <f>IFERROR(__xludf.DUMMYFUNCTION("""COMPUTED_VALUE"""),"0,0 %")</f>
        <v>0,0 %</v>
      </c>
      <c r="E155" s="1" t="str">
        <f>IFERROR(__xludf.DUMMYFUNCTION("""COMPUTED_VALUE"""),"- 9,4 %")</f>
        <v>- 9,4 %</v>
      </c>
    </row>
    <row r="156">
      <c r="A156" s="2">
        <f>IFERROR(__xludf.DUMMYFUNCTION("""COMPUTED_VALUE"""),41487.0)</f>
        <v>41487</v>
      </c>
      <c r="B156" s="1" t="str">
        <f>IFERROR(__xludf.DUMMYFUNCTION("""COMPUTED_VALUE"""),"1.475 €/m2")</f>
        <v>1.475 €/m2</v>
      </c>
      <c r="C156" s="1" t="str">
        <f>IFERROR(__xludf.DUMMYFUNCTION("""COMPUTED_VALUE"""),"- 2,7 %")</f>
        <v>- 2,7 %</v>
      </c>
      <c r="D156" s="1" t="str">
        <f>IFERROR(__xludf.DUMMYFUNCTION("""COMPUTED_VALUE"""),"- 3,6 %")</f>
        <v>- 3,6 %</v>
      </c>
      <c r="E156" s="1" t="str">
        <f>IFERROR(__xludf.DUMMYFUNCTION("""COMPUTED_VALUE"""),"- 12,9 %")</f>
        <v>- 12,9 %</v>
      </c>
    </row>
    <row r="157">
      <c r="A157" s="2">
        <f>IFERROR(__xludf.DUMMYFUNCTION("""COMPUTED_VALUE"""),41456.0)</f>
        <v>41456</v>
      </c>
      <c r="B157" s="1" t="str">
        <f>IFERROR(__xludf.DUMMYFUNCTION("""COMPUTED_VALUE"""),"1.516 €/m2")</f>
        <v>1.516 €/m2</v>
      </c>
      <c r="C157" s="1" t="str">
        <f>IFERROR(__xludf.DUMMYFUNCTION("""COMPUTED_VALUE"""),"- 0,5 %")</f>
        <v>- 0,5 %</v>
      </c>
      <c r="D157" s="1" t="str">
        <f>IFERROR(__xludf.DUMMYFUNCTION("""COMPUTED_VALUE"""),"- 0,1 %")</f>
        <v>- 0,1 %</v>
      </c>
      <c r="E157" s="1" t="str">
        <f>IFERROR(__xludf.DUMMYFUNCTION("""COMPUTED_VALUE"""),"- 12,6 %")</f>
        <v>- 12,6 %</v>
      </c>
    </row>
    <row r="158">
      <c r="A158" s="2">
        <f>IFERROR(__xludf.DUMMYFUNCTION("""COMPUTED_VALUE"""),41426.0)</f>
        <v>41426</v>
      </c>
      <c r="B158" s="1" t="str">
        <f>IFERROR(__xludf.DUMMYFUNCTION("""COMPUTED_VALUE"""),"1.524 €/m2")</f>
        <v>1.524 €/m2</v>
      </c>
      <c r="C158" s="1" t="str">
        <f>IFERROR(__xludf.DUMMYFUNCTION("""COMPUTED_VALUE"""),"- 0,4 %")</f>
        <v>- 0,4 %</v>
      </c>
      <c r="D158" s="1" t="str">
        <f>IFERROR(__xludf.DUMMYFUNCTION("""COMPUTED_VALUE"""),"- 0,4 %")</f>
        <v>- 0,4 %</v>
      </c>
      <c r="E158" s="1" t="str">
        <f>IFERROR(__xludf.DUMMYFUNCTION("""COMPUTED_VALUE"""),"- 14,3 %")</f>
        <v>- 14,3 %</v>
      </c>
    </row>
    <row r="159">
      <c r="A159" s="2">
        <f>IFERROR(__xludf.DUMMYFUNCTION("""COMPUTED_VALUE"""),41395.0)</f>
        <v>41395</v>
      </c>
      <c r="B159" s="1" t="str">
        <f>IFERROR(__xludf.DUMMYFUNCTION("""COMPUTED_VALUE"""),"1.531 €/m2")</f>
        <v>1.531 €/m2</v>
      </c>
      <c r="C159" s="1" t="str">
        <f>IFERROR(__xludf.DUMMYFUNCTION("""COMPUTED_VALUE"""),"+ 0,9 %")</f>
        <v>+ 0,9 %</v>
      </c>
      <c r="D159" s="1" t="str">
        <f>IFERROR(__xludf.DUMMYFUNCTION("""COMPUTED_VALUE"""),"+ 0,2 %")</f>
        <v>+ 0,2 %</v>
      </c>
      <c r="E159" s="1" t="str">
        <f>IFERROR(__xludf.DUMMYFUNCTION("""COMPUTED_VALUE"""),"- 16,4 %")</f>
        <v>- 16,4 %</v>
      </c>
    </row>
    <row r="160">
      <c r="A160" s="2">
        <f>IFERROR(__xludf.DUMMYFUNCTION("""COMPUTED_VALUE"""),41365.0)</f>
        <v>41365</v>
      </c>
      <c r="B160" s="1" t="str">
        <f>IFERROR(__xludf.DUMMYFUNCTION("""COMPUTED_VALUE"""),"1.517 €/m2")</f>
        <v>1.517 €/m2</v>
      </c>
      <c r="C160" s="1" t="str">
        <f>IFERROR(__xludf.DUMMYFUNCTION("""COMPUTED_VALUE"""),"- 0,9 %")</f>
        <v>- 0,9 %</v>
      </c>
      <c r="D160" s="1" t="str">
        <f>IFERROR(__xludf.DUMMYFUNCTION("""COMPUTED_VALUE"""),"- 2,2 %")</f>
        <v>- 2,2 %</v>
      </c>
      <c r="E160" s="1" t="str">
        <f>IFERROR(__xludf.DUMMYFUNCTION("""COMPUTED_VALUE"""),"- 18,2 %")</f>
        <v>- 18,2 %</v>
      </c>
    </row>
    <row r="161">
      <c r="A161" s="2">
        <f>IFERROR(__xludf.DUMMYFUNCTION("""COMPUTED_VALUE"""),41334.0)</f>
        <v>41334</v>
      </c>
      <c r="B161" s="1" t="str">
        <f>IFERROR(__xludf.DUMMYFUNCTION("""COMPUTED_VALUE"""),"1.531 €/m2")</f>
        <v>1.531 €/m2</v>
      </c>
      <c r="C161" s="1" t="str">
        <f>IFERROR(__xludf.DUMMYFUNCTION("""COMPUTED_VALUE"""),"+ 0,2 %")</f>
        <v>+ 0,2 %</v>
      </c>
      <c r="D161" s="1" t="str">
        <f>IFERROR(__xludf.DUMMYFUNCTION("""COMPUTED_VALUE"""),"- 2,9 %")</f>
        <v>- 2,9 %</v>
      </c>
      <c r="E161" s="1" t="str">
        <f>IFERROR(__xludf.DUMMYFUNCTION("""COMPUTED_VALUE"""),"- 18,8 %")</f>
        <v>- 18,8 %</v>
      </c>
    </row>
    <row r="162">
      <c r="A162" s="2">
        <f>IFERROR(__xludf.DUMMYFUNCTION("""COMPUTED_VALUE"""),41306.0)</f>
        <v>41306</v>
      </c>
      <c r="B162" s="1" t="str">
        <f>IFERROR(__xludf.DUMMYFUNCTION("""COMPUTED_VALUE"""),"1.527 €/m2")</f>
        <v>1.527 €/m2</v>
      </c>
      <c r="C162" s="1" t="str">
        <f>IFERROR(__xludf.DUMMYFUNCTION("""COMPUTED_VALUE"""),"- 1,5 %")</f>
        <v>- 1,5 %</v>
      </c>
      <c r="D162" s="1" t="str">
        <f>IFERROR(__xludf.DUMMYFUNCTION("""COMPUTED_VALUE"""),"- 6,1 %")</f>
        <v>- 6,1 %</v>
      </c>
      <c r="E162" s="1" t="str">
        <f>IFERROR(__xludf.DUMMYFUNCTION("""COMPUTED_VALUE"""),"- 19,1 %")</f>
        <v>- 19,1 %</v>
      </c>
    </row>
    <row r="163">
      <c r="A163" s="2">
        <f>IFERROR(__xludf.DUMMYFUNCTION("""COMPUTED_VALUE"""),41275.0)</f>
        <v>41275</v>
      </c>
      <c r="B163" s="1" t="str">
        <f>IFERROR(__xludf.DUMMYFUNCTION("""COMPUTED_VALUE"""),"1.551 €/m2")</f>
        <v>1.551 €/m2</v>
      </c>
      <c r="C163" s="1" t="str">
        <f>IFERROR(__xludf.DUMMYFUNCTION("""COMPUTED_VALUE"""),"- 1,6 %")</f>
        <v>- 1,6 %</v>
      </c>
      <c r="D163" s="1" t="str">
        <f>IFERROR(__xludf.DUMMYFUNCTION("""COMPUTED_VALUE"""),"- 6,1 %")</f>
        <v>- 6,1 %</v>
      </c>
      <c r="E163" s="1" t="str">
        <f>IFERROR(__xludf.DUMMYFUNCTION("""COMPUTED_VALUE"""),"- 18,4 %")</f>
        <v>- 18,4 %</v>
      </c>
    </row>
    <row r="164">
      <c r="A164" s="2">
        <f>IFERROR(__xludf.DUMMYFUNCTION("""COMPUTED_VALUE"""),41244.0)</f>
        <v>41244</v>
      </c>
      <c r="B164" s="1" t="str">
        <f>IFERROR(__xludf.DUMMYFUNCTION("""COMPUTED_VALUE"""),"1.576 €/m2")</f>
        <v>1.576 €/m2</v>
      </c>
      <c r="C164" s="1" t="str">
        <f>IFERROR(__xludf.DUMMYFUNCTION("""COMPUTED_VALUE"""),"- 3,2 %")</f>
        <v>- 3,2 %</v>
      </c>
      <c r="D164" s="1" t="str">
        <f>IFERROR(__xludf.DUMMYFUNCTION("""COMPUTED_VALUE"""),"- 6,3 %")</f>
        <v>- 6,3 %</v>
      </c>
      <c r="E164" s="1" t="str">
        <f>IFERROR(__xludf.DUMMYFUNCTION("""COMPUTED_VALUE"""),"- 17,7 %")</f>
        <v>- 17,7 %</v>
      </c>
    </row>
    <row r="165">
      <c r="A165" s="2">
        <f>IFERROR(__xludf.DUMMYFUNCTION("""COMPUTED_VALUE"""),41214.0)</f>
        <v>41214</v>
      </c>
      <c r="B165" s="1" t="str">
        <f>IFERROR(__xludf.DUMMYFUNCTION("""COMPUTED_VALUE"""),"1.627 €/m2")</f>
        <v>1.627 €/m2</v>
      </c>
      <c r="C165" s="1" t="str">
        <f>IFERROR(__xludf.DUMMYFUNCTION("""COMPUTED_VALUE"""),"- 1,5 %")</f>
        <v>- 1,5 %</v>
      </c>
      <c r="D165" s="1" t="str">
        <f>IFERROR(__xludf.DUMMYFUNCTION("""COMPUTED_VALUE"""),"- 4,0 %")</f>
        <v>- 4,0 %</v>
      </c>
      <c r="E165" s="1" t="str">
        <f>IFERROR(__xludf.DUMMYFUNCTION("""COMPUTED_VALUE"""),"- 18,2 %")</f>
        <v>- 18,2 %</v>
      </c>
    </row>
    <row r="166">
      <c r="A166" s="2">
        <f>IFERROR(__xludf.DUMMYFUNCTION("""COMPUTED_VALUE"""),41183.0)</f>
        <v>41183</v>
      </c>
      <c r="B166" s="1" t="str">
        <f>IFERROR(__xludf.DUMMYFUNCTION("""COMPUTED_VALUE"""),"1.652 €/m2")</f>
        <v>1.652 €/m2</v>
      </c>
      <c r="C166" s="1" t="str">
        <f>IFERROR(__xludf.DUMMYFUNCTION("""COMPUTED_VALUE"""),"- 1,8 %")</f>
        <v>- 1,8 %</v>
      </c>
      <c r="D166" s="1" t="str">
        <f>IFERROR(__xludf.DUMMYFUNCTION("""COMPUTED_VALUE"""),"- 4,8 %")</f>
        <v>- 4,8 %</v>
      </c>
      <c r="E166" s="1" t="str">
        <f>IFERROR(__xludf.DUMMYFUNCTION("""COMPUTED_VALUE"""),"- 18,9 %")</f>
        <v>- 18,9 %</v>
      </c>
    </row>
    <row r="167">
      <c r="A167" s="2">
        <f>IFERROR(__xludf.DUMMYFUNCTION("""COMPUTED_VALUE"""),41153.0)</f>
        <v>41153</v>
      </c>
      <c r="B167" s="1" t="str">
        <f>IFERROR(__xludf.DUMMYFUNCTION("""COMPUTED_VALUE"""),"1.682 €/m2")</f>
        <v>1.682 €/m2</v>
      </c>
      <c r="C167" s="1" t="str">
        <f>IFERROR(__xludf.DUMMYFUNCTION("""COMPUTED_VALUE"""),"- 0,7 %")</f>
        <v>- 0,7 %</v>
      </c>
      <c r="D167" s="1" t="str">
        <f>IFERROR(__xludf.DUMMYFUNCTION("""COMPUTED_VALUE"""),"- 5,4 %")</f>
        <v>- 5,4 %</v>
      </c>
      <c r="E167" s="1" t="str">
        <f>IFERROR(__xludf.DUMMYFUNCTION("""COMPUTED_VALUE"""),"- 17,8 %")</f>
        <v>- 17,8 %</v>
      </c>
    </row>
    <row r="168">
      <c r="A168" s="2">
        <f>IFERROR(__xludf.DUMMYFUNCTION("""COMPUTED_VALUE"""),41122.0)</f>
        <v>41122</v>
      </c>
      <c r="B168" s="1" t="str">
        <f>IFERROR(__xludf.DUMMYFUNCTION("""COMPUTED_VALUE"""),"1.694 €/m2")</f>
        <v>1.694 €/m2</v>
      </c>
      <c r="C168" s="1" t="str">
        <f>IFERROR(__xludf.DUMMYFUNCTION("""COMPUTED_VALUE"""),"- 2,4 %")</f>
        <v>- 2,4 %</v>
      </c>
      <c r="D168" s="1" t="str">
        <f>IFERROR(__xludf.DUMMYFUNCTION("""COMPUTED_VALUE"""),"- 7,5 %")</f>
        <v>- 7,5 %</v>
      </c>
      <c r="E168" s="1" t="str">
        <f>IFERROR(__xludf.DUMMYFUNCTION("""COMPUTED_VALUE"""),"- 18,4 %")</f>
        <v>- 18,4 %</v>
      </c>
    </row>
    <row r="169">
      <c r="A169" s="2">
        <f>IFERROR(__xludf.DUMMYFUNCTION("""COMPUTED_VALUE"""),41091.0)</f>
        <v>41091</v>
      </c>
      <c r="B169" s="1" t="str">
        <f>IFERROR(__xludf.DUMMYFUNCTION("""COMPUTED_VALUE"""),"1.736 €/m2")</f>
        <v>1.736 €/m2</v>
      </c>
      <c r="C169" s="1" t="str">
        <f>IFERROR(__xludf.DUMMYFUNCTION("""COMPUTED_VALUE"""),"- 2,4 %")</f>
        <v>- 2,4 %</v>
      </c>
      <c r="D169" s="1" t="str">
        <f>IFERROR(__xludf.DUMMYFUNCTION("""COMPUTED_VALUE"""),"- 6,4 %")</f>
        <v>- 6,4 %</v>
      </c>
      <c r="E169" s="1" t="str">
        <f>IFERROR(__xludf.DUMMYFUNCTION("""COMPUTED_VALUE"""),"- 18,5 %")</f>
        <v>- 18,5 %</v>
      </c>
    </row>
    <row r="170">
      <c r="A170" s="2">
        <f>IFERROR(__xludf.DUMMYFUNCTION("""COMPUTED_VALUE"""),41061.0)</f>
        <v>41061</v>
      </c>
      <c r="B170" s="1" t="str">
        <f>IFERROR(__xludf.DUMMYFUNCTION("""COMPUTED_VALUE"""),"1.779 €/m2")</f>
        <v>1.779 €/m2</v>
      </c>
      <c r="C170" s="1" t="str">
        <f>IFERROR(__xludf.DUMMYFUNCTION("""COMPUTED_VALUE"""),"- 2,9 %")</f>
        <v>- 2,9 %</v>
      </c>
      <c r="D170" s="1" t="str">
        <f>IFERROR(__xludf.DUMMYFUNCTION("""COMPUTED_VALUE"""),"- 5,7 %")</f>
        <v>- 5,7 %</v>
      </c>
      <c r="E170" s="1" t="str">
        <f>IFERROR(__xludf.DUMMYFUNCTION("""COMPUTED_VALUE"""),"- 17,8 %")</f>
        <v>- 17,8 %</v>
      </c>
    </row>
    <row r="171">
      <c r="A171" s="2">
        <f>IFERROR(__xludf.DUMMYFUNCTION("""COMPUTED_VALUE"""),41030.0)</f>
        <v>41030</v>
      </c>
      <c r="B171" s="1" t="str">
        <f>IFERROR(__xludf.DUMMYFUNCTION("""COMPUTED_VALUE"""),"1.831 €/m2")</f>
        <v>1.831 €/m2</v>
      </c>
      <c r="C171" s="1" t="str">
        <f>IFERROR(__xludf.DUMMYFUNCTION("""COMPUTED_VALUE"""),"- 1,2 %")</f>
        <v>- 1,2 %</v>
      </c>
      <c r="D171" s="1" t="str">
        <f>IFERROR(__xludf.DUMMYFUNCTION("""COMPUTED_VALUE"""),"- 3,1 %")</f>
        <v>- 3,1 %</v>
      </c>
      <c r="E171" s="1" t="str">
        <f>IFERROR(__xludf.DUMMYFUNCTION("""COMPUTED_VALUE"""),"- 16,4 %")</f>
        <v>- 16,4 %</v>
      </c>
    </row>
    <row r="172">
      <c r="A172" s="2">
        <f>IFERROR(__xludf.DUMMYFUNCTION("""COMPUTED_VALUE"""),41000.0)</f>
        <v>41000</v>
      </c>
      <c r="B172" s="1" t="str">
        <f>IFERROR(__xludf.DUMMYFUNCTION("""COMPUTED_VALUE"""),"1.854 €/m2")</f>
        <v>1.854 €/m2</v>
      </c>
      <c r="C172" s="1" t="str">
        <f>IFERROR(__xludf.DUMMYFUNCTION("""COMPUTED_VALUE"""),"- 1,7 %")</f>
        <v>- 1,7 %</v>
      </c>
      <c r="D172" s="1" t="str">
        <f>IFERROR(__xludf.DUMMYFUNCTION("""COMPUTED_VALUE"""),"- 2,4 %")</f>
        <v>- 2,4 %</v>
      </c>
      <c r="E172" s="1" t="str">
        <f>IFERROR(__xludf.DUMMYFUNCTION("""COMPUTED_VALUE"""),"- 16,4 %")</f>
        <v>- 16,4 %</v>
      </c>
    </row>
    <row r="173">
      <c r="A173" s="2">
        <f>IFERROR(__xludf.DUMMYFUNCTION("""COMPUTED_VALUE"""),40969.0)</f>
        <v>40969</v>
      </c>
      <c r="B173" s="1" t="str">
        <f>IFERROR(__xludf.DUMMYFUNCTION("""COMPUTED_VALUE"""),"1.886 €/m2")</f>
        <v>1.886 €/m2</v>
      </c>
      <c r="C173" s="1" t="str">
        <f>IFERROR(__xludf.DUMMYFUNCTION("""COMPUTED_VALUE"""),"- 0,2 %")</f>
        <v>- 0,2 %</v>
      </c>
      <c r="D173" s="1" t="str">
        <f>IFERROR(__xludf.DUMMYFUNCTION("""COMPUTED_VALUE"""),"- 1,5 %")</f>
        <v>- 1,5 %</v>
      </c>
      <c r="E173" s="1" t="str">
        <f>IFERROR(__xludf.DUMMYFUNCTION("""COMPUTED_VALUE"""),"- 17,6 %")</f>
        <v>- 17,6 %</v>
      </c>
    </row>
    <row r="174">
      <c r="A174" s="2">
        <f>IFERROR(__xludf.DUMMYFUNCTION("""COMPUTED_VALUE"""),40940.0)</f>
        <v>40940</v>
      </c>
      <c r="B174" s="1" t="str">
        <f>IFERROR(__xludf.DUMMYFUNCTION("""COMPUTED_VALUE"""),"1.889 €/m2")</f>
        <v>1.889 €/m2</v>
      </c>
      <c r="C174" s="1" t="str">
        <f>IFERROR(__xludf.DUMMYFUNCTION("""COMPUTED_VALUE"""),"- 0,6 %")</f>
        <v>- 0,6 %</v>
      </c>
      <c r="D174" s="1" t="str">
        <f>IFERROR(__xludf.DUMMYFUNCTION("""COMPUTED_VALUE"""),"- 5,1 %")</f>
        <v>- 5,1 %</v>
      </c>
      <c r="E174" s="1" t="str">
        <f>IFERROR(__xludf.DUMMYFUNCTION("""COMPUTED_VALUE"""),"- 17,4 %")</f>
        <v>- 17,4 %</v>
      </c>
    </row>
    <row r="175">
      <c r="A175" s="2">
        <f>IFERROR(__xludf.DUMMYFUNCTION("""COMPUTED_VALUE"""),40909.0)</f>
        <v>40909</v>
      </c>
      <c r="B175" s="1" t="str">
        <f>IFERROR(__xludf.DUMMYFUNCTION("""COMPUTED_VALUE"""),"1.900 €/m2")</f>
        <v>1.900 €/m2</v>
      </c>
      <c r="C175" s="1" t="str">
        <f>IFERROR(__xludf.DUMMYFUNCTION("""COMPUTED_VALUE"""),"- 0,8 %")</f>
        <v>- 0,8 %</v>
      </c>
      <c r="D175" s="1" t="str">
        <f>IFERROR(__xludf.DUMMYFUNCTION("""COMPUTED_VALUE"""),"- 6,7 %")</f>
        <v>- 6,7 %</v>
      </c>
      <c r="E175" s="1" t="str">
        <f>IFERROR(__xludf.DUMMYFUNCTION("""COMPUTED_VALUE"""),"- 18,1 %")</f>
        <v>- 18,1 %</v>
      </c>
    </row>
    <row r="176">
      <c r="A176" s="2">
        <f>IFERROR(__xludf.DUMMYFUNCTION("""COMPUTED_VALUE"""),40878.0)</f>
        <v>40878</v>
      </c>
      <c r="B176" s="1" t="str">
        <f>IFERROR(__xludf.DUMMYFUNCTION("""COMPUTED_VALUE"""),"1.915 €/m2")</f>
        <v>1.915 €/m2</v>
      </c>
      <c r="C176" s="1" t="str">
        <f>IFERROR(__xludf.DUMMYFUNCTION("""COMPUTED_VALUE"""),"- 3,8 %")</f>
        <v>- 3,8 %</v>
      </c>
      <c r="D176" s="1" t="str">
        <f>IFERROR(__xludf.DUMMYFUNCTION("""COMPUTED_VALUE"""),"- 6,4 %")</f>
        <v>- 6,4 %</v>
      </c>
      <c r="E176" s="1" t="str">
        <f>IFERROR(__xludf.DUMMYFUNCTION("""COMPUTED_VALUE"""),"- 19,2 %")</f>
        <v>- 19,2 %</v>
      </c>
    </row>
    <row r="177">
      <c r="A177" s="2">
        <f>IFERROR(__xludf.DUMMYFUNCTION("""COMPUTED_VALUE"""),40848.0)</f>
        <v>40848</v>
      </c>
      <c r="B177" s="1" t="str">
        <f>IFERROR(__xludf.DUMMYFUNCTION("""COMPUTED_VALUE"""),"1.991 €/m2")</f>
        <v>1.991 €/m2</v>
      </c>
      <c r="C177" s="1" t="str">
        <f>IFERROR(__xludf.DUMMYFUNCTION("""COMPUTED_VALUE"""),"- 2,3 %")</f>
        <v>- 2,3 %</v>
      </c>
      <c r="D177" s="1" t="str">
        <f>IFERROR(__xludf.DUMMYFUNCTION("""COMPUTED_VALUE"""),"- 4,1 %")</f>
        <v>- 4,1 %</v>
      </c>
      <c r="E177" s="1" t="str">
        <f>IFERROR(__xludf.DUMMYFUNCTION("""COMPUTED_VALUE"""),"- 16,9 %")</f>
        <v>- 16,9 %</v>
      </c>
    </row>
    <row r="178">
      <c r="A178" s="2">
        <f>IFERROR(__xludf.DUMMYFUNCTION("""COMPUTED_VALUE"""),40817.0)</f>
        <v>40817</v>
      </c>
      <c r="B178" s="1" t="str">
        <f>IFERROR(__xludf.DUMMYFUNCTION("""COMPUTED_VALUE"""),"2.037 €/m2")</f>
        <v>2.037 €/m2</v>
      </c>
      <c r="C178" s="1" t="str">
        <f>IFERROR(__xludf.DUMMYFUNCTION("""COMPUTED_VALUE"""),"- 0,4 %")</f>
        <v>- 0,4 %</v>
      </c>
      <c r="D178" s="1" t="str">
        <f>IFERROR(__xludf.DUMMYFUNCTION("""COMPUTED_VALUE"""),"- 4,4 %")</f>
        <v>- 4,4 %</v>
      </c>
      <c r="E178" s="1" t="str">
        <f>IFERROR(__xludf.DUMMYFUNCTION("""COMPUTED_VALUE"""),"- 15,9 %")</f>
        <v>- 15,9 %</v>
      </c>
    </row>
    <row r="179">
      <c r="A179" s="2">
        <f>IFERROR(__xludf.DUMMYFUNCTION("""COMPUTED_VALUE"""),40787.0)</f>
        <v>40787</v>
      </c>
      <c r="B179" s="1" t="str">
        <f>IFERROR(__xludf.DUMMYFUNCTION("""COMPUTED_VALUE"""),"2.046 €/m2")</f>
        <v>2.046 €/m2</v>
      </c>
      <c r="C179" s="1" t="str">
        <f>IFERROR(__xludf.DUMMYFUNCTION("""COMPUTED_VALUE"""),"- 1,5 %")</f>
        <v>- 1,5 %</v>
      </c>
      <c r="D179" s="1" t="str">
        <f>IFERROR(__xludf.DUMMYFUNCTION("""COMPUTED_VALUE"""),"- 5,4 %")</f>
        <v>- 5,4 %</v>
      </c>
      <c r="E179" s="1" t="str">
        <f>IFERROR(__xludf.DUMMYFUNCTION("""COMPUTED_VALUE"""),"- 15,3 %")</f>
        <v>- 15,3 %</v>
      </c>
    </row>
    <row r="180">
      <c r="A180" s="2">
        <f>IFERROR(__xludf.DUMMYFUNCTION("""COMPUTED_VALUE"""),40756.0)</f>
        <v>40756</v>
      </c>
      <c r="B180" s="1" t="str">
        <f>IFERROR(__xludf.DUMMYFUNCTION("""COMPUTED_VALUE"""),"2.076 €/m2")</f>
        <v>2.076 €/m2</v>
      </c>
      <c r="C180" s="1" t="str">
        <f>IFERROR(__xludf.DUMMYFUNCTION("""COMPUTED_VALUE"""),"- 2,5 %")</f>
        <v>- 2,5 %</v>
      </c>
      <c r="D180" s="1" t="str">
        <f>IFERROR(__xludf.DUMMYFUNCTION("""COMPUTED_VALUE"""),"- 5,3 %")</f>
        <v>- 5,3 %</v>
      </c>
      <c r="E180" s="1" t="str">
        <f>IFERROR(__xludf.DUMMYFUNCTION("""COMPUTED_VALUE"""),"- 14,0 %")</f>
        <v>- 14,0 %</v>
      </c>
    </row>
    <row r="181">
      <c r="A181" s="2">
        <f>IFERROR(__xludf.DUMMYFUNCTION("""COMPUTED_VALUE"""),40725.0)</f>
        <v>40725</v>
      </c>
      <c r="B181" s="1" t="str">
        <f>IFERROR(__xludf.DUMMYFUNCTION("""COMPUTED_VALUE"""),"2.130 €/m2")</f>
        <v>2.130 €/m2</v>
      </c>
      <c r="C181" s="1" t="str">
        <f>IFERROR(__xludf.DUMMYFUNCTION("""COMPUTED_VALUE"""),"- 1,5 %")</f>
        <v>- 1,5 %</v>
      </c>
      <c r="D181" s="1" t="str">
        <f>IFERROR(__xludf.DUMMYFUNCTION("""COMPUTED_VALUE"""),"- 3,9 %")</f>
        <v>- 3,9 %</v>
      </c>
      <c r="E181" s="1" t="str">
        <f>IFERROR(__xludf.DUMMYFUNCTION("""COMPUTED_VALUE"""),"- 12,5 %")</f>
        <v>- 12,5 %</v>
      </c>
    </row>
    <row r="182">
      <c r="A182" s="2">
        <f>IFERROR(__xludf.DUMMYFUNCTION("""COMPUTED_VALUE"""),40695.0)</f>
        <v>40695</v>
      </c>
      <c r="B182" s="1" t="str">
        <f>IFERROR(__xludf.DUMMYFUNCTION("""COMPUTED_VALUE"""),"2.163 €/m2")</f>
        <v>2.163 €/m2</v>
      </c>
      <c r="C182" s="1" t="str">
        <f>IFERROR(__xludf.DUMMYFUNCTION("""COMPUTED_VALUE"""),"- 1,3 %")</f>
        <v>- 1,3 %</v>
      </c>
      <c r="D182" s="1" t="str">
        <f>IFERROR(__xludf.DUMMYFUNCTION("""COMPUTED_VALUE"""),"- 5,5 %")</f>
        <v>- 5,5 %</v>
      </c>
      <c r="E182" s="1" t="str">
        <f>IFERROR(__xludf.DUMMYFUNCTION("""COMPUTED_VALUE"""),"- 12,5 %")</f>
        <v>- 12,5 %</v>
      </c>
    </row>
    <row r="183">
      <c r="A183" s="2">
        <f>IFERROR(__xludf.DUMMYFUNCTION("""COMPUTED_VALUE"""),40664.0)</f>
        <v>40664</v>
      </c>
      <c r="B183" s="1" t="str">
        <f>IFERROR(__xludf.DUMMYFUNCTION("""COMPUTED_VALUE"""),"2.192 €/m2")</f>
        <v>2.192 €/m2</v>
      </c>
      <c r="C183" s="1" t="str">
        <f>IFERROR(__xludf.DUMMYFUNCTION("""COMPUTED_VALUE"""),"- 1,2 %")</f>
        <v>- 1,2 %</v>
      </c>
      <c r="D183" s="1" t="str">
        <f>IFERROR(__xludf.DUMMYFUNCTION("""COMPUTED_VALUE"""),"- 4,2 %")</f>
        <v>- 4,2 %</v>
      </c>
      <c r="E183" s="1" t="str">
        <f>IFERROR(__xludf.DUMMYFUNCTION("""COMPUTED_VALUE"""),"- 12,5 %")</f>
        <v>- 12,5 %</v>
      </c>
    </row>
    <row r="184">
      <c r="A184" s="2">
        <f>IFERROR(__xludf.DUMMYFUNCTION("""COMPUTED_VALUE"""),40634.0)</f>
        <v>40634</v>
      </c>
      <c r="B184" s="1" t="str">
        <f>IFERROR(__xludf.DUMMYFUNCTION("""COMPUTED_VALUE"""),"2.217 €/m2")</f>
        <v>2.217 €/m2</v>
      </c>
      <c r="C184" s="1" t="str">
        <f>IFERROR(__xludf.DUMMYFUNCTION("""COMPUTED_VALUE"""),"- 3,1 %")</f>
        <v>- 3,1 %</v>
      </c>
      <c r="D184" s="1" t="str">
        <f>IFERROR(__xludf.DUMMYFUNCTION("""COMPUTED_VALUE"""),"- 4,5 %")</f>
        <v>- 4,5 %</v>
      </c>
      <c r="E184" s="1" t="str">
        <f>IFERROR(__xludf.DUMMYFUNCTION("""COMPUTED_VALUE"""),"- 11,6 %")</f>
        <v>- 11,6 %</v>
      </c>
    </row>
    <row r="185">
      <c r="A185" s="2">
        <f>IFERROR(__xludf.DUMMYFUNCTION("""COMPUTED_VALUE"""),40603.0)</f>
        <v>40603</v>
      </c>
      <c r="B185" s="1" t="str">
        <f>IFERROR(__xludf.DUMMYFUNCTION("""COMPUTED_VALUE"""),"2.288 €/m2")</f>
        <v>2.288 €/m2</v>
      </c>
      <c r="C185" s="1" t="str">
        <f>IFERROR(__xludf.DUMMYFUNCTION("""COMPUTED_VALUE"""),"0,0 %")</f>
        <v>0,0 %</v>
      </c>
      <c r="D185" s="1" t="str">
        <f>IFERROR(__xludf.DUMMYFUNCTION("""COMPUTED_VALUE"""),"- 3,5 %")</f>
        <v>- 3,5 %</v>
      </c>
      <c r="E185" s="1" t="str">
        <f>IFERROR(__xludf.DUMMYFUNCTION("""COMPUTED_VALUE"""),"- 8,1 %")</f>
        <v>- 8,1 %</v>
      </c>
    </row>
    <row r="186">
      <c r="A186" s="2">
        <f>IFERROR(__xludf.DUMMYFUNCTION("""COMPUTED_VALUE"""),40575.0)</f>
        <v>40575</v>
      </c>
      <c r="B186" s="1" t="str">
        <f>IFERROR(__xludf.DUMMYFUNCTION("""COMPUTED_VALUE"""),"2.288 €/m2")</f>
        <v>2.288 €/m2</v>
      </c>
      <c r="C186" s="1" t="str">
        <f>IFERROR(__xludf.DUMMYFUNCTION("""COMPUTED_VALUE"""),"- 1,4 %")</f>
        <v>- 1,4 %</v>
      </c>
      <c r="D186" s="1" t="str">
        <f>IFERROR(__xludf.DUMMYFUNCTION("""COMPUTED_VALUE"""),"- 4,4 %")</f>
        <v>- 4,4 %</v>
      </c>
      <c r="E186" s="1" t="str">
        <f>IFERROR(__xludf.DUMMYFUNCTION("""COMPUTED_VALUE"""),"- 6,9 %")</f>
        <v>- 6,9 %</v>
      </c>
    </row>
    <row r="187">
      <c r="A187" s="2">
        <f>IFERROR(__xludf.DUMMYFUNCTION("""COMPUTED_VALUE"""),40544.0)</f>
        <v>40544</v>
      </c>
      <c r="B187" s="1" t="str">
        <f>IFERROR(__xludf.DUMMYFUNCTION("""COMPUTED_VALUE"""),"2.321 €/m2")</f>
        <v>2.321 €/m2</v>
      </c>
      <c r="C187" s="1" t="str">
        <f>IFERROR(__xludf.DUMMYFUNCTION("""COMPUTED_VALUE"""),"- 2,1 %")</f>
        <v>- 2,1 %</v>
      </c>
      <c r="D187" s="1" t="str">
        <f>IFERROR(__xludf.DUMMYFUNCTION("""COMPUTED_VALUE"""),"- 4,2 %")</f>
        <v>- 4,2 %</v>
      </c>
      <c r="E187" s="1" t="str">
        <f>IFERROR(__xludf.DUMMYFUNCTION("""COMPUTED_VALUE"""),"- 7,2 %")</f>
        <v>- 7,2 %</v>
      </c>
    </row>
    <row r="188">
      <c r="A188" s="2">
        <f>IFERROR(__xludf.DUMMYFUNCTION("""COMPUTED_VALUE"""),40513.0)</f>
        <v>40513</v>
      </c>
      <c r="B188" s="1" t="str">
        <f>IFERROR(__xludf.DUMMYFUNCTION("""COMPUTED_VALUE"""),"2.370 €/m2")</f>
        <v>2.370 €/m2</v>
      </c>
      <c r="C188" s="1" t="str">
        <f>IFERROR(__xludf.DUMMYFUNCTION("""COMPUTED_VALUE"""),"- 1,0 %")</f>
        <v>- 1,0 %</v>
      </c>
      <c r="D188" s="1" t="str">
        <f>IFERROR(__xludf.DUMMYFUNCTION("""COMPUTED_VALUE"""),"- 1,9 %")</f>
        <v>- 1,9 %</v>
      </c>
      <c r="E188" s="1" t="str">
        <f>IFERROR(__xludf.DUMMYFUNCTION("""COMPUTED_VALUE"""),"- 5,5 %")</f>
        <v>- 5,5 %</v>
      </c>
    </row>
    <row r="189">
      <c r="A189" s="2">
        <f>IFERROR(__xludf.DUMMYFUNCTION("""COMPUTED_VALUE"""),40483.0)</f>
        <v>40483</v>
      </c>
      <c r="B189" s="1" t="str">
        <f>IFERROR(__xludf.DUMMYFUNCTION("""COMPUTED_VALUE"""),"2.394 €/m2")</f>
        <v>2.394 €/m2</v>
      </c>
      <c r="C189" s="1" t="str">
        <f>IFERROR(__xludf.DUMMYFUNCTION("""COMPUTED_VALUE"""),"- 1,2 %")</f>
        <v>- 1,2 %</v>
      </c>
      <c r="D189" s="1" t="str">
        <f>IFERROR(__xludf.DUMMYFUNCTION("""COMPUTED_VALUE"""),"- 0,9 %")</f>
        <v>- 0,9 %</v>
      </c>
      <c r="E189" s="1" t="str">
        <f>IFERROR(__xludf.DUMMYFUNCTION("""COMPUTED_VALUE"""),"- 5,5 %")</f>
        <v>- 5,5 %</v>
      </c>
    </row>
    <row r="190">
      <c r="A190" s="2">
        <f>IFERROR(__xludf.DUMMYFUNCTION("""COMPUTED_VALUE"""),40452.0)</f>
        <v>40452</v>
      </c>
      <c r="B190" s="1" t="str">
        <f>IFERROR(__xludf.DUMMYFUNCTION("""COMPUTED_VALUE"""),"2.423 €/m2")</f>
        <v>2.423 €/m2</v>
      </c>
      <c r="C190" s="1" t="str">
        <f>IFERROR(__xludf.DUMMYFUNCTION("""COMPUTED_VALUE"""),"+ 0,3 %")</f>
        <v>+ 0,3 %</v>
      </c>
      <c r="D190" s="1" t="str">
        <f>IFERROR(__xludf.DUMMYFUNCTION("""COMPUTED_VALUE"""),"- 0,5 %")</f>
        <v>- 0,5 %</v>
      </c>
      <c r="E190" s="1" t="str">
        <f>IFERROR(__xludf.DUMMYFUNCTION("""COMPUTED_VALUE"""),"- 3,0 %")</f>
        <v>- 3,0 %</v>
      </c>
    </row>
    <row r="191">
      <c r="A191" s="2">
        <f>IFERROR(__xludf.DUMMYFUNCTION("""COMPUTED_VALUE"""),40422.0)</f>
        <v>40422</v>
      </c>
      <c r="B191" s="1" t="str">
        <f>IFERROR(__xludf.DUMMYFUNCTION("""COMPUTED_VALUE"""),"2.416 €/m2")</f>
        <v>2.416 €/m2</v>
      </c>
      <c r="C191" s="1" t="str">
        <f>IFERROR(__xludf.DUMMYFUNCTION("""COMPUTED_VALUE"""),"+ 0,1 %")</f>
        <v>+ 0,1 %</v>
      </c>
      <c r="D191" s="1" t="str">
        <f>IFERROR(__xludf.DUMMYFUNCTION("""COMPUTED_VALUE"""),"- 2,2 %")</f>
        <v>- 2,2 %</v>
      </c>
      <c r="E191" s="1" t="str">
        <f>IFERROR(__xludf.DUMMYFUNCTION("""COMPUTED_VALUE"""),"- 4,4 %")</f>
        <v>- 4,4 %</v>
      </c>
    </row>
    <row r="192">
      <c r="A192" s="2">
        <f>IFERROR(__xludf.DUMMYFUNCTION("""COMPUTED_VALUE"""),40391.0)</f>
        <v>40391</v>
      </c>
      <c r="B192" s="1" t="str">
        <f>IFERROR(__xludf.DUMMYFUNCTION("""COMPUTED_VALUE"""),"2.415 €/m2")</f>
        <v>2.415 €/m2</v>
      </c>
      <c r="C192" s="1" t="str">
        <f>IFERROR(__xludf.DUMMYFUNCTION("""COMPUTED_VALUE"""),"- 0,8 %")</f>
        <v>- 0,8 %</v>
      </c>
      <c r="D192" s="1" t="str">
        <f>IFERROR(__xludf.DUMMYFUNCTION("""COMPUTED_VALUE"""),"- 3,6 %")</f>
        <v>- 3,6 %</v>
      </c>
      <c r="E192" s="1" t="str">
        <f>IFERROR(__xludf.DUMMYFUNCTION("""COMPUTED_VALUE"""),"- 3,7 %")</f>
        <v>- 3,7 %</v>
      </c>
    </row>
    <row r="193">
      <c r="A193" s="2">
        <f>IFERROR(__xludf.DUMMYFUNCTION("""COMPUTED_VALUE"""),40360.0)</f>
        <v>40360</v>
      </c>
      <c r="B193" s="1" t="str">
        <f>IFERROR(__xludf.DUMMYFUNCTION("""COMPUTED_VALUE"""),"2.435 €/m2")</f>
        <v>2.435 €/m2</v>
      </c>
      <c r="C193" s="1" t="str">
        <f>IFERROR(__xludf.DUMMYFUNCTION("""COMPUTED_VALUE"""),"- 1,5 %")</f>
        <v>- 1,5 %</v>
      </c>
      <c r="D193" s="1" t="str">
        <f>IFERROR(__xludf.DUMMYFUNCTION("""COMPUTED_VALUE"""),"- 3,0 %")</f>
        <v>- 3,0 %</v>
      </c>
      <c r="E193" s="1" t="str">
        <f>IFERROR(__xludf.DUMMYFUNCTION("""COMPUTED_VALUE"""),"- 3,9 %")</f>
        <v>- 3,9 %</v>
      </c>
    </row>
    <row r="194">
      <c r="A194" s="2">
        <f>IFERROR(__xludf.DUMMYFUNCTION("""COMPUTED_VALUE"""),40330.0)</f>
        <v>40330</v>
      </c>
      <c r="B194" s="1" t="str">
        <f>IFERROR(__xludf.DUMMYFUNCTION("""COMPUTED_VALUE"""),"2.471 €/m2")</f>
        <v>2.471 €/m2</v>
      </c>
      <c r="C194" s="1" t="str">
        <f>IFERROR(__xludf.DUMMYFUNCTION("""COMPUTED_VALUE"""),"- 1,4 %")</f>
        <v>- 1,4 %</v>
      </c>
      <c r="D194" s="1" t="str">
        <f>IFERROR(__xludf.DUMMYFUNCTION("""COMPUTED_VALUE"""),"- 0,8 %")</f>
        <v>- 0,8 %</v>
      </c>
      <c r="E194" s="1" t="str">
        <f>IFERROR(__xludf.DUMMYFUNCTION("""COMPUTED_VALUE"""),"- 5,4 %")</f>
        <v>- 5,4 %</v>
      </c>
    </row>
    <row r="195">
      <c r="A195" s="2">
        <f>IFERROR(__xludf.DUMMYFUNCTION("""COMPUTED_VALUE"""),40299.0)</f>
        <v>40299</v>
      </c>
      <c r="B195" s="1" t="str">
        <f>IFERROR(__xludf.DUMMYFUNCTION("""COMPUTED_VALUE"""),"2.505 €/m2")</f>
        <v>2.505 €/m2</v>
      </c>
      <c r="C195" s="1" t="str">
        <f>IFERROR(__xludf.DUMMYFUNCTION("""COMPUTED_VALUE"""),"- 0,2 %")</f>
        <v>- 0,2 %</v>
      </c>
      <c r="D195" s="1" t="str">
        <f>IFERROR(__xludf.DUMMYFUNCTION("""COMPUTED_VALUE"""),"+ 2,0 %")</f>
        <v>+ 2,0 %</v>
      </c>
      <c r="E195" s="1" t="str">
        <f>IFERROR(__xludf.DUMMYFUNCTION("""COMPUTED_VALUE"""),"- 5,2 %")</f>
        <v>- 5,2 %</v>
      </c>
    </row>
    <row r="196">
      <c r="A196" s="2">
        <f>IFERROR(__xludf.DUMMYFUNCTION("""COMPUTED_VALUE"""),40269.0)</f>
        <v>40269</v>
      </c>
      <c r="B196" s="1" t="str">
        <f>IFERROR(__xludf.DUMMYFUNCTION("""COMPUTED_VALUE"""),"2.510 €/m2")</f>
        <v>2.510 €/m2</v>
      </c>
      <c r="C196" s="1" t="str">
        <f>IFERROR(__xludf.DUMMYFUNCTION("""COMPUTED_VALUE"""),"+ 0,8 %")</f>
        <v>+ 0,8 %</v>
      </c>
      <c r="D196" s="1" t="str">
        <f>IFERROR(__xludf.DUMMYFUNCTION("""COMPUTED_VALUE"""),"+ 0,4 %")</f>
        <v>+ 0,4 %</v>
      </c>
      <c r="E196" s="1" t="str">
        <f>IFERROR(__xludf.DUMMYFUNCTION("""COMPUTED_VALUE"""),"- 6,7 %")</f>
        <v>- 6,7 %</v>
      </c>
    </row>
    <row r="197">
      <c r="A197" s="2">
        <f>IFERROR(__xludf.DUMMYFUNCTION("""COMPUTED_VALUE"""),40238.0)</f>
        <v>40238</v>
      </c>
      <c r="B197" s="1" t="str">
        <f>IFERROR(__xludf.DUMMYFUNCTION("""COMPUTED_VALUE"""),"2.490 €/m2")</f>
        <v>2.490 €/m2</v>
      </c>
      <c r="C197" s="1" t="str">
        <f>IFERROR(__xludf.DUMMYFUNCTION("""COMPUTED_VALUE"""),"+ 1,4 %")</f>
        <v>+ 1,4 %</v>
      </c>
      <c r="D197" s="1" t="str">
        <f>IFERROR(__xludf.DUMMYFUNCTION("""COMPUTED_VALUE"""),"- 0,7 %")</f>
        <v>- 0,7 %</v>
      </c>
      <c r="E197" s="1" t="str">
        <f>IFERROR(__xludf.DUMMYFUNCTION("""COMPUTED_VALUE"""),"- 8,8 %")</f>
        <v>- 8,8 %</v>
      </c>
    </row>
    <row r="198">
      <c r="A198" s="2">
        <f>IFERROR(__xludf.DUMMYFUNCTION("""COMPUTED_VALUE"""),40210.0)</f>
        <v>40210</v>
      </c>
      <c r="B198" s="1" t="str">
        <f>IFERROR(__xludf.DUMMYFUNCTION("""COMPUTED_VALUE"""),"2.456 €/m2")</f>
        <v>2.456 €/m2</v>
      </c>
      <c r="C198" s="1" t="str">
        <f>IFERROR(__xludf.DUMMYFUNCTION("""COMPUTED_VALUE"""),"- 1,8 %")</f>
        <v>- 1,8 %</v>
      </c>
      <c r="D198" s="1" t="str">
        <f>IFERROR(__xludf.DUMMYFUNCTION("""COMPUTED_VALUE"""),"- 3,0 %")</f>
        <v>- 3,0 %</v>
      </c>
      <c r="E198" s="1" t="str">
        <f>IFERROR(__xludf.DUMMYFUNCTION("""COMPUTED_VALUE"""),"- 10,5 %")</f>
        <v>- 10,5 %</v>
      </c>
    </row>
    <row r="199">
      <c r="A199" s="2">
        <f>IFERROR(__xludf.DUMMYFUNCTION("""COMPUTED_VALUE"""),40179.0)</f>
        <v>40179</v>
      </c>
      <c r="B199" s="1" t="str">
        <f>IFERROR(__xludf.DUMMYFUNCTION("""COMPUTED_VALUE"""),"2.501 €/m2")</f>
        <v>2.501 €/m2</v>
      </c>
      <c r="C199" s="1" t="str">
        <f>IFERROR(__xludf.DUMMYFUNCTION("""COMPUTED_VALUE"""),"- 0,3 %")</f>
        <v>- 0,3 %</v>
      </c>
      <c r="D199" s="1" t="str">
        <f>IFERROR(__xludf.DUMMYFUNCTION("""COMPUTED_VALUE"""),"+ 0,1 %")</f>
        <v>+ 0,1 %</v>
      </c>
      <c r="E199" s="1" t="str">
        <f>IFERROR(__xludf.DUMMYFUNCTION("""COMPUTED_VALUE"""),"- 6,1 %")</f>
        <v>- 6,1 %</v>
      </c>
    </row>
    <row r="200">
      <c r="A200" s="2">
        <f>IFERROR(__xludf.DUMMYFUNCTION("""COMPUTED_VALUE"""),40148.0)</f>
        <v>40148</v>
      </c>
      <c r="B200" s="1" t="str">
        <f>IFERROR(__xludf.DUMMYFUNCTION("""COMPUTED_VALUE"""),"2.508 €/m2")</f>
        <v>2.508 €/m2</v>
      </c>
      <c r="C200" s="1" t="str">
        <f>IFERROR(__xludf.DUMMYFUNCTION("""COMPUTED_VALUE"""),"- 1,0 %")</f>
        <v>- 1,0 %</v>
      </c>
      <c r="D200" s="1" t="str">
        <f>IFERROR(__xludf.DUMMYFUNCTION("""COMPUTED_VALUE"""),"- 0,7 %")</f>
        <v>- 0,7 %</v>
      </c>
      <c r="E200" s="1" t="str">
        <f>IFERROR(__xludf.DUMMYFUNCTION("""COMPUTED_VALUE"""),"- 5,9 %")</f>
        <v>- 5,9 %</v>
      </c>
    </row>
    <row r="201">
      <c r="A201" s="2">
        <f>IFERROR(__xludf.DUMMYFUNCTION("""COMPUTED_VALUE"""),40118.0)</f>
        <v>40118</v>
      </c>
      <c r="B201" s="1" t="str">
        <f>IFERROR(__xludf.DUMMYFUNCTION("""COMPUTED_VALUE"""),"2.533 €/m2")</f>
        <v>2.533 €/m2</v>
      </c>
      <c r="C201" s="1" t="str">
        <f>IFERROR(__xludf.DUMMYFUNCTION("""COMPUTED_VALUE"""),"+ 1,4 %")</f>
        <v>+ 1,4 %</v>
      </c>
      <c r="D201" s="1" t="str">
        <f>IFERROR(__xludf.DUMMYFUNCTION("""COMPUTED_VALUE"""),"+ 1,0 %")</f>
        <v>+ 1,0 %</v>
      </c>
      <c r="E201" s="1" t="str">
        <f>IFERROR(__xludf.DUMMYFUNCTION("""COMPUTED_VALUE"""),"- 5,8 %")</f>
        <v>- 5,8 %</v>
      </c>
    </row>
    <row r="202">
      <c r="A202" s="2">
        <f>IFERROR(__xludf.DUMMYFUNCTION("""COMPUTED_VALUE"""),40087.0)</f>
        <v>40087</v>
      </c>
      <c r="B202" s="1" t="str">
        <f>IFERROR(__xludf.DUMMYFUNCTION("""COMPUTED_VALUE"""),"2.498 €/m2")</f>
        <v>2.498 €/m2</v>
      </c>
      <c r="C202" s="1" t="str">
        <f>IFERROR(__xludf.DUMMYFUNCTION("""COMPUTED_VALUE"""),"- 1,1 %")</f>
        <v>- 1,1 %</v>
      </c>
      <c r="D202" s="1" t="str">
        <f>IFERROR(__xludf.DUMMYFUNCTION("""COMPUTED_VALUE"""),"- 1,4 %")</f>
        <v>- 1,4 %</v>
      </c>
      <c r="E202" s="1" t="str">
        <f>IFERROR(__xludf.DUMMYFUNCTION("""COMPUTED_VALUE"""),"- 7,8 %")</f>
        <v>- 7,8 %</v>
      </c>
    </row>
    <row r="203">
      <c r="A203" s="2">
        <f>IFERROR(__xludf.DUMMYFUNCTION("""COMPUTED_VALUE"""),40057.0)</f>
        <v>40057</v>
      </c>
      <c r="B203" s="1" t="str">
        <f>IFERROR(__xludf.DUMMYFUNCTION("""COMPUTED_VALUE"""),"2.526 €/m2")</f>
        <v>2.526 €/m2</v>
      </c>
      <c r="C203" s="1" t="str">
        <f>IFERROR(__xludf.DUMMYFUNCTION("""COMPUTED_VALUE"""),"+ 0,8 %")</f>
        <v>+ 0,8 %</v>
      </c>
      <c r="D203" s="1" t="str">
        <f>IFERROR(__xludf.DUMMYFUNCTION("""COMPUTED_VALUE"""),"- 3,3 %")</f>
        <v>- 3,3 %</v>
      </c>
      <c r="E203" s="1" t="str">
        <f>IFERROR(__xludf.DUMMYFUNCTION("""COMPUTED_VALUE"""),"- 6,3 %")</f>
        <v>- 6,3 %</v>
      </c>
    </row>
    <row r="204">
      <c r="A204" s="2">
        <f>IFERROR(__xludf.DUMMYFUNCTION("""COMPUTED_VALUE"""),40026.0)</f>
        <v>40026</v>
      </c>
      <c r="B204" s="1" t="str">
        <f>IFERROR(__xludf.DUMMYFUNCTION("""COMPUTED_VALUE"""),"2.507 €/m2")</f>
        <v>2.507 €/m2</v>
      </c>
      <c r="C204" s="1" t="str">
        <f>IFERROR(__xludf.DUMMYFUNCTION("""COMPUTED_VALUE"""),"- 1,1 %")</f>
        <v>- 1,1 %</v>
      </c>
      <c r="D204" s="1" t="str">
        <f>IFERROR(__xludf.DUMMYFUNCTION("""COMPUTED_VALUE"""),"- 5,2 %")</f>
        <v>- 5,2 %</v>
      </c>
      <c r="E204" s="1" t="str">
        <f>IFERROR(__xludf.DUMMYFUNCTION("""COMPUTED_VALUE"""),"- 8,0 %")</f>
        <v>- 8,0 %</v>
      </c>
    </row>
    <row r="205">
      <c r="A205" s="2">
        <f>IFERROR(__xludf.DUMMYFUNCTION("""COMPUTED_VALUE"""),39995.0)</f>
        <v>39995</v>
      </c>
      <c r="B205" s="1" t="str">
        <f>IFERROR(__xludf.DUMMYFUNCTION("""COMPUTED_VALUE"""),"2.534 €/m2")</f>
        <v>2.534 €/m2</v>
      </c>
      <c r="C205" s="1" t="str">
        <f>IFERROR(__xludf.DUMMYFUNCTION("""COMPUTED_VALUE"""),"- 3,0 %")</f>
        <v>- 3,0 %</v>
      </c>
      <c r="D205" s="1" t="str">
        <f>IFERROR(__xludf.DUMMYFUNCTION("""COMPUTED_VALUE"""),"- 5,8 %")</f>
        <v>- 5,8 %</v>
      </c>
      <c r="E205" s="1" t="str">
        <f>IFERROR(__xludf.DUMMYFUNCTION("""COMPUTED_VALUE"""),"- 7,0 %")</f>
        <v>- 7,0 %</v>
      </c>
    </row>
    <row r="206">
      <c r="A206" s="2">
        <f>IFERROR(__xludf.DUMMYFUNCTION("""COMPUTED_VALUE"""),39965.0)</f>
        <v>39965</v>
      </c>
      <c r="B206" s="1" t="str">
        <f>IFERROR(__xludf.DUMMYFUNCTION("""COMPUTED_VALUE"""),"2.613 €/m2")</f>
        <v>2.613 €/m2</v>
      </c>
      <c r="C206" s="1" t="str">
        <f>IFERROR(__xludf.DUMMYFUNCTION("""COMPUTED_VALUE"""),"- 1,2 %")</f>
        <v>- 1,2 %</v>
      </c>
      <c r="D206" s="1" t="str">
        <f>IFERROR(__xludf.DUMMYFUNCTION("""COMPUTED_VALUE"""),"- 4,3 %")</f>
        <v>- 4,3 %</v>
      </c>
      <c r="E206" s="1" t="str">
        <f>IFERROR(__xludf.DUMMYFUNCTION("""COMPUTED_VALUE"""),"- 8,0 %")</f>
        <v>- 8,0 %</v>
      </c>
    </row>
    <row r="207">
      <c r="A207" s="2">
        <f>IFERROR(__xludf.DUMMYFUNCTION("""COMPUTED_VALUE"""),39934.0)</f>
        <v>39934</v>
      </c>
      <c r="B207" s="1" t="str">
        <f>IFERROR(__xludf.DUMMYFUNCTION("""COMPUTED_VALUE"""),"2.644 €/m2")</f>
        <v>2.644 €/m2</v>
      </c>
      <c r="C207" s="1" t="str">
        <f>IFERROR(__xludf.DUMMYFUNCTION("""COMPUTED_VALUE"""),"- 1,7 %")</f>
        <v>- 1,7 %</v>
      </c>
      <c r="D207" s="1" t="str">
        <f>IFERROR(__xludf.DUMMYFUNCTION("""COMPUTED_VALUE"""),"- 3,7 %")</f>
        <v>- 3,7 %</v>
      </c>
      <c r="E207" s="1" t="str">
        <f>IFERROR(__xludf.DUMMYFUNCTION("""COMPUTED_VALUE"""),"- 8,3 %")</f>
        <v>- 8,3 %</v>
      </c>
    </row>
    <row r="208">
      <c r="A208" s="2">
        <f>IFERROR(__xludf.DUMMYFUNCTION("""COMPUTED_VALUE"""),39904.0)</f>
        <v>39904</v>
      </c>
      <c r="B208" s="1" t="str">
        <f>IFERROR(__xludf.DUMMYFUNCTION("""COMPUTED_VALUE"""),"2.691 €/m2")</f>
        <v>2.691 €/m2</v>
      </c>
      <c r="C208" s="1" t="str">
        <f>IFERROR(__xludf.DUMMYFUNCTION("""COMPUTED_VALUE"""),"- 1,4 %")</f>
        <v>- 1,4 %</v>
      </c>
      <c r="D208" s="1" t="str">
        <f>IFERROR(__xludf.DUMMYFUNCTION("""COMPUTED_VALUE"""),"+ 1,0 %")</f>
        <v>+ 1,0 %</v>
      </c>
      <c r="E208" s="1" t="str">
        <f>IFERROR(__xludf.DUMMYFUNCTION("""COMPUTED_VALUE"""),"- 8,6 %")</f>
        <v>- 8,6 %</v>
      </c>
    </row>
    <row r="209">
      <c r="A209" s="2">
        <f>IFERROR(__xludf.DUMMYFUNCTION("""COMPUTED_VALUE"""),39873.0)</f>
        <v>39873</v>
      </c>
      <c r="B209" s="1" t="str">
        <f>IFERROR(__xludf.DUMMYFUNCTION("""COMPUTED_VALUE"""),"2.730 €/m2")</f>
        <v>2.730 €/m2</v>
      </c>
      <c r="C209" s="1" t="str">
        <f>IFERROR(__xludf.DUMMYFUNCTION("""COMPUTED_VALUE"""),"- 0,6 %")</f>
        <v>- 0,6 %</v>
      </c>
      <c r="D209" s="1" t="str">
        <f>IFERROR(__xludf.DUMMYFUNCTION("""COMPUTED_VALUE"""),"+ 2,4 %")</f>
        <v>+ 2,4 %</v>
      </c>
      <c r="E209" s="1" t="str">
        <f>IFERROR(__xludf.DUMMYFUNCTION("""COMPUTED_VALUE"""),"- 3,5 %")</f>
        <v>- 3,5 %</v>
      </c>
    </row>
    <row r="210">
      <c r="A210" s="2">
        <f>IFERROR(__xludf.DUMMYFUNCTION("""COMPUTED_VALUE"""),39845.0)</f>
        <v>39845</v>
      </c>
      <c r="B210" s="1" t="str">
        <f>IFERROR(__xludf.DUMMYFUNCTION("""COMPUTED_VALUE"""),"2.746 €/m2")</f>
        <v>2.746 €/m2</v>
      </c>
      <c r="C210" s="1" t="str">
        <f>IFERROR(__xludf.DUMMYFUNCTION("""COMPUTED_VALUE"""),"+ 3,1 %")</f>
        <v>+ 3,1 %</v>
      </c>
      <c r="D210" s="1" t="str">
        <f>IFERROR(__xludf.DUMMYFUNCTION("""COMPUTED_VALUE"""),"+ 2,1 %")</f>
        <v>+ 2,1 %</v>
      </c>
      <c r="E210" s="1" t="str">
        <f>IFERROR(__xludf.DUMMYFUNCTION("""COMPUTED_VALUE"""),"- 2,5 %")</f>
        <v>- 2,5 %</v>
      </c>
    </row>
    <row r="211">
      <c r="A211" s="2">
        <f>IFERROR(__xludf.DUMMYFUNCTION("""COMPUTED_VALUE"""),39814.0)</f>
        <v>39814</v>
      </c>
      <c r="B211" s="1" t="str">
        <f>IFERROR(__xludf.DUMMYFUNCTION("""COMPUTED_VALUE"""),"2.663 €/m2")</f>
        <v>2.663 €/m2</v>
      </c>
      <c r="C211" s="1" t="str">
        <f>IFERROR(__xludf.DUMMYFUNCTION("""COMPUTED_VALUE"""),"- 0,1 %")</f>
        <v>- 0,1 %</v>
      </c>
      <c r="D211" s="1" t="str">
        <f>IFERROR(__xludf.DUMMYFUNCTION("""COMPUTED_VALUE"""),"- 1,8 %")</f>
        <v>- 1,8 %</v>
      </c>
      <c r="E211" s="1" t="str">
        <f>IFERROR(__xludf.DUMMYFUNCTION("""COMPUTED_VALUE"""),"- 2,9 %")</f>
        <v>- 2,9 %</v>
      </c>
    </row>
    <row r="212">
      <c r="A212" s="2">
        <f>IFERROR(__xludf.DUMMYFUNCTION("""COMPUTED_VALUE"""),39783.0)</f>
        <v>39783</v>
      </c>
      <c r="B212" s="1" t="str">
        <f>IFERROR(__xludf.DUMMYFUNCTION("""COMPUTED_VALUE"""),"2.667 €/m2")</f>
        <v>2.667 €/m2</v>
      </c>
      <c r="C212" s="1" t="str">
        <f>IFERROR(__xludf.DUMMYFUNCTION("""COMPUTED_VALUE"""),"- 0,8 %")</f>
        <v>- 0,8 %</v>
      </c>
      <c r="D212" s="1" t="str">
        <f>IFERROR(__xludf.DUMMYFUNCTION("""COMPUTED_VALUE"""),"- 1,1 %")</f>
        <v>- 1,1 %</v>
      </c>
      <c r="E212" s="1" t="str">
        <f>IFERROR(__xludf.DUMMYFUNCTION("""COMPUTED_VALUE"""),"- 4,9 %")</f>
        <v>- 4,9 %</v>
      </c>
    </row>
    <row r="213">
      <c r="A213" s="2">
        <f>IFERROR(__xludf.DUMMYFUNCTION("""COMPUTED_VALUE"""),39753.0)</f>
        <v>39753</v>
      </c>
      <c r="B213" s="1" t="str">
        <f>IFERROR(__xludf.DUMMYFUNCTION("""COMPUTED_VALUE"""),"2.689 €/m2")</f>
        <v>2.689 €/m2</v>
      </c>
      <c r="C213" s="1" t="str">
        <f>IFERROR(__xludf.DUMMYFUNCTION("""COMPUTED_VALUE"""),"- 0,8 %")</f>
        <v>- 0,8 %</v>
      </c>
      <c r="D213" s="1" t="str">
        <f>IFERROR(__xludf.DUMMYFUNCTION("""COMPUTED_VALUE"""),"- 1,3 %")</f>
        <v>- 1,3 %</v>
      </c>
      <c r="E213" s="1" t="str">
        <f>IFERROR(__xludf.DUMMYFUNCTION("""COMPUTED_VALUE"""),"- 1,0 %")</f>
        <v>- 1,0 %</v>
      </c>
    </row>
    <row r="214">
      <c r="A214" s="2">
        <f>IFERROR(__xludf.DUMMYFUNCTION("""COMPUTED_VALUE"""),39722.0)</f>
        <v>39722</v>
      </c>
      <c r="B214" s="1" t="str">
        <f>IFERROR(__xludf.DUMMYFUNCTION("""COMPUTED_VALUE"""),"2.711 €/m2")</f>
        <v>2.711 €/m2</v>
      </c>
      <c r="C214" s="1" t="str">
        <f>IFERROR(__xludf.DUMMYFUNCTION("""COMPUTED_VALUE"""),"+ 0,5 %")</f>
        <v>+ 0,5 %</v>
      </c>
      <c r="D214" s="1" t="str">
        <f>IFERROR(__xludf.DUMMYFUNCTION("""COMPUTED_VALUE"""),"- 0,5 %")</f>
        <v>- 0,5 %</v>
      </c>
      <c r="E214" s="1" t="str">
        <f>IFERROR(__xludf.DUMMYFUNCTION("""COMPUTED_VALUE"""),"- 0,1 %")</f>
        <v>- 0,1 %</v>
      </c>
    </row>
    <row r="215">
      <c r="A215" s="2">
        <f>IFERROR(__xludf.DUMMYFUNCTION("""COMPUTED_VALUE"""),39692.0)</f>
        <v>39692</v>
      </c>
      <c r="B215" s="1" t="str">
        <f>IFERROR(__xludf.DUMMYFUNCTION("""COMPUTED_VALUE"""),"2.697 €/m2")</f>
        <v>2.697 €/m2</v>
      </c>
      <c r="C215" s="1" t="str">
        <f>IFERROR(__xludf.DUMMYFUNCTION("""COMPUTED_VALUE"""),"- 1,0 %")</f>
        <v>- 1,0 %</v>
      </c>
      <c r="D215" s="1" t="str">
        <f>IFERROR(__xludf.DUMMYFUNCTION("""COMPUTED_VALUE"""),"- 5,1 %")</f>
        <v>- 5,1 %</v>
      </c>
      <c r="E215" s="1" t="str">
        <f>IFERROR(__xludf.DUMMYFUNCTION("""COMPUTED_VALUE"""),"+ 10,1 %")</f>
        <v>+ 10,1 %</v>
      </c>
    </row>
    <row r="216">
      <c r="A216" s="2">
        <f>IFERROR(__xludf.DUMMYFUNCTION("""COMPUTED_VALUE"""),39661.0)</f>
        <v>39661</v>
      </c>
      <c r="B216" s="1" t="str">
        <f>IFERROR(__xludf.DUMMYFUNCTION("""COMPUTED_VALUE"""),"2.725 €/m2")</f>
        <v>2.725 €/m2</v>
      </c>
      <c r="C216" s="1" t="str">
        <f>IFERROR(__xludf.DUMMYFUNCTION("""COMPUTED_VALUE"""),"n.d.")</f>
        <v>n.d.</v>
      </c>
      <c r="D216" s="1" t="str">
        <f>IFERROR(__xludf.DUMMYFUNCTION("""COMPUTED_VALUE"""),"- 5,5 %")</f>
        <v>- 5,5 %</v>
      </c>
      <c r="E216" s="1" t="str">
        <f>IFERROR(__xludf.DUMMYFUNCTION("""COMPUTED_VALUE"""),"+ 4,0 %")</f>
        <v>+ 4,0 %</v>
      </c>
    </row>
    <row r="217">
      <c r="A217" s="2">
        <f>IFERROR(__xludf.DUMMYFUNCTION("""COMPUTED_VALUE"""),39630.0)</f>
        <v>39630</v>
      </c>
      <c r="B217" s="1" t="str">
        <f>IFERROR(__xludf.DUMMYFUNCTION("""COMPUTED_VALUE"""),"2.725 €/m2")</f>
        <v>2.725 €/m2</v>
      </c>
      <c r="C217" s="1" t="str">
        <f>IFERROR(__xludf.DUMMYFUNCTION("""COMPUTED_VALUE"""),"- 4,1 %")</f>
        <v>- 4,1 %</v>
      </c>
      <c r="D217" s="1" t="str">
        <f>IFERROR(__xludf.DUMMYFUNCTION("""COMPUTED_VALUE"""),"- 7,4 %")</f>
        <v>- 7,4 %</v>
      </c>
      <c r="E217" s="1" t="str">
        <f>IFERROR(__xludf.DUMMYFUNCTION("""COMPUTED_VALUE"""),"- 2,8 %")</f>
        <v>- 2,8 %</v>
      </c>
    </row>
    <row r="218">
      <c r="A218" s="2">
        <f>IFERROR(__xludf.DUMMYFUNCTION("""COMPUTED_VALUE"""),39600.0)</f>
        <v>39600</v>
      </c>
      <c r="B218" s="1" t="str">
        <f>IFERROR(__xludf.DUMMYFUNCTION("""COMPUTED_VALUE"""),"2.841 €/m2")</f>
        <v>2.841 €/m2</v>
      </c>
      <c r="C218" s="1" t="str">
        <f>IFERROR(__xludf.DUMMYFUNCTION("""COMPUTED_VALUE"""),"- 1,5 %")</f>
        <v>- 1,5 %</v>
      </c>
      <c r="D218" s="1" t="str">
        <f>IFERROR(__xludf.DUMMYFUNCTION("""COMPUTED_VALUE"""),"+ 0,4 %")</f>
        <v>+ 0,4 %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IFERROR(__xludf.DUMMYFUNCTION("""COMPUTED_VALUE"""),"2.884 €/m2")</f>
        <v>2.884 €/m2</v>
      </c>
      <c r="C219" s="1" t="str">
        <f>IFERROR(__xludf.DUMMYFUNCTION("""COMPUTED_VALUE"""),"- 2,0 %")</f>
        <v>- 2,0 %</v>
      </c>
      <c r="D219" s="1" t="str">
        <f>IFERROR(__xludf.DUMMYFUNCTION("""COMPUTED_VALUE"""),"+ 2,5 %")</f>
        <v>+ 2,5 %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IFERROR(__xludf.DUMMYFUNCTION("""COMPUTED_VALUE"""),"2.944 €/m2")</f>
        <v>2.944 €/m2</v>
      </c>
      <c r="C220" s="1" t="str">
        <f>IFERROR(__xludf.DUMMYFUNCTION("""COMPUTED_VALUE"""),"+ 4,0 %")</f>
        <v>+ 4,0 %</v>
      </c>
      <c r="D220" s="1" t="str">
        <f>IFERROR(__xludf.DUMMYFUNCTION("""COMPUTED_VALUE"""),"+ 7,3 %")</f>
        <v>+ 7,3 %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IFERROR(__xludf.DUMMYFUNCTION("""COMPUTED_VALUE"""),"2.830 €/m2")</f>
        <v>2.830 €/m2</v>
      </c>
      <c r="C221" s="1" t="str">
        <f>IFERROR(__xludf.DUMMYFUNCTION("""COMPUTED_VALUE"""),"+ 0,5 %")</f>
        <v>+ 0,5 %</v>
      </c>
      <c r="D221" s="1" t="str">
        <f>IFERROR(__xludf.DUMMYFUNCTION("""COMPUTED_VALUE"""),"+ 1,0 %")</f>
        <v>+ 1,0 %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IFERROR(__xludf.DUMMYFUNCTION("""COMPUTED_VALUE"""),"2.815 €/m2")</f>
        <v>2.815 €/m2</v>
      </c>
      <c r="C222" s="1" t="str">
        <f>IFERROR(__xludf.DUMMYFUNCTION("""COMPUTED_VALUE"""),"+ 2,6 %")</f>
        <v>+ 2,6 %</v>
      </c>
      <c r="D222" s="1" t="str">
        <f>IFERROR(__xludf.DUMMYFUNCTION("""COMPUTED_VALUE"""),"+ 3,6 %")</f>
        <v>+ 3,6 %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IFERROR(__xludf.DUMMYFUNCTION("""COMPUTED_VALUE"""),"2.744 €/m2")</f>
        <v>2.744 €/m2</v>
      </c>
      <c r="C223" s="1" t="str">
        <f>IFERROR(__xludf.DUMMYFUNCTION("""COMPUTED_VALUE"""),"- 2,1 %")</f>
        <v>- 2,1 %</v>
      </c>
      <c r="D223" s="1" t="str">
        <f>IFERROR(__xludf.DUMMYFUNCTION("""COMPUTED_VALUE"""),"+ 1,1 %")</f>
        <v>+ 1,1 %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IFERROR(__xludf.DUMMYFUNCTION("""COMPUTED_VALUE"""),"2.803 €/m2")</f>
        <v>2.803 €/m2</v>
      </c>
      <c r="C224" s="1" t="str">
        <f>IFERROR(__xludf.DUMMYFUNCTION("""COMPUTED_VALUE"""),"+ 3,2 %")</f>
        <v>+ 3,2 %</v>
      </c>
      <c r="D224" s="1" t="str">
        <f>IFERROR(__xludf.DUMMYFUNCTION("""COMPUTED_VALUE"""),"+ 14,5 %")</f>
        <v>+ 14,5 %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IFERROR(__xludf.DUMMYFUNCTION("""COMPUTED_VALUE"""),"2.717 €/m2")</f>
        <v>2.717 €/m2</v>
      </c>
      <c r="C225" s="1" t="str">
        <f>IFERROR(__xludf.DUMMYFUNCTION("""COMPUTED_VALUE"""),"+ 0,1 %")</f>
        <v>+ 0,1 %</v>
      </c>
      <c r="D225" s="1" t="str">
        <f>IFERROR(__xludf.DUMMYFUNCTION("""COMPUTED_VALUE"""),"+ 3,7 %")</f>
        <v>+ 3,7 %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IFERROR(__xludf.DUMMYFUNCTION("""COMPUTED_VALUE"""),"2.714 €/m2")</f>
        <v>2.714 €/m2</v>
      </c>
      <c r="C226" s="1" t="str">
        <f>IFERROR(__xludf.DUMMYFUNCTION("""COMPUTED_VALUE"""),"+ 10,8 %")</f>
        <v>+ 10,8 %</v>
      </c>
      <c r="D226" s="1" t="str">
        <f>IFERROR(__xludf.DUMMYFUNCTION("""COMPUTED_VALUE"""),"- 3,1 %")</f>
        <v>- 3,1 %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IFERROR(__xludf.DUMMYFUNCTION("""COMPUTED_VALUE"""),"2.449 €/m2")</f>
        <v>2.449 €/m2</v>
      </c>
      <c r="C227" s="1" t="str">
        <f>IFERROR(__xludf.DUMMYFUNCTION("""COMPUTED_VALUE"""),"- 6,6 %")</f>
        <v>- 6,6 %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IFERROR(__xludf.DUMMYFUNCTION("""COMPUTED_VALUE"""),"2.621 €/m2")</f>
        <v>2.621 €/m2</v>
      </c>
      <c r="C228" s="1" t="str">
        <f>IFERROR(__xludf.DUMMYFUNCTION("""COMPUTED_VALUE"""),"- 6,5 %")</f>
        <v>- 6,5 %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IFERROR(__xludf.DUMMYFUNCTION("""COMPUTED_VALUE"""),"2.802 €/m2")</f>
        <v>2.802 €/m2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IFERROR(__xludf.DUMMYFUNCTION("IMPORTHTML(""https://www.idealista.com/sala-de-prensa/informes-precio-vivienda/venta/madrid-comunidad/madrid-provincia/madrid/retiro/historico/"",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IFERROR(__xludf.DUMMYFUNCTION("""COMPUTED_VALUE"""),"7.655 €/m2")</f>
        <v>7.655 €/m2</v>
      </c>
      <c r="C2" s="1" t="str">
        <f>IFERROR(__xludf.DUMMYFUNCTION("""COMPUTED_VALUE"""),"- 1,3 %")</f>
        <v>- 1,3 %</v>
      </c>
      <c r="D2" s="1" t="str">
        <f>IFERROR(__xludf.DUMMYFUNCTION("""COMPUTED_VALUE"""),"- 1,3 %")</f>
        <v>- 1,3 %</v>
      </c>
      <c r="E2" s="1" t="str">
        <f>IFERROR(__xludf.DUMMYFUNCTION("""COMPUTED_VALUE"""),"+ 4,9 %")</f>
        <v>+ 4,9 %</v>
      </c>
    </row>
    <row r="3">
      <c r="A3" s="2">
        <f>IFERROR(__xludf.DUMMYFUNCTION("""COMPUTED_VALUE"""),46143.0)</f>
        <v>46143</v>
      </c>
      <c r="B3" s="1" t="str">
        <f>IFERROR(__xludf.DUMMYFUNCTION("""COMPUTED_VALUE"""),"7.759 €/m2")</f>
        <v>7.759 €/m2</v>
      </c>
      <c r="C3" s="1" t="str">
        <f>IFERROR(__xludf.DUMMYFUNCTION("""COMPUTED_VALUE"""),"0,0 %")</f>
        <v>0,0 %</v>
      </c>
      <c r="D3" s="1" t="str">
        <f>IFERROR(__xludf.DUMMYFUNCTION("""COMPUTED_VALUE"""),"- 0,7 %")</f>
        <v>- 0,7 %</v>
      </c>
      <c r="E3" s="1" t="str">
        <f>IFERROR(__xludf.DUMMYFUNCTION("""COMPUTED_VALUE"""),"+ 6,5 %")</f>
        <v>+ 6,5 %</v>
      </c>
    </row>
    <row r="4">
      <c r="A4" s="2">
        <f>IFERROR(__xludf.DUMMYFUNCTION("""COMPUTED_VALUE"""),46113.0)</f>
        <v>46113</v>
      </c>
      <c r="B4" s="1" t="str">
        <f>IFERROR(__xludf.DUMMYFUNCTION("""COMPUTED_VALUE"""),"7.758 €/m2")</f>
        <v>7.758 €/m2</v>
      </c>
      <c r="C4" s="1" t="str">
        <f>IFERROR(__xludf.DUMMYFUNCTION("""COMPUTED_VALUE"""),"+ 0,1 %")</f>
        <v>+ 0,1 %</v>
      </c>
      <c r="D4" s="1" t="str">
        <f>IFERROR(__xludf.DUMMYFUNCTION("""COMPUTED_VALUE"""),"+ 0,9 %")</f>
        <v>+ 0,9 %</v>
      </c>
      <c r="E4" s="1" t="str">
        <f>IFERROR(__xludf.DUMMYFUNCTION("""COMPUTED_VALUE"""),"+ 7,6 %")</f>
        <v>+ 7,6 %</v>
      </c>
    </row>
    <row r="5">
      <c r="A5" s="2">
        <f>IFERROR(__xludf.DUMMYFUNCTION("""COMPUTED_VALUE"""),46082.0)</f>
        <v>46082</v>
      </c>
      <c r="B5" s="1" t="str">
        <f>IFERROR(__xludf.DUMMYFUNCTION("""COMPUTED_VALUE"""),"7.752 €/m2")</f>
        <v>7.752 €/m2</v>
      </c>
      <c r="C5" s="1" t="str">
        <f>IFERROR(__xludf.DUMMYFUNCTION("""COMPUTED_VALUE"""),"- 0,8 %")</f>
        <v>- 0,8 %</v>
      </c>
      <c r="D5" s="1" t="str">
        <f>IFERROR(__xludf.DUMMYFUNCTION("""COMPUTED_VALUE"""),"+ 0,5 %")</f>
        <v>+ 0,5 %</v>
      </c>
      <c r="E5" s="1" t="str">
        <f>IFERROR(__xludf.DUMMYFUNCTION("""COMPUTED_VALUE"""),"+ 10,5 %")</f>
        <v>+ 10,5 %</v>
      </c>
    </row>
    <row r="6">
      <c r="A6" s="2">
        <f>IFERROR(__xludf.DUMMYFUNCTION("""COMPUTED_VALUE"""),46054.0)</f>
        <v>46054</v>
      </c>
      <c r="B6" s="1" t="str">
        <f>IFERROR(__xludf.DUMMYFUNCTION("""COMPUTED_VALUE"""),"7.816 €/m2")</f>
        <v>7.816 €/m2</v>
      </c>
      <c r="C6" s="1" t="str">
        <f>IFERROR(__xludf.DUMMYFUNCTION("""COMPUTED_VALUE"""),"+ 1,6 %")</f>
        <v>+ 1,6 %</v>
      </c>
      <c r="D6" s="1" t="str">
        <f>IFERROR(__xludf.DUMMYFUNCTION("""COMPUTED_VALUE"""),"+ 0,7 %")</f>
        <v>+ 0,7 %</v>
      </c>
      <c r="E6" s="1" t="str">
        <f>IFERROR(__xludf.DUMMYFUNCTION("""COMPUTED_VALUE"""),"+ 13,9 %")</f>
        <v>+ 13,9 %</v>
      </c>
    </row>
    <row r="7">
      <c r="A7" s="2">
        <f>IFERROR(__xludf.DUMMYFUNCTION("""COMPUTED_VALUE"""),46023.0)</f>
        <v>46023</v>
      </c>
      <c r="B7" s="1" t="str">
        <f>IFERROR(__xludf.DUMMYFUNCTION("""COMPUTED_VALUE"""),"7.691 €/m2")</f>
        <v>7.691 €/m2</v>
      </c>
      <c r="C7" s="1" t="str">
        <f>IFERROR(__xludf.DUMMYFUNCTION("""COMPUTED_VALUE"""),"- 0,3 %")</f>
        <v>- 0,3 %</v>
      </c>
      <c r="D7" s="1" t="str">
        <f>IFERROR(__xludf.DUMMYFUNCTION("""COMPUTED_VALUE"""),"- 0,5 %")</f>
        <v>- 0,5 %</v>
      </c>
      <c r="E7" s="1" t="str">
        <f>IFERROR(__xludf.DUMMYFUNCTION("""COMPUTED_VALUE"""),"+ 14,6 %")</f>
        <v>+ 14,6 %</v>
      </c>
    </row>
    <row r="8">
      <c r="A8" s="2">
        <f>IFERROR(__xludf.DUMMYFUNCTION("""COMPUTED_VALUE"""),45992.0)</f>
        <v>45992</v>
      </c>
      <c r="B8" s="1" t="str">
        <f>IFERROR(__xludf.DUMMYFUNCTION("""COMPUTED_VALUE"""),"7.714 €/m2")</f>
        <v>7.714 €/m2</v>
      </c>
      <c r="C8" s="1" t="str">
        <f>IFERROR(__xludf.DUMMYFUNCTION("""COMPUTED_VALUE"""),"- 0,6 %")</f>
        <v>- 0,6 %</v>
      </c>
      <c r="D8" s="1" t="str">
        <f>IFERROR(__xludf.DUMMYFUNCTION("""COMPUTED_VALUE"""),"- 1,4 %")</f>
        <v>- 1,4 %</v>
      </c>
      <c r="E8" s="1" t="str">
        <f>IFERROR(__xludf.DUMMYFUNCTION("""COMPUTED_VALUE"""),"+ 17,8 %")</f>
        <v>+ 17,8 %</v>
      </c>
    </row>
    <row r="9">
      <c r="A9" s="2">
        <f>IFERROR(__xludf.DUMMYFUNCTION("""COMPUTED_VALUE"""),45962.0)</f>
        <v>45962</v>
      </c>
      <c r="B9" s="1" t="str">
        <f>IFERROR(__xludf.DUMMYFUNCTION("""COMPUTED_VALUE"""),"7.758 €/m2")</f>
        <v>7.758 €/m2</v>
      </c>
      <c r="C9" s="1" t="str">
        <f>IFERROR(__xludf.DUMMYFUNCTION("""COMPUTED_VALUE"""),"+ 0,4 %")</f>
        <v>+ 0,4 %</v>
      </c>
      <c r="D9" s="1" t="str">
        <f>IFERROR(__xludf.DUMMYFUNCTION("""COMPUTED_VALUE"""),"- 0,2 %")</f>
        <v>- 0,2 %</v>
      </c>
      <c r="E9" s="1" t="str">
        <f>IFERROR(__xludf.DUMMYFUNCTION("""COMPUTED_VALUE"""),"+ 22,5 %")</f>
        <v>+ 22,5 %</v>
      </c>
    </row>
    <row r="10">
      <c r="A10" s="2">
        <f>IFERROR(__xludf.DUMMYFUNCTION("""COMPUTED_VALUE"""),45931.0)</f>
        <v>45931</v>
      </c>
      <c r="B10" s="1" t="str">
        <f>IFERROR(__xludf.DUMMYFUNCTION("""COMPUTED_VALUE"""),"7.729 €/m2")</f>
        <v>7.729 €/m2</v>
      </c>
      <c r="C10" s="1" t="str">
        <f>IFERROR(__xludf.DUMMYFUNCTION("""COMPUTED_VALUE"""),"- 1,2 %")</f>
        <v>- 1,2 %</v>
      </c>
      <c r="D10" s="1" t="str">
        <f>IFERROR(__xludf.DUMMYFUNCTION("""COMPUTED_VALUE"""),"+ 3,2 %")</f>
        <v>+ 3,2 %</v>
      </c>
      <c r="E10" s="1" t="str">
        <f>IFERROR(__xludf.DUMMYFUNCTION("""COMPUTED_VALUE"""),"+ 27,0 %")</f>
        <v>+ 27,0 %</v>
      </c>
    </row>
    <row r="11">
      <c r="A11" s="2">
        <f>IFERROR(__xludf.DUMMYFUNCTION("""COMPUTED_VALUE"""),45901.0)</f>
        <v>45901</v>
      </c>
      <c r="B11" s="1" t="str">
        <f>IFERROR(__xludf.DUMMYFUNCTION("""COMPUTED_VALUE"""),"7.822 €/m2")</f>
        <v>7.822 €/m2</v>
      </c>
      <c r="C11" s="1" t="str">
        <f>IFERROR(__xludf.DUMMYFUNCTION("""COMPUTED_VALUE"""),"+ 0,7 %")</f>
        <v>+ 0,7 %</v>
      </c>
      <c r="D11" s="1" t="str">
        <f>IFERROR(__xludf.DUMMYFUNCTION("""COMPUTED_VALUE"""),"+ 7,2 %")</f>
        <v>+ 7,2 %</v>
      </c>
      <c r="E11" s="1" t="str">
        <f>IFERROR(__xludf.DUMMYFUNCTION("""COMPUTED_VALUE"""),"+ 29,9 %")</f>
        <v>+ 29,9 %</v>
      </c>
    </row>
    <row r="12">
      <c r="A12" s="2">
        <f>IFERROR(__xludf.DUMMYFUNCTION("""COMPUTED_VALUE"""),45870.0)</f>
        <v>45870</v>
      </c>
      <c r="B12" s="1" t="str">
        <f>IFERROR(__xludf.DUMMYFUNCTION("""COMPUTED_VALUE"""),"7.770 €/m2")</f>
        <v>7.770 €/m2</v>
      </c>
      <c r="C12" s="1" t="str">
        <f>IFERROR(__xludf.DUMMYFUNCTION("""COMPUTED_VALUE"""),"+ 3,8 %")</f>
        <v>+ 3,8 %</v>
      </c>
      <c r="D12" s="1" t="str">
        <f>IFERROR(__xludf.DUMMYFUNCTION("""COMPUTED_VALUE"""),"+ 6,7 %")</f>
        <v>+ 6,7 %</v>
      </c>
      <c r="E12" s="1" t="str">
        <f>IFERROR(__xludf.DUMMYFUNCTION("""COMPUTED_VALUE"""),"+ 31,7 %")</f>
        <v>+ 31,7 %</v>
      </c>
    </row>
    <row r="13">
      <c r="A13" s="2">
        <f>IFERROR(__xludf.DUMMYFUNCTION("""COMPUTED_VALUE"""),45839.0)</f>
        <v>45839</v>
      </c>
      <c r="B13" s="1" t="str">
        <f>IFERROR(__xludf.DUMMYFUNCTION("""COMPUTED_VALUE"""),"7.486 €/m2")</f>
        <v>7.486 €/m2</v>
      </c>
      <c r="C13" s="1" t="str">
        <f>IFERROR(__xludf.DUMMYFUNCTION("""COMPUTED_VALUE"""),"+ 2,6 %")</f>
        <v>+ 2,6 %</v>
      </c>
      <c r="D13" s="1" t="str">
        <f>IFERROR(__xludf.DUMMYFUNCTION("""COMPUTED_VALUE"""),"+ 3,9 %")</f>
        <v>+ 3,9 %</v>
      </c>
      <c r="E13" s="1" t="str">
        <f>IFERROR(__xludf.DUMMYFUNCTION("""COMPUTED_VALUE"""),"+ 29,5 %")</f>
        <v>+ 29,5 %</v>
      </c>
    </row>
    <row r="14">
      <c r="A14" s="2">
        <f>IFERROR(__xludf.DUMMYFUNCTION("""COMPUTED_VALUE"""),45809.0)</f>
        <v>45809</v>
      </c>
      <c r="B14" s="1" t="str">
        <f>IFERROR(__xludf.DUMMYFUNCTION("""COMPUTED_VALUE"""),"7.295 €/m2")</f>
        <v>7.295 €/m2</v>
      </c>
      <c r="C14" s="1" t="str">
        <f>IFERROR(__xludf.DUMMYFUNCTION("""COMPUTED_VALUE"""),"+ 0,1 %")</f>
        <v>+ 0,1 %</v>
      </c>
      <c r="D14" s="1" t="str">
        <f>IFERROR(__xludf.DUMMYFUNCTION("""COMPUTED_VALUE"""),"+ 4,0 %")</f>
        <v>+ 4,0 %</v>
      </c>
      <c r="E14" s="1" t="str">
        <f>IFERROR(__xludf.DUMMYFUNCTION("""COMPUTED_VALUE"""),"+ 31,5 %")</f>
        <v>+ 31,5 %</v>
      </c>
    </row>
    <row r="15">
      <c r="A15" s="2">
        <f>IFERROR(__xludf.DUMMYFUNCTION("""COMPUTED_VALUE"""),45778.0)</f>
        <v>45778</v>
      </c>
      <c r="B15" s="1" t="str">
        <f>IFERROR(__xludf.DUMMYFUNCTION("""COMPUTED_VALUE"""),"7.286 €/m2")</f>
        <v>7.286 €/m2</v>
      </c>
      <c r="C15" s="1" t="str">
        <f>IFERROR(__xludf.DUMMYFUNCTION("""COMPUTED_VALUE"""),"+ 1,1 %")</f>
        <v>+ 1,1 %</v>
      </c>
      <c r="D15" s="1" t="str">
        <f>IFERROR(__xludf.DUMMYFUNCTION("""COMPUTED_VALUE"""),"+ 6,2 %")</f>
        <v>+ 6,2 %</v>
      </c>
      <c r="E15" s="1" t="str">
        <f>IFERROR(__xludf.DUMMYFUNCTION("""COMPUTED_VALUE"""),"+ 34,7 %")</f>
        <v>+ 34,7 %</v>
      </c>
    </row>
    <row r="16">
      <c r="A16" s="2">
        <f>IFERROR(__xludf.DUMMYFUNCTION("""COMPUTED_VALUE"""),45748.0)</f>
        <v>45748</v>
      </c>
      <c r="B16" s="1" t="str">
        <f>IFERROR(__xludf.DUMMYFUNCTION("""COMPUTED_VALUE"""),"7.208 €/m2")</f>
        <v>7.208 €/m2</v>
      </c>
      <c r="C16" s="1" t="str">
        <f>IFERROR(__xludf.DUMMYFUNCTION("""COMPUTED_VALUE"""),"+ 2,8 %")</f>
        <v>+ 2,8 %</v>
      </c>
      <c r="D16" s="1" t="str">
        <f>IFERROR(__xludf.DUMMYFUNCTION("""COMPUTED_VALUE"""),"+ 7,5 %")</f>
        <v>+ 7,5 %</v>
      </c>
      <c r="E16" s="1" t="str">
        <f>IFERROR(__xludf.DUMMYFUNCTION("""COMPUTED_VALUE"""),"+ 31,9 %")</f>
        <v>+ 31,9 %</v>
      </c>
    </row>
    <row r="17">
      <c r="A17" s="2">
        <f>IFERROR(__xludf.DUMMYFUNCTION("""COMPUTED_VALUE"""),45717.0)</f>
        <v>45717</v>
      </c>
      <c r="B17" s="1" t="str">
        <f>IFERROR(__xludf.DUMMYFUNCTION("""COMPUTED_VALUE"""),"7.014 €/m2")</f>
        <v>7.014 €/m2</v>
      </c>
      <c r="C17" s="1" t="str">
        <f>IFERROR(__xludf.DUMMYFUNCTION("""COMPUTED_VALUE"""),"+ 2,2 %")</f>
        <v>+ 2,2 %</v>
      </c>
      <c r="D17" s="1" t="str">
        <f>IFERROR(__xludf.DUMMYFUNCTION("""COMPUTED_VALUE"""),"+ 7,1 %")</f>
        <v>+ 7,1 %</v>
      </c>
      <c r="E17" s="1" t="str">
        <f>IFERROR(__xludf.DUMMYFUNCTION("""COMPUTED_VALUE"""),"+ 28,8 %")</f>
        <v>+ 28,8 %</v>
      </c>
    </row>
    <row r="18">
      <c r="A18" s="2">
        <f>IFERROR(__xludf.DUMMYFUNCTION("""COMPUTED_VALUE"""),45689.0)</f>
        <v>45689</v>
      </c>
      <c r="B18" s="1" t="str">
        <f>IFERROR(__xludf.DUMMYFUNCTION("""COMPUTED_VALUE"""),"6.861 €/m2")</f>
        <v>6.861 €/m2</v>
      </c>
      <c r="C18" s="1" t="str">
        <f>IFERROR(__xludf.DUMMYFUNCTION("""COMPUTED_VALUE"""),"+ 2,3 %")</f>
        <v>+ 2,3 %</v>
      </c>
      <c r="D18" s="1" t="str">
        <f>IFERROR(__xludf.DUMMYFUNCTION("""COMPUTED_VALUE"""),"+ 8,3 %")</f>
        <v>+ 8,3 %</v>
      </c>
      <c r="E18" s="1" t="str">
        <f>IFERROR(__xludf.DUMMYFUNCTION("""COMPUTED_VALUE"""),"+ 28,7 %")</f>
        <v>+ 28,7 %</v>
      </c>
    </row>
    <row r="19">
      <c r="A19" s="2">
        <f>IFERROR(__xludf.DUMMYFUNCTION("""COMPUTED_VALUE"""),45658.0)</f>
        <v>45658</v>
      </c>
      <c r="B19" s="1" t="str">
        <f>IFERROR(__xludf.DUMMYFUNCTION("""COMPUTED_VALUE"""),"6.708 €/m2")</f>
        <v>6.708 €/m2</v>
      </c>
      <c r="C19" s="1" t="str">
        <f>IFERROR(__xludf.DUMMYFUNCTION("""COMPUTED_VALUE"""),"+ 2,4 %")</f>
        <v>+ 2,4 %</v>
      </c>
      <c r="D19" s="1" t="str">
        <f>IFERROR(__xludf.DUMMYFUNCTION("""COMPUTED_VALUE"""),"+ 10,2 %")</f>
        <v>+ 10,2 %</v>
      </c>
      <c r="E19" s="1" t="str">
        <f>IFERROR(__xludf.DUMMYFUNCTION("""COMPUTED_VALUE"""),"+ 28,9 %")</f>
        <v>+ 28,9 %</v>
      </c>
    </row>
    <row r="20">
      <c r="A20" s="2">
        <f>IFERROR(__xludf.DUMMYFUNCTION("""COMPUTED_VALUE"""),45627.0)</f>
        <v>45627</v>
      </c>
      <c r="B20" s="1" t="str">
        <f>IFERROR(__xludf.DUMMYFUNCTION("""COMPUTED_VALUE"""),"6.549 €/m2")</f>
        <v>6.549 €/m2</v>
      </c>
      <c r="C20" s="1" t="str">
        <f>IFERROR(__xludf.DUMMYFUNCTION("""COMPUTED_VALUE"""),"+ 3,4 %")</f>
        <v>+ 3,4 %</v>
      </c>
      <c r="D20" s="1" t="str">
        <f>IFERROR(__xludf.DUMMYFUNCTION("""COMPUTED_VALUE"""),"+ 8,8 %")</f>
        <v>+ 8,8 %</v>
      </c>
      <c r="E20" s="1" t="str">
        <f>IFERROR(__xludf.DUMMYFUNCTION("""COMPUTED_VALUE"""),"+ 26,6 %")</f>
        <v>+ 26,6 %</v>
      </c>
    </row>
    <row r="21">
      <c r="A21" s="2">
        <f>IFERROR(__xludf.DUMMYFUNCTION("""COMPUTED_VALUE"""),45597.0)</f>
        <v>45597</v>
      </c>
      <c r="B21" s="1" t="str">
        <f>IFERROR(__xludf.DUMMYFUNCTION("""COMPUTED_VALUE"""),"6.333 €/m2")</f>
        <v>6.333 €/m2</v>
      </c>
      <c r="C21" s="1" t="str">
        <f>IFERROR(__xludf.DUMMYFUNCTION("""COMPUTED_VALUE"""),"+ 4,1 %")</f>
        <v>+ 4,1 %</v>
      </c>
      <c r="D21" s="1" t="str">
        <f>IFERROR(__xludf.DUMMYFUNCTION("""COMPUTED_VALUE"""),"+ 7,3 %")</f>
        <v>+ 7,3 %</v>
      </c>
      <c r="E21" s="1" t="str">
        <f>IFERROR(__xludf.DUMMYFUNCTION("""COMPUTED_VALUE"""),"+ 24,3 %")</f>
        <v>+ 24,3 %</v>
      </c>
    </row>
    <row r="22">
      <c r="A22" s="2">
        <f>IFERROR(__xludf.DUMMYFUNCTION("""COMPUTED_VALUE"""),45566.0)</f>
        <v>45566</v>
      </c>
      <c r="B22" s="1" t="str">
        <f>IFERROR(__xludf.DUMMYFUNCTION("""COMPUTED_VALUE"""),"6.085 €/m2")</f>
        <v>6.085 €/m2</v>
      </c>
      <c r="C22" s="1" t="str">
        <f>IFERROR(__xludf.DUMMYFUNCTION("""COMPUTED_VALUE"""),"+ 1,1 %")</f>
        <v>+ 1,1 %</v>
      </c>
      <c r="D22" s="1" t="str">
        <f>IFERROR(__xludf.DUMMYFUNCTION("""COMPUTED_VALUE"""),"+ 5,3 %")</f>
        <v>+ 5,3 %</v>
      </c>
      <c r="E22" s="1" t="str">
        <f>IFERROR(__xludf.DUMMYFUNCTION("""COMPUTED_VALUE"""),"+ 19,0 %")</f>
        <v>+ 19,0 %</v>
      </c>
    </row>
    <row r="23">
      <c r="A23" s="2">
        <f>IFERROR(__xludf.DUMMYFUNCTION("""COMPUTED_VALUE"""),45536.0)</f>
        <v>45536</v>
      </c>
      <c r="B23" s="1" t="str">
        <f>IFERROR(__xludf.DUMMYFUNCTION("""COMPUTED_VALUE"""),"6.019 €/m2")</f>
        <v>6.019 €/m2</v>
      </c>
      <c r="C23" s="1" t="str">
        <f>IFERROR(__xludf.DUMMYFUNCTION("""COMPUTED_VALUE"""),"+ 2,0 %")</f>
        <v>+ 2,0 %</v>
      </c>
      <c r="D23" s="1" t="str">
        <f>IFERROR(__xludf.DUMMYFUNCTION("""COMPUTED_VALUE"""),"+ 8,5 %")</f>
        <v>+ 8,5 %</v>
      </c>
      <c r="E23" s="1" t="str">
        <f>IFERROR(__xludf.DUMMYFUNCTION("""COMPUTED_VALUE"""),"+ 17,6 %")</f>
        <v>+ 17,6 %</v>
      </c>
    </row>
    <row r="24">
      <c r="A24" s="2">
        <f>IFERROR(__xludf.DUMMYFUNCTION("""COMPUTED_VALUE"""),45505.0)</f>
        <v>45505</v>
      </c>
      <c r="B24" s="1" t="str">
        <f>IFERROR(__xludf.DUMMYFUNCTION("""COMPUTED_VALUE"""),"5.900 €/m2")</f>
        <v>5.900 €/m2</v>
      </c>
      <c r="C24" s="1" t="str">
        <f>IFERROR(__xludf.DUMMYFUNCTION("""COMPUTED_VALUE"""),"+ 2,1 %")</f>
        <v>+ 2,1 %</v>
      </c>
      <c r="D24" s="1" t="str">
        <f>IFERROR(__xludf.DUMMYFUNCTION("""COMPUTED_VALUE"""),"+ 9,1 %")</f>
        <v>+ 9,1 %</v>
      </c>
      <c r="E24" s="1" t="str">
        <f>IFERROR(__xludf.DUMMYFUNCTION("""COMPUTED_VALUE"""),"+ 16,5 %")</f>
        <v>+ 16,5 %</v>
      </c>
    </row>
    <row r="25">
      <c r="A25" s="2">
        <f>IFERROR(__xludf.DUMMYFUNCTION("""COMPUTED_VALUE"""),45474.0)</f>
        <v>45474</v>
      </c>
      <c r="B25" s="1" t="str">
        <f>IFERROR(__xludf.DUMMYFUNCTION("""COMPUTED_VALUE"""),"5.780 €/m2")</f>
        <v>5.780 €/m2</v>
      </c>
      <c r="C25" s="1" t="str">
        <f>IFERROR(__xludf.DUMMYFUNCTION("""COMPUTED_VALUE"""),"+ 4,2 %")</f>
        <v>+ 4,2 %</v>
      </c>
      <c r="D25" s="1" t="str">
        <f>IFERROR(__xludf.DUMMYFUNCTION("""COMPUTED_VALUE"""),"+ 5,8 %")</f>
        <v>+ 5,8 %</v>
      </c>
      <c r="E25" s="1" t="str">
        <f>IFERROR(__xludf.DUMMYFUNCTION("""COMPUTED_VALUE"""),"+ 15,6 %")</f>
        <v>+ 15,6 %</v>
      </c>
    </row>
    <row r="26">
      <c r="A26" s="2">
        <f>IFERROR(__xludf.DUMMYFUNCTION("""COMPUTED_VALUE"""),45444.0)</f>
        <v>45444</v>
      </c>
      <c r="B26" s="1" t="str">
        <f>IFERROR(__xludf.DUMMYFUNCTION("""COMPUTED_VALUE"""),"5.549 €/m2")</f>
        <v>5.549 €/m2</v>
      </c>
      <c r="C26" s="1" t="str">
        <f>IFERROR(__xludf.DUMMYFUNCTION("""COMPUTED_VALUE"""),"+ 2,6 %")</f>
        <v>+ 2,6 %</v>
      </c>
      <c r="D26" s="1" t="str">
        <f>IFERROR(__xludf.DUMMYFUNCTION("""COMPUTED_VALUE"""),"+ 1,9 %")</f>
        <v>+ 1,9 %</v>
      </c>
      <c r="E26" s="1" t="str">
        <f>IFERROR(__xludf.DUMMYFUNCTION("""COMPUTED_VALUE"""),"+ 9,7 %")</f>
        <v>+ 9,7 %</v>
      </c>
    </row>
    <row r="27">
      <c r="A27" s="2">
        <f>IFERROR(__xludf.DUMMYFUNCTION("""COMPUTED_VALUE"""),45413.0)</f>
        <v>45413</v>
      </c>
      <c r="B27" s="1" t="str">
        <f>IFERROR(__xludf.DUMMYFUNCTION("""COMPUTED_VALUE"""),"5.410 €/m2")</f>
        <v>5.410 €/m2</v>
      </c>
      <c r="C27" s="1" t="str">
        <f>IFERROR(__xludf.DUMMYFUNCTION("""COMPUTED_VALUE"""),"- 1,0 %")</f>
        <v>- 1,0 %</v>
      </c>
      <c r="D27" s="1" t="str">
        <f>IFERROR(__xludf.DUMMYFUNCTION("""COMPUTED_VALUE"""),"+ 1,5 %")</f>
        <v>+ 1,5 %</v>
      </c>
      <c r="E27" s="1" t="str">
        <f>IFERROR(__xludf.DUMMYFUNCTION("""COMPUTED_VALUE"""),"+ 8,2 %")</f>
        <v>+ 8,2 %</v>
      </c>
    </row>
    <row r="28">
      <c r="A28" s="2">
        <f>IFERROR(__xludf.DUMMYFUNCTION("""COMPUTED_VALUE"""),45383.0)</f>
        <v>45383</v>
      </c>
      <c r="B28" s="1" t="str">
        <f>IFERROR(__xludf.DUMMYFUNCTION("""COMPUTED_VALUE"""),"5.463 €/m2")</f>
        <v>5.463 €/m2</v>
      </c>
      <c r="C28" s="1" t="str">
        <f>IFERROR(__xludf.DUMMYFUNCTION("""COMPUTED_VALUE"""),"+ 0,3 %")</f>
        <v>+ 0,3 %</v>
      </c>
      <c r="D28" s="1" t="str">
        <f>IFERROR(__xludf.DUMMYFUNCTION("""COMPUTED_VALUE"""),"+ 4,9 %")</f>
        <v>+ 4,9 %</v>
      </c>
      <c r="E28" s="1" t="str">
        <f>IFERROR(__xludf.DUMMYFUNCTION("""COMPUTED_VALUE"""),"+ 11,3 %")</f>
        <v>+ 11,3 %</v>
      </c>
    </row>
    <row r="29">
      <c r="A29" s="2">
        <f>IFERROR(__xludf.DUMMYFUNCTION("""COMPUTED_VALUE"""),45352.0)</f>
        <v>45352</v>
      </c>
      <c r="B29" s="1" t="str">
        <f>IFERROR(__xludf.DUMMYFUNCTION("""COMPUTED_VALUE"""),"5.447 €/m2")</f>
        <v>5.447 €/m2</v>
      </c>
      <c r="C29" s="1" t="str">
        <f>IFERROR(__xludf.DUMMYFUNCTION("""COMPUTED_VALUE"""),"+ 2,2 %")</f>
        <v>+ 2,2 %</v>
      </c>
      <c r="D29" s="1" t="str">
        <f>IFERROR(__xludf.DUMMYFUNCTION("""COMPUTED_VALUE"""),"+ 5,3 %")</f>
        <v>+ 5,3 %</v>
      </c>
      <c r="E29" s="1" t="str">
        <f>IFERROR(__xludf.DUMMYFUNCTION("""COMPUTED_VALUE"""),"+ 10,3 %")</f>
        <v>+ 10,3 %</v>
      </c>
    </row>
    <row r="30">
      <c r="A30" s="2">
        <f>IFERROR(__xludf.DUMMYFUNCTION("""COMPUTED_VALUE"""),45323.0)</f>
        <v>45323</v>
      </c>
      <c r="B30" s="1" t="str">
        <f>IFERROR(__xludf.DUMMYFUNCTION("""COMPUTED_VALUE"""),"5.329 €/m2")</f>
        <v>5.329 €/m2</v>
      </c>
      <c r="C30" s="1" t="str">
        <f>IFERROR(__xludf.DUMMYFUNCTION("""COMPUTED_VALUE"""),"+ 2,4 %")</f>
        <v>+ 2,4 %</v>
      </c>
      <c r="D30" s="1" t="str">
        <f>IFERROR(__xludf.DUMMYFUNCTION("""COMPUTED_VALUE"""),"+ 4,6 %")</f>
        <v>+ 4,6 %</v>
      </c>
      <c r="E30" s="1" t="str">
        <f>IFERROR(__xludf.DUMMYFUNCTION("""COMPUTED_VALUE"""),"+ 7,2 %")</f>
        <v>+ 7,2 %</v>
      </c>
    </row>
    <row r="31">
      <c r="A31" s="2">
        <f>IFERROR(__xludf.DUMMYFUNCTION("""COMPUTED_VALUE"""),45292.0)</f>
        <v>45292</v>
      </c>
      <c r="B31" s="1" t="str">
        <f>IFERROR(__xludf.DUMMYFUNCTION("""COMPUTED_VALUE"""),"5.206 €/m2")</f>
        <v>5.206 €/m2</v>
      </c>
      <c r="C31" s="1" t="str">
        <f>IFERROR(__xludf.DUMMYFUNCTION("""COMPUTED_VALUE"""),"+ 0,6 %")</f>
        <v>+ 0,6 %</v>
      </c>
      <c r="D31" s="1" t="str">
        <f>IFERROR(__xludf.DUMMYFUNCTION("""COMPUTED_VALUE"""),"+ 1,8 %")</f>
        <v>+ 1,8 %</v>
      </c>
      <c r="E31" s="1" t="str">
        <f>IFERROR(__xludf.DUMMYFUNCTION("""COMPUTED_VALUE"""),"+ 4,1 %")</f>
        <v>+ 4,1 %</v>
      </c>
    </row>
    <row r="32">
      <c r="A32" s="2">
        <f>IFERROR(__xludf.DUMMYFUNCTION("""COMPUTED_VALUE"""),45261.0)</f>
        <v>45261</v>
      </c>
      <c r="B32" s="1" t="str">
        <f>IFERROR(__xludf.DUMMYFUNCTION("""COMPUTED_VALUE"""),"5.174 €/m2")</f>
        <v>5.174 €/m2</v>
      </c>
      <c r="C32" s="1" t="str">
        <f>IFERROR(__xludf.DUMMYFUNCTION("""COMPUTED_VALUE"""),"+ 1,6 %")</f>
        <v>+ 1,6 %</v>
      </c>
      <c r="D32" s="1" t="str">
        <f>IFERROR(__xludf.DUMMYFUNCTION("""COMPUTED_VALUE"""),"+ 1,1 %")</f>
        <v>+ 1,1 %</v>
      </c>
      <c r="E32" s="1" t="str">
        <f>IFERROR(__xludf.DUMMYFUNCTION("""COMPUTED_VALUE"""),"+ 3,4 %")</f>
        <v>+ 3,4 %</v>
      </c>
    </row>
    <row r="33">
      <c r="A33" s="2">
        <f>IFERROR(__xludf.DUMMYFUNCTION("""COMPUTED_VALUE"""),45231.0)</f>
        <v>45231</v>
      </c>
      <c r="B33" s="1" t="str">
        <f>IFERROR(__xludf.DUMMYFUNCTION("""COMPUTED_VALUE"""),"5.095 €/m2")</f>
        <v>5.095 €/m2</v>
      </c>
      <c r="C33" s="1" t="str">
        <f>IFERROR(__xludf.DUMMYFUNCTION("""COMPUTED_VALUE"""),"- 0,4 %")</f>
        <v>- 0,4 %</v>
      </c>
      <c r="D33" s="1" t="str">
        <f>IFERROR(__xludf.DUMMYFUNCTION("""COMPUTED_VALUE"""),"+ 0,6 %")</f>
        <v>+ 0,6 %</v>
      </c>
      <c r="E33" s="1" t="str">
        <f>IFERROR(__xludf.DUMMYFUNCTION("""COMPUTED_VALUE"""),"+ 1,9 %")</f>
        <v>+ 1,9 %</v>
      </c>
    </row>
    <row r="34">
      <c r="A34" s="2">
        <f>IFERROR(__xludf.DUMMYFUNCTION("""COMPUTED_VALUE"""),45200.0)</f>
        <v>45200</v>
      </c>
      <c r="B34" s="1" t="str">
        <f>IFERROR(__xludf.DUMMYFUNCTION("""COMPUTED_VALUE"""),"5.113 €/m2")</f>
        <v>5.113 €/m2</v>
      </c>
      <c r="C34" s="1" t="str">
        <f>IFERROR(__xludf.DUMMYFUNCTION("""COMPUTED_VALUE"""),"- 0,1 %")</f>
        <v>- 0,1 %</v>
      </c>
      <c r="D34" s="1" t="str">
        <f>IFERROR(__xludf.DUMMYFUNCTION("""COMPUTED_VALUE"""),"+ 2,2 %")</f>
        <v>+ 2,2 %</v>
      </c>
      <c r="E34" s="1" t="str">
        <f>IFERROR(__xludf.DUMMYFUNCTION("""COMPUTED_VALUE"""),"+ 2,3 %")</f>
        <v>+ 2,3 %</v>
      </c>
    </row>
    <row r="35">
      <c r="A35" s="2">
        <f>IFERROR(__xludf.DUMMYFUNCTION("""COMPUTED_VALUE"""),45170.0)</f>
        <v>45170</v>
      </c>
      <c r="B35" s="1" t="str">
        <f>IFERROR(__xludf.DUMMYFUNCTION("""COMPUTED_VALUE"""),"5.118 €/m2")</f>
        <v>5.118 €/m2</v>
      </c>
      <c r="C35" s="1" t="str">
        <f>IFERROR(__xludf.DUMMYFUNCTION("""COMPUTED_VALUE"""),"+ 1,0 %")</f>
        <v>+ 1,0 %</v>
      </c>
      <c r="D35" s="1" t="str">
        <f>IFERROR(__xludf.DUMMYFUNCTION("""COMPUTED_VALUE"""),"+ 1,1 %")</f>
        <v>+ 1,1 %</v>
      </c>
      <c r="E35" s="1" t="str">
        <f>IFERROR(__xludf.DUMMYFUNCTION("""COMPUTED_VALUE"""),"+ 3,5 %")</f>
        <v>+ 3,5 %</v>
      </c>
    </row>
    <row r="36">
      <c r="A36" s="2">
        <f>IFERROR(__xludf.DUMMYFUNCTION("""COMPUTED_VALUE"""),45139.0)</f>
        <v>45139</v>
      </c>
      <c r="B36" s="1" t="str">
        <f>IFERROR(__xludf.DUMMYFUNCTION("""COMPUTED_VALUE"""),"5.065 €/m2")</f>
        <v>5.065 €/m2</v>
      </c>
      <c r="C36" s="1" t="str">
        <f>IFERROR(__xludf.DUMMYFUNCTION("""COMPUTED_VALUE"""),"+ 1,3 %")</f>
        <v>+ 1,3 %</v>
      </c>
      <c r="D36" s="1" t="str">
        <f>IFERROR(__xludf.DUMMYFUNCTION("""COMPUTED_VALUE"""),"+ 1,3 %")</f>
        <v>+ 1,3 %</v>
      </c>
      <c r="E36" s="1" t="str">
        <f>IFERROR(__xludf.DUMMYFUNCTION("""COMPUTED_VALUE"""),"+ 4,1 %")</f>
        <v>+ 4,1 %</v>
      </c>
    </row>
    <row r="37">
      <c r="A37" s="2">
        <f>IFERROR(__xludf.DUMMYFUNCTION("""COMPUTED_VALUE"""),45108.0)</f>
        <v>45108</v>
      </c>
      <c r="B37" s="1" t="str">
        <f>IFERROR(__xludf.DUMMYFUNCTION("""COMPUTED_VALUE"""),"5.002 €/m2")</f>
        <v>5.002 €/m2</v>
      </c>
      <c r="C37" s="1" t="str">
        <f>IFERROR(__xludf.DUMMYFUNCTION("""COMPUTED_VALUE"""),"- 1,2 %")</f>
        <v>- 1,2 %</v>
      </c>
      <c r="D37" s="1" t="str">
        <f>IFERROR(__xludf.DUMMYFUNCTION("""COMPUTED_VALUE"""),"+ 1,9 %")</f>
        <v>+ 1,9 %</v>
      </c>
      <c r="E37" s="1" t="str">
        <f>IFERROR(__xludf.DUMMYFUNCTION("""COMPUTED_VALUE"""),"+ 1,6 %")</f>
        <v>+ 1,6 %</v>
      </c>
    </row>
    <row r="38">
      <c r="A38" s="2">
        <f>IFERROR(__xludf.DUMMYFUNCTION("""COMPUTED_VALUE"""),45078.0)</f>
        <v>45078</v>
      </c>
      <c r="B38" s="1" t="str">
        <f>IFERROR(__xludf.DUMMYFUNCTION("""COMPUTED_VALUE"""),"5.061 €/m2")</f>
        <v>5.061 €/m2</v>
      </c>
      <c r="C38" s="1" t="str">
        <f>IFERROR(__xludf.DUMMYFUNCTION("""COMPUTED_VALUE"""),"+ 1,3 %")</f>
        <v>+ 1,3 %</v>
      </c>
      <c r="D38" s="1" t="str">
        <f>IFERROR(__xludf.DUMMYFUNCTION("""COMPUTED_VALUE"""),"+ 2,5 %")</f>
        <v>+ 2,5 %</v>
      </c>
      <c r="E38" s="1" t="str">
        <f>IFERROR(__xludf.DUMMYFUNCTION("""COMPUTED_VALUE"""),"+ 3,7 %")</f>
        <v>+ 3,7 %</v>
      </c>
    </row>
    <row r="39">
      <c r="A39" s="2">
        <f>IFERROR(__xludf.DUMMYFUNCTION("""COMPUTED_VALUE"""),45047.0)</f>
        <v>45047</v>
      </c>
      <c r="B39" s="1" t="str">
        <f>IFERROR(__xludf.DUMMYFUNCTION("""COMPUTED_VALUE"""),"4.998 €/m2")</f>
        <v>4.998 €/m2</v>
      </c>
      <c r="C39" s="1" t="str">
        <f>IFERROR(__xludf.DUMMYFUNCTION("""COMPUTED_VALUE"""),"+ 1,8 %")</f>
        <v>+ 1,8 %</v>
      </c>
      <c r="D39" s="1" t="str">
        <f>IFERROR(__xludf.DUMMYFUNCTION("""COMPUTED_VALUE"""),"+ 0,6 %")</f>
        <v>+ 0,6 %</v>
      </c>
      <c r="E39" s="1" t="str">
        <f>IFERROR(__xludf.DUMMYFUNCTION("""COMPUTED_VALUE"""),"+ 1,4 %")</f>
        <v>+ 1,4 %</v>
      </c>
    </row>
    <row r="40">
      <c r="A40" s="2">
        <f>IFERROR(__xludf.DUMMYFUNCTION("""COMPUTED_VALUE"""),45017.0)</f>
        <v>45017</v>
      </c>
      <c r="B40" s="1" t="str">
        <f>IFERROR(__xludf.DUMMYFUNCTION("""COMPUTED_VALUE"""),"4.908 €/m2")</f>
        <v>4.908 €/m2</v>
      </c>
      <c r="C40" s="1" t="str">
        <f>IFERROR(__xludf.DUMMYFUNCTION("""COMPUTED_VALUE"""),"- 0,6 %")</f>
        <v>- 0,6 %</v>
      </c>
      <c r="D40" s="1" t="str">
        <f>IFERROR(__xludf.DUMMYFUNCTION("""COMPUTED_VALUE"""),"- 1,8 %")</f>
        <v>- 1,8 %</v>
      </c>
      <c r="E40" s="1" t="str">
        <f>IFERROR(__xludf.DUMMYFUNCTION("""COMPUTED_VALUE"""),"+ 0,9 %")</f>
        <v>+ 0,9 %</v>
      </c>
    </row>
    <row r="41">
      <c r="A41" s="2">
        <f>IFERROR(__xludf.DUMMYFUNCTION("""COMPUTED_VALUE"""),44986.0)</f>
        <v>44986</v>
      </c>
      <c r="B41" s="1" t="str">
        <f>IFERROR(__xludf.DUMMYFUNCTION("""COMPUTED_VALUE"""),"4.936 €/m2")</f>
        <v>4.936 €/m2</v>
      </c>
      <c r="C41" s="1" t="str">
        <f>IFERROR(__xludf.DUMMYFUNCTION("""COMPUTED_VALUE"""),"- 0,7 %")</f>
        <v>- 0,7 %</v>
      </c>
      <c r="D41" s="1" t="str">
        <f>IFERROR(__xludf.DUMMYFUNCTION("""COMPUTED_VALUE"""),"- 1,3 %")</f>
        <v>- 1,3 %</v>
      </c>
      <c r="E41" s="1" t="str">
        <f>IFERROR(__xludf.DUMMYFUNCTION("""COMPUTED_VALUE"""),"+ 2,6 %")</f>
        <v>+ 2,6 %</v>
      </c>
    </row>
    <row r="42">
      <c r="A42" s="2">
        <f>IFERROR(__xludf.DUMMYFUNCTION("""COMPUTED_VALUE"""),44958.0)</f>
        <v>44958</v>
      </c>
      <c r="B42" s="1" t="str">
        <f>IFERROR(__xludf.DUMMYFUNCTION("""COMPUTED_VALUE"""),"4.970 €/m2")</f>
        <v>4.970 €/m2</v>
      </c>
      <c r="C42" s="1" t="str">
        <f>IFERROR(__xludf.DUMMYFUNCTION("""COMPUTED_VALUE"""),"- 0,6 %")</f>
        <v>- 0,6 %</v>
      </c>
      <c r="D42" s="1" t="str">
        <f>IFERROR(__xludf.DUMMYFUNCTION("""COMPUTED_VALUE"""),"- 0,6 %")</f>
        <v>- 0,6 %</v>
      </c>
      <c r="E42" s="1" t="str">
        <f>IFERROR(__xludf.DUMMYFUNCTION("""COMPUTED_VALUE"""),"+ 5,0 %")</f>
        <v>+ 5,0 %</v>
      </c>
    </row>
    <row r="43">
      <c r="A43" s="2">
        <f>IFERROR(__xludf.DUMMYFUNCTION("""COMPUTED_VALUE"""),44927.0)</f>
        <v>44927</v>
      </c>
      <c r="B43" s="1" t="str">
        <f>IFERROR(__xludf.DUMMYFUNCTION("""COMPUTED_VALUE"""),"5.000 €/m2")</f>
        <v>5.000 €/m2</v>
      </c>
      <c r="C43" s="1" t="str">
        <f>IFERROR(__xludf.DUMMYFUNCTION("""COMPUTED_VALUE"""),"- 0,1 %")</f>
        <v>- 0,1 %</v>
      </c>
      <c r="D43" s="1" t="str">
        <f>IFERROR(__xludf.DUMMYFUNCTION("""COMPUTED_VALUE"""),"0,0 %")</f>
        <v>0,0 %</v>
      </c>
      <c r="E43" s="1" t="str">
        <f>IFERROR(__xludf.DUMMYFUNCTION("""COMPUTED_VALUE"""),"+ 7,7 %")</f>
        <v>+ 7,7 %</v>
      </c>
    </row>
    <row r="44">
      <c r="A44" s="2">
        <f>IFERROR(__xludf.DUMMYFUNCTION("""COMPUTED_VALUE"""),44896.0)</f>
        <v>44896</v>
      </c>
      <c r="B44" s="1" t="str">
        <f>IFERROR(__xludf.DUMMYFUNCTION("""COMPUTED_VALUE"""),"5.004 €/m2")</f>
        <v>5.004 €/m2</v>
      </c>
      <c r="C44" s="1" t="str">
        <f>IFERROR(__xludf.DUMMYFUNCTION("""COMPUTED_VALUE"""),"+ 0,1 %")</f>
        <v>+ 0,1 %</v>
      </c>
      <c r="D44" s="1" t="str">
        <f>IFERROR(__xludf.DUMMYFUNCTION("""COMPUTED_VALUE"""),"+ 1,2 %")</f>
        <v>+ 1,2 %</v>
      </c>
      <c r="E44" s="1" t="str">
        <f>IFERROR(__xludf.DUMMYFUNCTION("""COMPUTED_VALUE"""),"+ 7,4 %")</f>
        <v>+ 7,4 %</v>
      </c>
    </row>
    <row r="45">
      <c r="A45" s="2">
        <f>IFERROR(__xludf.DUMMYFUNCTION("""COMPUTED_VALUE"""),44866.0)</f>
        <v>44866</v>
      </c>
      <c r="B45" s="1" t="str">
        <f>IFERROR(__xludf.DUMMYFUNCTION("""COMPUTED_VALUE"""),"5.001 €/m2")</f>
        <v>5.001 €/m2</v>
      </c>
      <c r="C45" s="1" t="str">
        <f>IFERROR(__xludf.DUMMYFUNCTION("""COMPUTED_VALUE"""),"0,0 %")</f>
        <v>0,0 %</v>
      </c>
      <c r="D45" s="1" t="str">
        <f>IFERROR(__xludf.DUMMYFUNCTION("""COMPUTED_VALUE"""),"+ 2,7 %")</f>
        <v>+ 2,7 %</v>
      </c>
      <c r="E45" s="1" t="str">
        <f>IFERROR(__xludf.DUMMYFUNCTION("""COMPUTED_VALUE"""),"+ 6,2 %")</f>
        <v>+ 6,2 %</v>
      </c>
    </row>
    <row r="46">
      <c r="A46" s="2">
        <f>IFERROR(__xludf.DUMMYFUNCTION("""COMPUTED_VALUE"""),44835.0)</f>
        <v>44835</v>
      </c>
      <c r="B46" s="1" t="str">
        <f>IFERROR(__xludf.DUMMYFUNCTION("""COMPUTED_VALUE"""),"4.998 €/m2")</f>
        <v>4.998 €/m2</v>
      </c>
      <c r="C46" s="1" t="str">
        <f>IFERROR(__xludf.DUMMYFUNCTION("""COMPUTED_VALUE"""),"+ 1,1 %")</f>
        <v>+ 1,1 %</v>
      </c>
      <c r="D46" s="1" t="str">
        <f>IFERROR(__xludf.DUMMYFUNCTION("""COMPUTED_VALUE"""),"+ 1,5 %")</f>
        <v>+ 1,5 %</v>
      </c>
      <c r="E46" s="1" t="str">
        <f>IFERROR(__xludf.DUMMYFUNCTION("""COMPUTED_VALUE"""),"+ 6,1 %")</f>
        <v>+ 6,1 %</v>
      </c>
    </row>
    <row r="47">
      <c r="A47" s="2">
        <f>IFERROR(__xludf.DUMMYFUNCTION("""COMPUTED_VALUE"""),44805.0)</f>
        <v>44805</v>
      </c>
      <c r="B47" s="1" t="str">
        <f>IFERROR(__xludf.DUMMYFUNCTION("""COMPUTED_VALUE"""),"4.945 €/m2")</f>
        <v>4.945 €/m2</v>
      </c>
      <c r="C47" s="1" t="str">
        <f>IFERROR(__xludf.DUMMYFUNCTION("""COMPUTED_VALUE"""),"+ 1,6 %")</f>
        <v>+ 1,6 %</v>
      </c>
      <c r="D47" s="1" t="str">
        <f>IFERROR(__xludf.DUMMYFUNCTION("""COMPUTED_VALUE"""),"+ 1,3 %")</f>
        <v>+ 1,3 %</v>
      </c>
      <c r="E47" s="1" t="str">
        <f>IFERROR(__xludf.DUMMYFUNCTION("""COMPUTED_VALUE"""),"+ 5,1 %")</f>
        <v>+ 5,1 %</v>
      </c>
    </row>
    <row r="48">
      <c r="A48" s="2">
        <f>IFERROR(__xludf.DUMMYFUNCTION("""COMPUTED_VALUE"""),44774.0)</f>
        <v>44774</v>
      </c>
      <c r="B48" s="1" t="str">
        <f>IFERROR(__xludf.DUMMYFUNCTION("""COMPUTED_VALUE"""),"4.868 €/m2")</f>
        <v>4.868 €/m2</v>
      </c>
      <c r="C48" s="1" t="str">
        <f>IFERROR(__xludf.DUMMYFUNCTION("""COMPUTED_VALUE"""),"- 1,1 %")</f>
        <v>- 1,1 %</v>
      </c>
      <c r="D48" s="1" t="str">
        <f>IFERROR(__xludf.DUMMYFUNCTION("""COMPUTED_VALUE"""),"- 1,2 %")</f>
        <v>- 1,2 %</v>
      </c>
      <c r="E48" s="1" t="str">
        <f>IFERROR(__xludf.DUMMYFUNCTION("""COMPUTED_VALUE"""),"+ 4,3 %")</f>
        <v>+ 4,3 %</v>
      </c>
    </row>
    <row r="49">
      <c r="A49" s="2">
        <f>IFERROR(__xludf.DUMMYFUNCTION("""COMPUTED_VALUE"""),44743.0)</f>
        <v>44743</v>
      </c>
      <c r="B49" s="1" t="str">
        <f>IFERROR(__xludf.DUMMYFUNCTION("""COMPUTED_VALUE"""),"4.923 €/m2")</f>
        <v>4.923 €/m2</v>
      </c>
      <c r="C49" s="1" t="str">
        <f>IFERROR(__xludf.DUMMYFUNCTION("""COMPUTED_VALUE"""),"+ 0,9 %")</f>
        <v>+ 0,9 %</v>
      </c>
      <c r="D49" s="1" t="str">
        <f>IFERROR(__xludf.DUMMYFUNCTION("""COMPUTED_VALUE"""),"+ 1,2 %")</f>
        <v>+ 1,2 %</v>
      </c>
      <c r="E49" s="1" t="str">
        <f>IFERROR(__xludf.DUMMYFUNCTION("""COMPUTED_VALUE"""),"+ 5,6 %")</f>
        <v>+ 5,6 %</v>
      </c>
    </row>
    <row r="50">
      <c r="A50" s="2">
        <f>IFERROR(__xludf.DUMMYFUNCTION("""COMPUTED_VALUE"""),44713.0)</f>
        <v>44713</v>
      </c>
      <c r="B50" s="1" t="str">
        <f>IFERROR(__xludf.DUMMYFUNCTION("""COMPUTED_VALUE"""),"4.881 €/m2")</f>
        <v>4.881 €/m2</v>
      </c>
      <c r="C50" s="1" t="str">
        <f>IFERROR(__xludf.DUMMYFUNCTION("""COMPUTED_VALUE"""),"- 1,0 %")</f>
        <v>- 1,0 %</v>
      </c>
      <c r="D50" s="1" t="str">
        <f>IFERROR(__xludf.DUMMYFUNCTION("""COMPUTED_VALUE"""),"+ 1,5 %")</f>
        <v>+ 1,5 %</v>
      </c>
      <c r="E50" s="1" t="str">
        <f>IFERROR(__xludf.DUMMYFUNCTION("""COMPUTED_VALUE"""),"+ 4,9 %")</f>
        <v>+ 4,9 %</v>
      </c>
    </row>
    <row r="51">
      <c r="A51" s="2">
        <f>IFERROR(__xludf.DUMMYFUNCTION("""COMPUTED_VALUE"""),44682.0)</f>
        <v>44682</v>
      </c>
      <c r="B51" s="1" t="str">
        <f>IFERROR(__xludf.DUMMYFUNCTION("""COMPUTED_VALUE"""),"4.929 €/m2")</f>
        <v>4.929 €/m2</v>
      </c>
      <c r="C51" s="1" t="str">
        <f>IFERROR(__xludf.DUMMYFUNCTION("""COMPUTED_VALUE"""),"+ 1,3 %")</f>
        <v>+ 1,3 %</v>
      </c>
      <c r="D51" s="1" t="str">
        <f>IFERROR(__xludf.DUMMYFUNCTION("""COMPUTED_VALUE"""),"+ 4,2 %")</f>
        <v>+ 4,2 %</v>
      </c>
      <c r="E51" s="1" t="str">
        <f>IFERROR(__xludf.DUMMYFUNCTION("""COMPUTED_VALUE"""),"+ 6,7 %")</f>
        <v>+ 6,7 %</v>
      </c>
    </row>
    <row r="52">
      <c r="A52" s="2">
        <f>IFERROR(__xludf.DUMMYFUNCTION("""COMPUTED_VALUE"""),44652.0)</f>
        <v>44652</v>
      </c>
      <c r="B52" s="1" t="str">
        <f>IFERROR(__xludf.DUMMYFUNCTION("""COMPUTED_VALUE"""),"4.865 €/m2")</f>
        <v>4.865 €/m2</v>
      </c>
      <c r="C52" s="1" t="str">
        <f>IFERROR(__xludf.DUMMYFUNCTION("""COMPUTED_VALUE"""),"+ 1,1 %")</f>
        <v>+ 1,1 %</v>
      </c>
      <c r="D52" s="1" t="str">
        <f>IFERROR(__xludf.DUMMYFUNCTION("""COMPUTED_VALUE"""),"+ 4,7 %")</f>
        <v>+ 4,7 %</v>
      </c>
      <c r="E52" s="1" t="str">
        <f>IFERROR(__xludf.DUMMYFUNCTION("""COMPUTED_VALUE"""),"+ 6,9 %")</f>
        <v>+ 6,9 %</v>
      </c>
    </row>
    <row r="53">
      <c r="A53" s="2">
        <f>IFERROR(__xludf.DUMMYFUNCTION("""COMPUTED_VALUE"""),44621.0)</f>
        <v>44621</v>
      </c>
      <c r="B53" s="1" t="str">
        <f>IFERROR(__xludf.DUMMYFUNCTION("""COMPUTED_VALUE"""),"4.810 €/m2")</f>
        <v>4.810 €/m2</v>
      </c>
      <c r="C53" s="1" t="str">
        <f>IFERROR(__xludf.DUMMYFUNCTION("""COMPUTED_VALUE"""),"+ 1,7 %")</f>
        <v>+ 1,7 %</v>
      </c>
      <c r="D53" s="1" t="str">
        <f>IFERROR(__xludf.DUMMYFUNCTION("""COMPUTED_VALUE"""),"+ 3,3 %")</f>
        <v>+ 3,3 %</v>
      </c>
      <c r="E53" s="1" t="str">
        <f>IFERROR(__xludf.DUMMYFUNCTION("""COMPUTED_VALUE"""),"+ 5,7 %")</f>
        <v>+ 5,7 %</v>
      </c>
    </row>
    <row r="54">
      <c r="A54" s="2">
        <f>IFERROR(__xludf.DUMMYFUNCTION("""COMPUTED_VALUE"""),44593.0)</f>
        <v>44593</v>
      </c>
      <c r="B54" s="1" t="str">
        <f>IFERROR(__xludf.DUMMYFUNCTION("""COMPUTED_VALUE"""),"4.731 €/m2")</f>
        <v>4.731 €/m2</v>
      </c>
      <c r="C54" s="1" t="str">
        <f>IFERROR(__xludf.DUMMYFUNCTION("""COMPUTED_VALUE"""),"+ 1,9 %")</f>
        <v>+ 1,9 %</v>
      </c>
      <c r="D54" s="1" t="str">
        <f>IFERROR(__xludf.DUMMYFUNCTION("""COMPUTED_VALUE"""),"+ 0,5 %")</f>
        <v>+ 0,5 %</v>
      </c>
      <c r="E54" s="1" t="str">
        <f>IFERROR(__xludf.DUMMYFUNCTION("""COMPUTED_VALUE"""),"+ 4,1 %")</f>
        <v>+ 4,1 %</v>
      </c>
    </row>
    <row r="55">
      <c r="A55" s="2">
        <f>IFERROR(__xludf.DUMMYFUNCTION("""COMPUTED_VALUE"""),44562.0)</f>
        <v>44562</v>
      </c>
      <c r="B55" s="1" t="str">
        <f>IFERROR(__xludf.DUMMYFUNCTION("""COMPUTED_VALUE"""),"4.644 €/m2")</f>
        <v>4.644 €/m2</v>
      </c>
      <c r="C55" s="1" t="str">
        <f>IFERROR(__xludf.DUMMYFUNCTION("""COMPUTED_VALUE"""),"- 0,3 %")</f>
        <v>- 0,3 %</v>
      </c>
      <c r="D55" s="1" t="str">
        <f>IFERROR(__xludf.DUMMYFUNCTION("""COMPUTED_VALUE"""),"- 1,4 %")</f>
        <v>- 1,4 %</v>
      </c>
      <c r="E55" s="1" t="str">
        <f>IFERROR(__xludf.DUMMYFUNCTION("""COMPUTED_VALUE"""),"+ 3,3 %")</f>
        <v>+ 3,3 %</v>
      </c>
    </row>
    <row r="56">
      <c r="A56" s="2">
        <f>IFERROR(__xludf.DUMMYFUNCTION("""COMPUTED_VALUE"""),44531.0)</f>
        <v>44531</v>
      </c>
      <c r="B56" s="1" t="str">
        <f>IFERROR(__xludf.DUMMYFUNCTION("""COMPUTED_VALUE"""),"4.657 €/m2")</f>
        <v>4.657 €/m2</v>
      </c>
      <c r="C56" s="1" t="str">
        <f>IFERROR(__xludf.DUMMYFUNCTION("""COMPUTED_VALUE"""),"- 1,1 %")</f>
        <v>- 1,1 %</v>
      </c>
      <c r="D56" s="1" t="str">
        <f>IFERROR(__xludf.DUMMYFUNCTION("""COMPUTED_VALUE"""),"- 1,0 %")</f>
        <v>- 1,0 %</v>
      </c>
      <c r="E56" s="1" t="str">
        <f>IFERROR(__xludf.DUMMYFUNCTION("""COMPUTED_VALUE"""),"+ 3,6 %")</f>
        <v>+ 3,6 %</v>
      </c>
    </row>
    <row r="57">
      <c r="A57" s="2">
        <f>IFERROR(__xludf.DUMMYFUNCTION("""COMPUTED_VALUE"""),44501.0)</f>
        <v>44501</v>
      </c>
      <c r="B57" s="1" t="str">
        <f>IFERROR(__xludf.DUMMYFUNCTION("""COMPUTED_VALUE"""),"4.709 €/m2")</f>
        <v>4.709 €/m2</v>
      </c>
      <c r="C57" s="1" t="str">
        <f>IFERROR(__xludf.DUMMYFUNCTION("""COMPUTED_VALUE"""),"0,0 %")</f>
        <v>0,0 %</v>
      </c>
      <c r="D57" s="1" t="str">
        <f>IFERROR(__xludf.DUMMYFUNCTION("""COMPUTED_VALUE"""),"+ 0,9 %")</f>
        <v>+ 0,9 %</v>
      </c>
      <c r="E57" s="1" t="str">
        <f>IFERROR(__xludf.DUMMYFUNCTION("""COMPUTED_VALUE"""),"+ 4,9 %")</f>
        <v>+ 4,9 %</v>
      </c>
    </row>
    <row r="58">
      <c r="A58" s="2">
        <f>IFERROR(__xludf.DUMMYFUNCTION("""COMPUTED_VALUE"""),44470.0)</f>
        <v>44470</v>
      </c>
      <c r="B58" s="1" t="str">
        <f>IFERROR(__xludf.DUMMYFUNCTION("""COMPUTED_VALUE"""),"4.711 €/m2")</f>
        <v>4.711 €/m2</v>
      </c>
      <c r="C58" s="1" t="str">
        <f>IFERROR(__xludf.DUMMYFUNCTION("""COMPUTED_VALUE"""),"+ 0,1 %")</f>
        <v>+ 0,1 %</v>
      </c>
      <c r="D58" s="1" t="str">
        <f>IFERROR(__xludf.DUMMYFUNCTION("""COMPUTED_VALUE"""),"+ 1,1 %")</f>
        <v>+ 1,1 %</v>
      </c>
      <c r="E58" s="1" t="str">
        <f>IFERROR(__xludf.DUMMYFUNCTION("""COMPUTED_VALUE"""),"+ 5,4 %")</f>
        <v>+ 5,4 %</v>
      </c>
    </row>
    <row r="59">
      <c r="A59" s="2">
        <f>IFERROR(__xludf.DUMMYFUNCTION("""COMPUTED_VALUE"""),44440.0)</f>
        <v>44440</v>
      </c>
      <c r="B59" s="1" t="str">
        <f>IFERROR(__xludf.DUMMYFUNCTION("""COMPUTED_VALUE"""),"4.705 €/m2")</f>
        <v>4.705 €/m2</v>
      </c>
      <c r="C59" s="1" t="str">
        <f>IFERROR(__xludf.DUMMYFUNCTION("""COMPUTED_VALUE"""),"+ 0,8 %")</f>
        <v>+ 0,8 %</v>
      </c>
      <c r="D59" s="1" t="str">
        <f>IFERROR(__xludf.DUMMYFUNCTION("""COMPUTED_VALUE"""),"+ 1,1 %")</f>
        <v>+ 1,1 %</v>
      </c>
      <c r="E59" s="1" t="str">
        <f>IFERROR(__xludf.DUMMYFUNCTION("""COMPUTED_VALUE"""),"+ 4,5 %")</f>
        <v>+ 4,5 %</v>
      </c>
    </row>
    <row r="60">
      <c r="A60" s="2">
        <f>IFERROR(__xludf.DUMMYFUNCTION("""COMPUTED_VALUE"""),44409.0)</f>
        <v>44409</v>
      </c>
      <c r="B60" s="1" t="str">
        <f>IFERROR(__xludf.DUMMYFUNCTION("""COMPUTED_VALUE"""),"4.669 €/m2")</f>
        <v>4.669 €/m2</v>
      </c>
      <c r="C60" s="1" t="str">
        <f>IFERROR(__xludf.DUMMYFUNCTION("""COMPUTED_VALUE"""),"+ 0,2 %")</f>
        <v>+ 0,2 %</v>
      </c>
      <c r="D60" s="1" t="str">
        <f>IFERROR(__xludf.DUMMYFUNCTION("""COMPUTED_VALUE"""),"+ 1,1 %")</f>
        <v>+ 1,1 %</v>
      </c>
      <c r="E60" s="1" t="str">
        <f>IFERROR(__xludf.DUMMYFUNCTION("""COMPUTED_VALUE"""),"+ 4,3 %")</f>
        <v>+ 4,3 %</v>
      </c>
    </row>
    <row r="61">
      <c r="A61" s="2">
        <f>IFERROR(__xludf.DUMMYFUNCTION("""COMPUTED_VALUE"""),44378.0)</f>
        <v>44378</v>
      </c>
      <c r="B61" s="1" t="str">
        <f>IFERROR(__xludf.DUMMYFUNCTION("""COMPUTED_VALUE"""),"4.660 €/m2")</f>
        <v>4.660 €/m2</v>
      </c>
      <c r="C61" s="1" t="str">
        <f>IFERROR(__xludf.DUMMYFUNCTION("""COMPUTED_VALUE"""),"+ 0,2 %")</f>
        <v>+ 0,2 %</v>
      </c>
      <c r="D61" s="1" t="str">
        <f>IFERROR(__xludf.DUMMYFUNCTION("""COMPUTED_VALUE"""),"+ 2,4 %")</f>
        <v>+ 2,4 %</v>
      </c>
      <c r="E61" s="1" t="str">
        <f>IFERROR(__xludf.DUMMYFUNCTION("""COMPUTED_VALUE"""),"+ 4,1 %")</f>
        <v>+ 4,1 %</v>
      </c>
    </row>
    <row r="62">
      <c r="A62" s="2">
        <f>IFERROR(__xludf.DUMMYFUNCTION("""COMPUTED_VALUE"""),44348.0)</f>
        <v>44348</v>
      </c>
      <c r="B62" s="1" t="str">
        <f>IFERROR(__xludf.DUMMYFUNCTION("""COMPUTED_VALUE"""),"4.652 €/m2")</f>
        <v>4.652 €/m2</v>
      </c>
      <c r="C62" s="1" t="str">
        <f>IFERROR(__xludf.DUMMYFUNCTION("""COMPUTED_VALUE"""),"+ 0,7 %")</f>
        <v>+ 0,7 %</v>
      </c>
      <c r="D62" s="1" t="str">
        <f>IFERROR(__xludf.DUMMYFUNCTION("""COMPUTED_VALUE"""),"+ 2,2 %")</f>
        <v>+ 2,2 %</v>
      </c>
      <c r="E62" s="1" t="str">
        <f>IFERROR(__xludf.DUMMYFUNCTION("""COMPUTED_VALUE"""),"+ 3,1 %")</f>
        <v>+ 3,1 %</v>
      </c>
    </row>
    <row r="63">
      <c r="A63" s="2">
        <f>IFERROR(__xludf.DUMMYFUNCTION("""COMPUTED_VALUE"""),44317.0)</f>
        <v>44317</v>
      </c>
      <c r="B63" s="1" t="str">
        <f>IFERROR(__xludf.DUMMYFUNCTION("""COMPUTED_VALUE"""),"4.619 €/m2")</f>
        <v>4.619 €/m2</v>
      </c>
      <c r="C63" s="1" t="str">
        <f>IFERROR(__xludf.DUMMYFUNCTION("""COMPUTED_VALUE"""),"+ 1,5 %")</f>
        <v>+ 1,5 %</v>
      </c>
      <c r="D63" s="1" t="str">
        <f>IFERROR(__xludf.DUMMYFUNCTION("""COMPUTED_VALUE"""),"+ 1,6 %")</f>
        <v>+ 1,6 %</v>
      </c>
      <c r="E63" s="1" t="str">
        <f>IFERROR(__xludf.DUMMYFUNCTION("""COMPUTED_VALUE"""),"+ 0,7 %")</f>
        <v>+ 0,7 %</v>
      </c>
    </row>
    <row r="64">
      <c r="A64" s="2">
        <f>IFERROR(__xludf.DUMMYFUNCTION("""COMPUTED_VALUE"""),44287.0)</f>
        <v>44287</v>
      </c>
      <c r="B64" s="1" t="str">
        <f>IFERROR(__xludf.DUMMYFUNCTION("""COMPUTED_VALUE"""),"4.551 €/m2")</f>
        <v>4.551 €/m2</v>
      </c>
      <c r="C64" s="1" t="str">
        <f>IFERROR(__xludf.DUMMYFUNCTION("""COMPUTED_VALUE"""),"0,0 %")</f>
        <v>0,0 %</v>
      </c>
      <c r="D64" s="1" t="str">
        <f>IFERROR(__xludf.DUMMYFUNCTION("""COMPUTED_VALUE"""),"+ 1,2 %")</f>
        <v>+ 1,2 %</v>
      </c>
      <c r="E64" s="1" t="str">
        <f>IFERROR(__xludf.DUMMYFUNCTION("""COMPUTED_VALUE"""),"- 0,2 %")</f>
        <v>- 0,2 %</v>
      </c>
    </row>
    <row r="65">
      <c r="A65" s="2">
        <f>IFERROR(__xludf.DUMMYFUNCTION("""COMPUTED_VALUE"""),44256.0)</f>
        <v>44256</v>
      </c>
      <c r="B65" s="1" t="str">
        <f>IFERROR(__xludf.DUMMYFUNCTION("""COMPUTED_VALUE"""),"4.550 €/m2")</f>
        <v>4.550 €/m2</v>
      </c>
      <c r="C65" s="1" t="str">
        <f>IFERROR(__xludf.DUMMYFUNCTION("""COMPUTED_VALUE"""),"+ 0,1 %")</f>
        <v>+ 0,1 %</v>
      </c>
      <c r="D65" s="1" t="str">
        <f>IFERROR(__xludf.DUMMYFUNCTION("""COMPUTED_VALUE"""),"+ 1,2 %")</f>
        <v>+ 1,2 %</v>
      </c>
      <c r="E65" s="1" t="str">
        <f>IFERROR(__xludf.DUMMYFUNCTION("""COMPUTED_VALUE"""),"- 0,1 %")</f>
        <v>- 0,1 %</v>
      </c>
    </row>
    <row r="66">
      <c r="A66" s="2">
        <f>IFERROR(__xludf.DUMMYFUNCTION("""COMPUTED_VALUE"""),44228.0)</f>
        <v>44228</v>
      </c>
      <c r="B66" s="1" t="str">
        <f>IFERROR(__xludf.DUMMYFUNCTION("""COMPUTED_VALUE"""),"4.544 €/m2")</f>
        <v>4.544 €/m2</v>
      </c>
      <c r="C66" s="1" t="str">
        <f>IFERROR(__xludf.DUMMYFUNCTION("""COMPUTED_VALUE"""),"+ 1,1 %")</f>
        <v>+ 1,1 %</v>
      </c>
      <c r="D66" s="1" t="str">
        <f>IFERROR(__xludf.DUMMYFUNCTION("""COMPUTED_VALUE"""),"+ 1,2 %")</f>
        <v>+ 1,2 %</v>
      </c>
      <c r="E66" s="1" t="str">
        <f>IFERROR(__xludf.DUMMYFUNCTION("""COMPUTED_VALUE"""),"- 0,7 %")</f>
        <v>- 0,7 %</v>
      </c>
    </row>
    <row r="67">
      <c r="A67" s="2">
        <f>IFERROR(__xludf.DUMMYFUNCTION("""COMPUTED_VALUE"""),44197.0)</f>
        <v>44197</v>
      </c>
      <c r="B67" s="1" t="str">
        <f>IFERROR(__xludf.DUMMYFUNCTION("""COMPUTED_VALUE"""),"4.497 €/m2")</f>
        <v>4.497 €/m2</v>
      </c>
      <c r="C67" s="1" t="str">
        <f>IFERROR(__xludf.DUMMYFUNCTION("""COMPUTED_VALUE"""),"0,0 %")</f>
        <v>0,0 %</v>
      </c>
      <c r="D67" s="1" t="str">
        <f>IFERROR(__xludf.DUMMYFUNCTION("""COMPUTED_VALUE"""),"+ 0,6 %")</f>
        <v>+ 0,6 %</v>
      </c>
      <c r="E67" s="1" t="str">
        <f>IFERROR(__xludf.DUMMYFUNCTION("""COMPUTED_VALUE"""),"- 2,2 %")</f>
        <v>- 2,2 %</v>
      </c>
    </row>
    <row r="68">
      <c r="A68" s="2">
        <f>IFERROR(__xludf.DUMMYFUNCTION("""COMPUTED_VALUE"""),44166.0)</f>
        <v>44166</v>
      </c>
      <c r="B68" s="1" t="str">
        <f>IFERROR(__xludf.DUMMYFUNCTION("""COMPUTED_VALUE"""),"4.495 €/m2")</f>
        <v>4.495 €/m2</v>
      </c>
      <c r="C68" s="1" t="str">
        <f>IFERROR(__xludf.DUMMYFUNCTION("""COMPUTED_VALUE"""),"+ 0,1 %")</f>
        <v>+ 0,1 %</v>
      </c>
      <c r="D68" s="1" t="str">
        <f>IFERROR(__xludf.DUMMYFUNCTION("""COMPUTED_VALUE"""),"- 0,2 %")</f>
        <v>- 0,2 %</v>
      </c>
      <c r="E68" s="1" t="str">
        <f>IFERROR(__xludf.DUMMYFUNCTION("""COMPUTED_VALUE"""),"- 0,9 %")</f>
        <v>- 0,9 %</v>
      </c>
    </row>
    <row r="69">
      <c r="A69" s="2">
        <f>IFERROR(__xludf.DUMMYFUNCTION("""COMPUTED_VALUE"""),44136.0)</f>
        <v>44136</v>
      </c>
      <c r="B69" s="1" t="str">
        <f>IFERROR(__xludf.DUMMYFUNCTION("""COMPUTED_VALUE"""),"4.490 €/m2")</f>
        <v>4.490 €/m2</v>
      </c>
      <c r="C69" s="1" t="str">
        <f>IFERROR(__xludf.DUMMYFUNCTION("""COMPUTED_VALUE"""),"+ 0,5 %")</f>
        <v>+ 0,5 %</v>
      </c>
      <c r="D69" s="1" t="str">
        <f>IFERROR(__xludf.DUMMYFUNCTION("""COMPUTED_VALUE"""),"+ 0,3 %")</f>
        <v>+ 0,3 %</v>
      </c>
      <c r="E69" s="1" t="str">
        <f>IFERROR(__xludf.DUMMYFUNCTION("""COMPUTED_VALUE"""),"- 2,0 %")</f>
        <v>- 2,0 %</v>
      </c>
    </row>
    <row r="70">
      <c r="A70" s="2">
        <f>IFERROR(__xludf.DUMMYFUNCTION("""COMPUTED_VALUE"""),44105.0)</f>
        <v>44105</v>
      </c>
      <c r="B70" s="1" t="str">
        <f>IFERROR(__xludf.DUMMYFUNCTION("""COMPUTED_VALUE"""),"4.469 €/m2")</f>
        <v>4.469 €/m2</v>
      </c>
      <c r="C70" s="1" t="str">
        <f>IFERROR(__xludf.DUMMYFUNCTION("""COMPUTED_VALUE"""),"- 0,8 %")</f>
        <v>- 0,8 %</v>
      </c>
      <c r="D70" s="1" t="str">
        <f>IFERROR(__xludf.DUMMYFUNCTION("""COMPUTED_VALUE"""),"- 0,1 %")</f>
        <v>- 0,1 %</v>
      </c>
      <c r="E70" s="1" t="str">
        <f>IFERROR(__xludf.DUMMYFUNCTION("""COMPUTED_VALUE"""),"- 2,5 %")</f>
        <v>- 2,5 %</v>
      </c>
    </row>
    <row r="71">
      <c r="A71" s="2">
        <f>IFERROR(__xludf.DUMMYFUNCTION("""COMPUTED_VALUE"""),44075.0)</f>
        <v>44075</v>
      </c>
      <c r="B71" s="1" t="str">
        <f>IFERROR(__xludf.DUMMYFUNCTION("""COMPUTED_VALUE"""),"4.504 €/m2")</f>
        <v>4.504 €/m2</v>
      </c>
      <c r="C71" s="1" t="str">
        <f>IFERROR(__xludf.DUMMYFUNCTION("""COMPUTED_VALUE"""),"+ 0,6 %")</f>
        <v>+ 0,6 %</v>
      </c>
      <c r="D71" s="1" t="str">
        <f>IFERROR(__xludf.DUMMYFUNCTION("""COMPUTED_VALUE"""),"- 0,2 %")</f>
        <v>- 0,2 %</v>
      </c>
      <c r="E71" s="1" t="str">
        <f>IFERROR(__xludf.DUMMYFUNCTION("""COMPUTED_VALUE"""),"- 0,7 %")</f>
        <v>- 0,7 %</v>
      </c>
    </row>
    <row r="72">
      <c r="A72" s="2">
        <f>IFERROR(__xludf.DUMMYFUNCTION("""COMPUTED_VALUE"""),44044.0)</f>
        <v>44044</v>
      </c>
      <c r="B72" s="1" t="str">
        <f>IFERROR(__xludf.DUMMYFUNCTION("""COMPUTED_VALUE"""),"4.475 €/m2")</f>
        <v>4.475 €/m2</v>
      </c>
      <c r="C72" s="1" t="str">
        <f>IFERROR(__xludf.DUMMYFUNCTION("""COMPUTED_VALUE"""),"0,0 %")</f>
        <v>0,0 %</v>
      </c>
      <c r="D72" s="1" t="str">
        <f>IFERROR(__xludf.DUMMYFUNCTION("""COMPUTED_VALUE"""),"- 2,4 %")</f>
        <v>- 2,4 %</v>
      </c>
      <c r="E72" s="1" t="str">
        <f>IFERROR(__xludf.DUMMYFUNCTION("""COMPUTED_VALUE"""),"- 2,1 %")</f>
        <v>- 2,1 %</v>
      </c>
    </row>
    <row r="73">
      <c r="A73" s="2">
        <f>IFERROR(__xludf.DUMMYFUNCTION("""COMPUTED_VALUE"""),44013.0)</f>
        <v>44013</v>
      </c>
      <c r="B73" s="1" t="str">
        <f>IFERROR(__xludf.DUMMYFUNCTION("""COMPUTED_VALUE"""),"4.475 €/m2")</f>
        <v>4.475 €/m2</v>
      </c>
      <c r="C73" s="1" t="str">
        <f>IFERROR(__xludf.DUMMYFUNCTION("""COMPUTED_VALUE"""),"- 0,8 %")</f>
        <v>- 0,8 %</v>
      </c>
      <c r="D73" s="1" t="str">
        <f>IFERROR(__xludf.DUMMYFUNCTION("""COMPUTED_VALUE"""),"- 1,8 %")</f>
        <v>- 1,8 %</v>
      </c>
      <c r="E73" s="1" t="str">
        <f>IFERROR(__xludf.DUMMYFUNCTION("""COMPUTED_VALUE"""),"- 2,6 %")</f>
        <v>- 2,6 %</v>
      </c>
    </row>
    <row r="74">
      <c r="A74" s="2">
        <f>IFERROR(__xludf.DUMMYFUNCTION("""COMPUTED_VALUE"""),43983.0)</f>
        <v>43983</v>
      </c>
      <c r="B74" s="1" t="str">
        <f>IFERROR(__xludf.DUMMYFUNCTION("""COMPUTED_VALUE"""),"4.511 €/m2")</f>
        <v>4.511 €/m2</v>
      </c>
      <c r="C74" s="1" t="str">
        <f>IFERROR(__xludf.DUMMYFUNCTION("""COMPUTED_VALUE"""),"- 1,6 %")</f>
        <v>- 1,6 %</v>
      </c>
      <c r="D74" s="1" t="str">
        <f>IFERROR(__xludf.DUMMYFUNCTION("""COMPUTED_VALUE"""),"- 1,0 %")</f>
        <v>- 1,0 %</v>
      </c>
      <c r="E74" s="1" t="str">
        <f>IFERROR(__xludf.DUMMYFUNCTION("""COMPUTED_VALUE"""),"- 2,4 %")</f>
        <v>- 2,4 %</v>
      </c>
    </row>
    <row r="75">
      <c r="A75" s="2">
        <f>IFERROR(__xludf.DUMMYFUNCTION("""COMPUTED_VALUE"""),43952.0)</f>
        <v>43952</v>
      </c>
      <c r="B75" s="1" t="str">
        <f>IFERROR(__xludf.DUMMYFUNCTION("""COMPUTED_VALUE"""),"4.586 €/m2")</f>
        <v>4.586 €/m2</v>
      </c>
      <c r="C75" s="1" t="str">
        <f>IFERROR(__xludf.DUMMYFUNCTION("""COMPUTED_VALUE"""),"+ 0,6 %")</f>
        <v>+ 0,6 %</v>
      </c>
      <c r="D75" s="1" t="str">
        <f>IFERROR(__xludf.DUMMYFUNCTION("""COMPUTED_VALUE"""),"+ 0,2 %")</f>
        <v>+ 0,2 %</v>
      </c>
      <c r="E75" s="1" t="str">
        <f>IFERROR(__xludf.DUMMYFUNCTION("""COMPUTED_VALUE"""),"- 0,9 %")</f>
        <v>- 0,9 %</v>
      </c>
    </row>
    <row r="76">
      <c r="A76" s="2">
        <f>IFERROR(__xludf.DUMMYFUNCTION("""COMPUTED_VALUE"""),43922.0)</f>
        <v>43922</v>
      </c>
      <c r="B76" s="1" t="str">
        <f>IFERROR(__xludf.DUMMYFUNCTION("""COMPUTED_VALUE"""),"4.559 €/m2")</f>
        <v>4.559 €/m2</v>
      </c>
      <c r="C76" s="1" t="str">
        <f>IFERROR(__xludf.DUMMYFUNCTION("""COMPUTED_VALUE"""),"0,0 %")</f>
        <v>0,0 %</v>
      </c>
      <c r="D76" s="1" t="str">
        <f>IFERROR(__xludf.DUMMYFUNCTION("""COMPUTED_VALUE"""),"- 0,9 %")</f>
        <v>- 0,9 %</v>
      </c>
      <c r="E76" s="1" t="str">
        <f>IFERROR(__xludf.DUMMYFUNCTION("""COMPUTED_VALUE"""),"- 1,9 %")</f>
        <v>- 1,9 %</v>
      </c>
    </row>
    <row r="77">
      <c r="A77" s="2">
        <f>IFERROR(__xludf.DUMMYFUNCTION("""COMPUTED_VALUE"""),43891.0)</f>
        <v>43891</v>
      </c>
      <c r="B77" s="1" t="str">
        <f>IFERROR(__xludf.DUMMYFUNCTION("""COMPUTED_VALUE"""),"4.557 €/m2")</f>
        <v>4.557 €/m2</v>
      </c>
      <c r="C77" s="1" t="str">
        <f>IFERROR(__xludf.DUMMYFUNCTION("""COMPUTED_VALUE"""),"- 0,4 %")</f>
        <v>- 0,4 %</v>
      </c>
      <c r="D77" s="1" t="str">
        <f>IFERROR(__xludf.DUMMYFUNCTION("""COMPUTED_VALUE"""),"+ 0,4 %")</f>
        <v>+ 0,4 %</v>
      </c>
      <c r="E77" s="1" t="str">
        <f>IFERROR(__xludf.DUMMYFUNCTION("""COMPUTED_VALUE"""),"- 2,4 %")</f>
        <v>- 2,4 %</v>
      </c>
    </row>
    <row r="78">
      <c r="A78" s="2">
        <f>IFERROR(__xludf.DUMMYFUNCTION("""COMPUTED_VALUE"""),43862.0)</f>
        <v>43862</v>
      </c>
      <c r="B78" s="1" t="str">
        <f>IFERROR(__xludf.DUMMYFUNCTION("""COMPUTED_VALUE"""),"4.577 €/m2")</f>
        <v>4.577 €/m2</v>
      </c>
      <c r="C78" s="1" t="str">
        <f>IFERROR(__xludf.DUMMYFUNCTION("""COMPUTED_VALUE"""),"- 0,5 %")</f>
        <v>- 0,5 %</v>
      </c>
      <c r="D78" s="1" t="str">
        <f>IFERROR(__xludf.DUMMYFUNCTION("""COMPUTED_VALUE"""),"- 0,1 %")</f>
        <v>- 0,1 %</v>
      </c>
      <c r="E78" s="1" t="str">
        <f>IFERROR(__xludf.DUMMYFUNCTION("""COMPUTED_VALUE"""),"- 1,7 %")</f>
        <v>- 1,7 %</v>
      </c>
    </row>
    <row r="79">
      <c r="A79" s="2">
        <f>IFERROR(__xludf.DUMMYFUNCTION("""COMPUTED_VALUE"""),43831.0)</f>
        <v>43831</v>
      </c>
      <c r="B79" s="1" t="str">
        <f>IFERROR(__xludf.DUMMYFUNCTION("""COMPUTED_VALUE"""),"4.599 €/m2")</f>
        <v>4.599 €/m2</v>
      </c>
      <c r="C79" s="1" t="str">
        <f>IFERROR(__xludf.DUMMYFUNCTION("""COMPUTED_VALUE"""),"+ 1,3 %")</f>
        <v>+ 1,3 %</v>
      </c>
      <c r="D79" s="1" t="str">
        <f>IFERROR(__xludf.DUMMYFUNCTION("""COMPUTED_VALUE"""),"+ 0,3 %")</f>
        <v>+ 0,3 %</v>
      </c>
      <c r="E79" s="1" t="str">
        <f>IFERROR(__xludf.DUMMYFUNCTION("""COMPUTED_VALUE"""),"0,0 %")</f>
        <v>0,0 %</v>
      </c>
    </row>
    <row r="80">
      <c r="A80" s="2">
        <f>IFERROR(__xludf.DUMMYFUNCTION("""COMPUTED_VALUE"""),43800.0)</f>
        <v>43800</v>
      </c>
      <c r="B80" s="1" t="str">
        <f>IFERROR(__xludf.DUMMYFUNCTION("""COMPUTED_VALUE"""),"4.538 €/m2")</f>
        <v>4.538 €/m2</v>
      </c>
      <c r="C80" s="1" t="str">
        <f>IFERROR(__xludf.DUMMYFUNCTION("""COMPUTED_VALUE"""),"- 1,0 %")</f>
        <v>- 1,0 %</v>
      </c>
      <c r="D80" s="1" t="str">
        <f>IFERROR(__xludf.DUMMYFUNCTION("""COMPUTED_VALUE"""),"+ 0,1 %")</f>
        <v>+ 0,1 %</v>
      </c>
      <c r="E80" s="1" t="str">
        <f>IFERROR(__xludf.DUMMYFUNCTION("""COMPUTED_VALUE"""),"- 0,1 %")</f>
        <v>- 0,1 %</v>
      </c>
    </row>
    <row r="81">
      <c r="A81" s="2">
        <f>IFERROR(__xludf.DUMMYFUNCTION("""COMPUTED_VALUE"""),43770.0)</f>
        <v>43770</v>
      </c>
      <c r="B81" s="1" t="str">
        <f>IFERROR(__xludf.DUMMYFUNCTION("""COMPUTED_VALUE"""),"4.583 €/m2")</f>
        <v>4.583 €/m2</v>
      </c>
      <c r="C81" s="1" t="str">
        <f>IFERROR(__xludf.DUMMYFUNCTION("""COMPUTED_VALUE"""),"0,0 %")</f>
        <v>0,0 %</v>
      </c>
      <c r="D81" s="1" t="str">
        <f>IFERROR(__xludf.DUMMYFUNCTION("""COMPUTED_VALUE"""),"+ 0,3 %")</f>
        <v>+ 0,3 %</v>
      </c>
      <c r="E81" s="1" t="str">
        <f>IFERROR(__xludf.DUMMYFUNCTION("""COMPUTED_VALUE"""),"+ 1,7 %")</f>
        <v>+ 1,7 %</v>
      </c>
    </row>
    <row r="82">
      <c r="A82" s="2">
        <f>IFERROR(__xludf.DUMMYFUNCTION("""COMPUTED_VALUE"""),43739.0)</f>
        <v>43739</v>
      </c>
      <c r="B82" s="1" t="str">
        <f>IFERROR(__xludf.DUMMYFUNCTION("""COMPUTED_VALUE"""),"4.584 €/m2")</f>
        <v>4.584 €/m2</v>
      </c>
      <c r="C82" s="1" t="str">
        <f>IFERROR(__xludf.DUMMYFUNCTION("""COMPUTED_VALUE"""),"+ 1,1 %")</f>
        <v>+ 1,1 %</v>
      </c>
      <c r="D82" s="1" t="str">
        <f>IFERROR(__xludf.DUMMYFUNCTION("""COMPUTED_VALUE"""),"- 0,2 %")</f>
        <v>- 0,2 %</v>
      </c>
      <c r="E82" s="1" t="str">
        <f>IFERROR(__xludf.DUMMYFUNCTION("""COMPUTED_VALUE"""),"+ 2,5 %")</f>
        <v>+ 2,5 %</v>
      </c>
    </row>
    <row r="83">
      <c r="A83" s="2">
        <f>IFERROR(__xludf.DUMMYFUNCTION("""COMPUTED_VALUE"""),43709.0)</f>
        <v>43709</v>
      </c>
      <c r="B83" s="1" t="str">
        <f>IFERROR(__xludf.DUMMYFUNCTION("""COMPUTED_VALUE"""),"4.534 €/m2")</f>
        <v>4.534 €/m2</v>
      </c>
      <c r="C83" s="1" t="str">
        <f>IFERROR(__xludf.DUMMYFUNCTION("""COMPUTED_VALUE"""),"- 0,8 %")</f>
        <v>- 0,8 %</v>
      </c>
      <c r="D83" s="1" t="str">
        <f>IFERROR(__xludf.DUMMYFUNCTION("""COMPUTED_VALUE"""),"- 1,9 %")</f>
        <v>- 1,9 %</v>
      </c>
      <c r="E83" s="1" t="str">
        <f>IFERROR(__xludf.DUMMYFUNCTION("""COMPUTED_VALUE"""),"+ 1,7 %")</f>
        <v>+ 1,7 %</v>
      </c>
    </row>
    <row r="84">
      <c r="A84" s="2">
        <f>IFERROR(__xludf.DUMMYFUNCTION("""COMPUTED_VALUE"""),43678.0)</f>
        <v>43678</v>
      </c>
      <c r="B84" s="1" t="str">
        <f>IFERROR(__xludf.DUMMYFUNCTION("""COMPUTED_VALUE"""),"4.571 €/m2")</f>
        <v>4.571 €/m2</v>
      </c>
      <c r="C84" s="1" t="str">
        <f>IFERROR(__xludf.DUMMYFUNCTION("""COMPUTED_VALUE"""),"- 0,5 %")</f>
        <v>- 0,5 %</v>
      </c>
      <c r="D84" s="1" t="str">
        <f>IFERROR(__xludf.DUMMYFUNCTION("""COMPUTED_VALUE"""),"- 1,3 %")</f>
        <v>- 1,3 %</v>
      </c>
      <c r="E84" s="1" t="str">
        <f>IFERROR(__xludf.DUMMYFUNCTION("""COMPUTED_VALUE"""),"+ 2,3 %")</f>
        <v>+ 2,3 %</v>
      </c>
    </row>
    <row r="85">
      <c r="A85" s="2">
        <f>IFERROR(__xludf.DUMMYFUNCTION("""COMPUTED_VALUE"""),43647.0)</f>
        <v>43647</v>
      </c>
      <c r="B85" s="1" t="str">
        <f>IFERROR(__xludf.DUMMYFUNCTION("""COMPUTED_VALUE"""),"4.594 €/m2")</f>
        <v>4.594 €/m2</v>
      </c>
      <c r="C85" s="1" t="str">
        <f>IFERROR(__xludf.DUMMYFUNCTION("""COMPUTED_VALUE"""),"- 0,6 %")</f>
        <v>- 0,6 %</v>
      </c>
      <c r="D85" s="1" t="str">
        <f>IFERROR(__xludf.DUMMYFUNCTION("""COMPUTED_VALUE"""),"- 1,2 %")</f>
        <v>- 1,2 %</v>
      </c>
      <c r="E85" s="1" t="str">
        <f>IFERROR(__xludf.DUMMYFUNCTION("""COMPUTED_VALUE"""),"+ 1,6 %")</f>
        <v>+ 1,6 %</v>
      </c>
    </row>
    <row r="86">
      <c r="A86" s="2">
        <f>IFERROR(__xludf.DUMMYFUNCTION("""COMPUTED_VALUE"""),43617.0)</f>
        <v>43617</v>
      </c>
      <c r="B86" s="1" t="str">
        <f>IFERROR(__xludf.DUMMYFUNCTION("""COMPUTED_VALUE"""),"4.621 €/m2")</f>
        <v>4.621 €/m2</v>
      </c>
      <c r="C86" s="1" t="str">
        <f>IFERROR(__xludf.DUMMYFUNCTION("""COMPUTED_VALUE"""),"- 0,2 %")</f>
        <v>- 0,2 %</v>
      </c>
      <c r="D86" s="1" t="str">
        <f>IFERROR(__xludf.DUMMYFUNCTION("""COMPUTED_VALUE"""),"- 1,0 %")</f>
        <v>- 1,0 %</v>
      </c>
      <c r="E86" s="1" t="str">
        <f>IFERROR(__xludf.DUMMYFUNCTION("""COMPUTED_VALUE"""),"+ 1,6 %")</f>
        <v>+ 1,6 %</v>
      </c>
    </row>
    <row r="87">
      <c r="A87" s="2">
        <f>IFERROR(__xludf.DUMMYFUNCTION("""COMPUTED_VALUE"""),43586.0)</f>
        <v>43586</v>
      </c>
      <c r="B87" s="1" t="str">
        <f>IFERROR(__xludf.DUMMYFUNCTION("""COMPUTED_VALUE"""),"4.629 €/m2")</f>
        <v>4.629 €/m2</v>
      </c>
      <c r="C87" s="1" t="str">
        <f>IFERROR(__xludf.DUMMYFUNCTION("""COMPUTED_VALUE"""),"- 0,4 %")</f>
        <v>- 0,4 %</v>
      </c>
      <c r="D87" s="1" t="str">
        <f>IFERROR(__xludf.DUMMYFUNCTION("""COMPUTED_VALUE"""),"- 0,6 %")</f>
        <v>- 0,6 %</v>
      </c>
      <c r="E87" s="1" t="str">
        <f>IFERROR(__xludf.DUMMYFUNCTION("""COMPUTED_VALUE"""),"+ 2,1 %")</f>
        <v>+ 2,1 %</v>
      </c>
    </row>
    <row r="88">
      <c r="A88" s="2">
        <f>IFERROR(__xludf.DUMMYFUNCTION("""COMPUTED_VALUE"""),43556.0)</f>
        <v>43556</v>
      </c>
      <c r="B88" s="1" t="str">
        <f>IFERROR(__xludf.DUMMYFUNCTION("""COMPUTED_VALUE"""),"4.649 €/m2")</f>
        <v>4.649 €/m2</v>
      </c>
      <c r="C88" s="1" t="str">
        <f>IFERROR(__xludf.DUMMYFUNCTION("""COMPUTED_VALUE"""),"- 0,4 %")</f>
        <v>- 0,4 %</v>
      </c>
      <c r="D88" s="1" t="str">
        <f>IFERROR(__xludf.DUMMYFUNCTION("""COMPUTED_VALUE"""),"+ 1,1 %")</f>
        <v>+ 1,1 %</v>
      </c>
      <c r="E88" s="1" t="str">
        <f>IFERROR(__xludf.DUMMYFUNCTION("""COMPUTED_VALUE"""),"+ 6,0 %")</f>
        <v>+ 6,0 %</v>
      </c>
    </row>
    <row r="89">
      <c r="A89" s="2">
        <f>IFERROR(__xludf.DUMMYFUNCTION("""COMPUTED_VALUE"""),43525.0)</f>
        <v>43525</v>
      </c>
      <c r="B89" s="1" t="str">
        <f>IFERROR(__xludf.DUMMYFUNCTION("""COMPUTED_VALUE"""),"4.669 €/m2")</f>
        <v>4.669 €/m2</v>
      </c>
      <c r="C89" s="1" t="str">
        <f>IFERROR(__xludf.DUMMYFUNCTION("""COMPUTED_VALUE"""),"+ 0,2 %")</f>
        <v>+ 0,2 %</v>
      </c>
      <c r="D89" s="1" t="str">
        <f>IFERROR(__xludf.DUMMYFUNCTION("""COMPUTED_VALUE"""),"+ 2,8 %")</f>
        <v>+ 2,8 %</v>
      </c>
      <c r="E89" s="1" t="str">
        <f>IFERROR(__xludf.DUMMYFUNCTION("""COMPUTED_VALUE"""),"+ 10,3 %")</f>
        <v>+ 10,3 %</v>
      </c>
    </row>
    <row r="90">
      <c r="A90" s="2">
        <f>IFERROR(__xludf.DUMMYFUNCTION("""COMPUTED_VALUE"""),43497.0)</f>
        <v>43497</v>
      </c>
      <c r="B90" s="1" t="str">
        <f>IFERROR(__xludf.DUMMYFUNCTION("""COMPUTED_VALUE"""),"4.657 €/m2")</f>
        <v>4.657 €/m2</v>
      </c>
      <c r="C90" s="1" t="str">
        <f>IFERROR(__xludf.DUMMYFUNCTION("""COMPUTED_VALUE"""),"+ 1,3 %")</f>
        <v>+ 1,3 %</v>
      </c>
      <c r="D90" s="1" t="str">
        <f>IFERROR(__xludf.DUMMYFUNCTION("""COMPUTED_VALUE"""),"+ 3,3 %")</f>
        <v>+ 3,3 %</v>
      </c>
      <c r="E90" s="1" t="str">
        <f>IFERROR(__xludf.DUMMYFUNCTION("""COMPUTED_VALUE"""),"+ 11,8 %")</f>
        <v>+ 11,8 %</v>
      </c>
    </row>
    <row r="91">
      <c r="A91" s="2">
        <f>IFERROR(__xludf.DUMMYFUNCTION("""COMPUTED_VALUE"""),43466.0)</f>
        <v>43466</v>
      </c>
      <c r="B91" s="1" t="str">
        <f>IFERROR(__xludf.DUMMYFUNCTION("""COMPUTED_VALUE"""),"4.597 €/m2")</f>
        <v>4.597 €/m2</v>
      </c>
      <c r="C91" s="1" t="str">
        <f>IFERROR(__xludf.DUMMYFUNCTION("""COMPUTED_VALUE"""),"+ 1,2 %")</f>
        <v>+ 1,2 %</v>
      </c>
      <c r="D91" s="1" t="str">
        <f>IFERROR(__xludf.DUMMYFUNCTION("""COMPUTED_VALUE"""),"+ 2,8 %")</f>
        <v>+ 2,8 %</v>
      </c>
      <c r="E91" s="1" t="str">
        <f>IFERROR(__xludf.DUMMYFUNCTION("""COMPUTED_VALUE"""),"+ 12,6 %")</f>
        <v>+ 12,6 %</v>
      </c>
    </row>
    <row r="92">
      <c r="A92" s="2">
        <f>IFERROR(__xludf.DUMMYFUNCTION("""COMPUTED_VALUE"""),43435.0)</f>
        <v>43435</v>
      </c>
      <c r="B92" s="1" t="str">
        <f>IFERROR(__xludf.DUMMYFUNCTION("""COMPUTED_VALUE"""),"4.544 €/m2")</f>
        <v>4.544 €/m2</v>
      </c>
      <c r="C92" s="1" t="str">
        <f>IFERROR(__xludf.DUMMYFUNCTION("""COMPUTED_VALUE"""),"+ 0,8 %")</f>
        <v>+ 0,8 %</v>
      </c>
      <c r="D92" s="1" t="str">
        <f>IFERROR(__xludf.DUMMYFUNCTION("""COMPUTED_VALUE"""),"+ 1,9 %")</f>
        <v>+ 1,9 %</v>
      </c>
      <c r="E92" s="1" t="str">
        <f>IFERROR(__xludf.DUMMYFUNCTION("""COMPUTED_VALUE"""),"+ 12,8 %")</f>
        <v>+ 12,8 %</v>
      </c>
    </row>
    <row r="93">
      <c r="A93" s="2">
        <f>IFERROR(__xludf.DUMMYFUNCTION("""COMPUTED_VALUE"""),43405.0)</f>
        <v>43405</v>
      </c>
      <c r="B93" s="1" t="str">
        <f>IFERROR(__xludf.DUMMYFUNCTION("""COMPUTED_VALUE"""),"4.508 €/m2")</f>
        <v>4.508 €/m2</v>
      </c>
      <c r="C93" s="1" t="str">
        <f>IFERROR(__xludf.DUMMYFUNCTION("""COMPUTED_VALUE"""),"+ 0,8 %")</f>
        <v>+ 0,8 %</v>
      </c>
      <c r="D93" s="1" t="str">
        <f>IFERROR(__xludf.DUMMYFUNCTION("""COMPUTED_VALUE"""),"+ 0,9 %")</f>
        <v>+ 0,9 %</v>
      </c>
      <c r="E93" s="1" t="str">
        <f>IFERROR(__xludf.DUMMYFUNCTION("""COMPUTED_VALUE"""),"+ 14,7 %")</f>
        <v>+ 14,7 %</v>
      </c>
    </row>
    <row r="94">
      <c r="A94" s="2">
        <f>IFERROR(__xludf.DUMMYFUNCTION("""COMPUTED_VALUE"""),43374.0)</f>
        <v>43374</v>
      </c>
      <c r="B94" s="1" t="str">
        <f>IFERROR(__xludf.DUMMYFUNCTION("""COMPUTED_VALUE"""),"4.474 €/m2")</f>
        <v>4.474 €/m2</v>
      </c>
      <c r="C94" s="1" t="str">
        <f>IFERROR(__xludf.DUMMYFUNCTION("""COMPUTED_VALUE"""),"+ 0,4 %")</f>
        <v>+ 0,4 %</v>
      </c>
      <c r="D94" s="1" t="str">
        <f>IFERROR(__xludf.DUMMYFUNCTION("""COMPUTED_VALUE"""),"- 1,1 %")</f>
        <v>- 1,1 %</v>
      </c>
      <c r="E94" s="1" t="str">
        <f>IFERROR(__xludf.DUMMYFUNCTION("""COMPUTED_VALUE"""),"+ 15,6 %")</f>
        <v>+ 15,6 %</v>
      </c>
    </row>
    <row r="95">
      <c r="A95" s="2">
        <f>IFERROR(__xludf.DUMMYFUNCTION("""COMPUTED_VALUE"""),43344.0)</f>
        <v>43344</v>
      </c>
      <c r="B95" s="1" t="str">
        <f>IFERROR(__xludf.DUMMYFUNCTION("""COMPUTED_VALUE"""),"4.457 €/m2")</f>
        <v>4.457 €/m2</v>
      </c>
      <c r="C95" s="1" t="str">
        <f>IFERROR(__xludf.DUMMYFUNCTION("""COMPUTED_VALUE"""),"- 0,2 %")</f>
        <v>- 0,2 %</v>
      </c>
      <c r="D95" s="1" t="str">
        <f>IFERROR(__xludf.DUMMYFUNCTION("""COMPUTED_VALUE"""),"- 2,0 %")</f>
        <v>- 2,0 %</v>
      </c>
      <c r="E95" s="1" t="str">
        <f>IFERROR(__xludf.DUMMYFUNCTION("""COMPUTED_VALUE"""),"+ 17,1 %")</f>
        <v>+ 17,1 %</v>
      </c>
    </row>
    <row r="96">
      <c r="A96" s="2">
        <f>IFERROR(__xludf.DUMMYFUNCTION("""COMPUTED_VALUE"""),43313.0)</f>
        <v>43313</v>
      </c>
      <c r="B96" s="1" t="str">
        <f>IFERROR(__xludf.DUMMYFUNCTION("""COMPUTED_VALUE"""),"4.467 €/m2")</f>
        <v>4.467 €/m2</v>
      </c>
      <c r="C96" s="1" t="str">
        <f>IFERROR(__xludf.DUMMYFUNCTION("""COMPUTED_VALUE"""),"- 1,2 %")</f>
        <v>- 1,2 %</v>
      </c>
      <c r="D96" s="1" t="str">
        <f>IFERROR(__xludf.DUMMYFUNCTION("""COMPUTED_VALUE"""),"- 1,5 %")</f>
        <v>- 1,5 %</v>
      </c>
      <c r="E96" s="1" t="str">
        <f>IFERROR(__xludf.DUMMYFUNCTION("""COMPUTED_VALUE"""),"+ 19,0 %")</f>
        <v>+ 19,0 %</v>
      </c>
    </row>
    <row r="97">
      <c r="A97" s="2">
        <f>IFERROR(__xludf.DUMMYFUNCTION("""COMPUTED_VALUE"""),43282.0)</f>
        <v>43282</v>
      </c>
      <c r="B97" s="1" t="str">
        <f>IFERROR(__xludf.DUMMYFUNCTION("""COMPUTED_VALUE"""),"4.522 €/m2")</f>
        <v>4.522 €/m2</v>
      </c>
      <c r="C97" s="1" t="str">
        <f>IFERROR(__xludf.DUMMYFUNCTION("""COMPUTED_VALUE"""),"- 0,6 %")</f>
        <v>- 0,6 %</v>
      </c>
      <c r="D97" s="1" t="str">
        <f>IFERROR(__xludf.DUMMYFUNCTION("""COMPUTED_VALUE"""),"+ 3,1 %")</f>
        <v>+ 3,1 %</v>
      </c>
      <c r="E97" s="1" t="str">
        <f>IFERROR(__xludf.DUMMYFUNCTION("""COMPUTED_VALUE"""),"+ 22,5 %")</f>
        <v>+ 22,5 %</v>
      </c>
    </row>
    <row r="98">
      <c r="A98" s="2">
        <f>IFERROR(__xludf.DUMMYFUNCTION("""COMPUTED_VALUE"""),43252.0)</f>
        <v>43252</v>
      </c>
      <c r="B98" s="1" t="str">
        <f>IFERROR(__xludf.DUMMYFUNCTION("""COMPUTED_VALUE"""),"4.549 €/m2")</f>
        <v>4.549 €/m2</v>
      </c>
      <c r="C98" s="1" t="str">
        <f>IFERROR(__xludf.DUMMYFUNCTION("""COMPUTED_VALUE"""),"+ 0,3 %")</f>
        <v>+ 0,3 %</v>
      </c>
      <c r="D98" s="1" t="str">
        <f>IFERROR(__xludf.DUMMYFUNCTION("""COMPUTED_VALUE"""),"+ 7,5 %")</f>
        <v>+ 7,5 %</v>
      </c>
      <c r="E98" s="1" t="str">
        <f>IFERROR(__xludf.DUMMYFUNCTION("""COMPUTED_VALUE"""),"+ 24,5 %")</f>
        <v>+ 24,5 %</v>
      </c>
    </row>
    <row r="99">
      <c r="A99" s="2">
        <f>IFERROR(__xludf.DUMMYFUNCTION("""COMPUTED_VALUE"""),43221.0)</f>
        <v>43221</v>
      </c>
      <c r="B99" s="1" t="str">
        <f>IFERROR(__xludf.DUMMYFUNCTION("""COMPUTED_VALUE"""),"4.534 €/m2")</f>
        <v>4.534 €/m2</v>
      </c>
      <c r="C99" s="1" t="str">
        <f>IFERROR(__xludf.DUMMYFUNCTION("""COMPUTED_VALUE"""),"+ 3,4 %")</f>
        <v>+ 3,4 %</v>
      </c>
      <c r="D99" s="1" t="str">
        <f>IFERROR(__xludf.DUMMYFUNCTION("""COMPUTED_VALUE"""),"+ 8,8 %")</f>
        <v>+ 8,8 %</v>
      </c>
      <c r="E99" s="1" t="str">
        <f>IFERROR(__xludf.DUMMYFUNCTION("""COMPUTED_VALUE"""),"+ 27,4 %")</f>
        <v>+ 27,4 %</v>
      </c>
    </row>
    <row r="100">
      <c r="A100" s="2">
        <f>IFERROR(__xludf.DUMMYFUNCTION("""COMPUTED_VALUE"""),43191.0)</f>
        <v>43191</v>
      </c>
      <c r="B100" s="1" t="str">
        <f>IFERROR(__xludf.DUMMYFUNCTION("""COMPUTED_VALUE"""),"4.386 €/m2")</f>
        <v>4.386 €/m2</v>
      </c>
      <c r="C100" s="1" t="str">
        <f>IFERROR(__xludf.DUMMYFUNCTION("""COMPUTED_VALUE"""),"+ 3,6 %")</f>
        <v>+ 3,6 %</v>
      </c>
      <c r="D100" s="1" t="str">
        <f>IFERROR(__xludf.DUMMYFUNCTION("""COMPUTED_VALUE"""),"+ 7,4 %")</f>
        <v>+ 7,4 %</v>
      </c>
      <c r="E100" s="1" t="str">
        <f>IFERROR(__xludf.DUMMYFUNCTION("""COMPUTED_VALUE"""),"+ 25,2 %")</f>
        <v>+ 25,2 %</v>
      </c>
    </row>
    <row r="101">
      <c r="A101" s="2">
        <f>IFERROR(__xludf.DUMMYFUNCTION("""COMPUTED_VALUE"""),43160.0)</f>
        <v>43160</v>
      </c>
      <c r="B101" s="1" t="str">
        <f>IFERROR(__xludf.DUMMYFUNCTION("""COMPUTED_VALUE"""),"4.233 €/m2")</f>
        <v>4.233 €/m2</v>
      </c>
      <c r="C101" s="1" t="str">
        <f>IFERROR(__xludf.DUMMYFUNCTION("""COMPUTED_VALUE"""),"+ 1,6 %")</f>
        <v>+ 1,6 %</v>
      </c>
      <c r="D101" s="1" t="str">
        <f>IFERROR(__xludf.DUMMYFUNCTION("""COMPUTED_VALUE"""),"+ 5,0 %")</f>
        <v>+ 5,0 %</v>
      </c>
      <c r="E101" s="1" t="str">
        <f>IFERROR(__xludf.DUMMYFUNCTION("""COMPUTED_VALUE"""),"+ 21,6 %")</f>
        <v>+ 21,6 %</v>
      </c>
    </row>
    <row r="102">
      <c r="A102" s="2">
        <f>IFERROR(__xludf.DUMMYFUNCTION("""COMPUTED_VALUE"""),43132.0)</f>
        <v>43132</v>
      </c>
      <c r="B102" s="1" t="str">
        <f>IFERROR(__xludf.DUMMYFUNCTION("""COMPUTED_VALUE"""),"4.167 €/m2")</f>
        <v>4.167 €/m2</v>
      </c>
      <c r="C102" s="1" t="str">
        <f>IFERROR(__xludf.DUMMYFUNCTION("""COMPUTED_VALUE"""),"+ 2,0 %")</f>
        <v>+ 2,0 %</v>
      </c>
      <c r="D102" s="1" t="str">
        <f>IFERROR(__xludf.DUMMYFUNCTION("""COMPUTED_VALUE"""),"+ 6,0 %")</f>
        <v>+ 6,0 %</v>
      </c>
      <c r="E102" s="1" t="str">
        <f>IFERROR(__xludf.DUMMYFUNCTION("""COMPUTED_VALUE"""),"+ 20,8 %")</f>
        <v>+ 20,8 %</v>
      </c>
    </row>
    <row r="103">
      <c r="A103" s="2">
        <f>IFERROR(__xludf.DUMMYFUNCTION("""COMPUTED_VALUE"""),43101.0)</f>
        <v>43101</v>
      </c>
      <c r="B103" s="1" t="str">
        <f>IFERROR(__xludf.DUMMYFUNCTION("""COMPUTED_VALUE"""),"4.083 €/m2")</f>
        <v>4.083 €/m2</v>
      </c>
      <c r="C103" s="1" t="str">
        <f>IFERROR(__xludf.DUMMYFUNCTION("""COMPUTED_VALUE"""),"+ 1,3 %")</f>
        <v>+ 1,3 %</v>
      </c>
      <c r="D103" s="1" t="str">
        <f>IFERROR(__xludf.DUMMYFUNCTION("""COMPUTED_VALUE"""),"+ 5,5 %")</f>
        <v>+ 5,5 %</v>
      </c>
      <c r="E103" s="1" t="str">
        <f>IFERROR(__xludf.DUMMYFUNCTION("""COMPUTED_VALUE"""),"+ 18,7 %")</f>
        <v>+ 18,7 %</v>
      </c>
    </row>
    <row r="104">
      <c r="A104" s="2">
        <f>IFERROR(__xludf.DUMMYFUNCTION("""COMPUTED_VALUE"""),43070.0)</f>
        <v>43070</v>
      </c>
      <c r="B104" s="1" t="str">
        <f>IFERROR(__xludf.DUMMYFUNCTION("""COMPUTED_VALUE"""),"4.030 €/m2")</f>
        <v>4.030 €/m2</v>
      </c>
      <c r="C104" s="1" t="str">
        <f>IFERROR(__xludf.DUMMYFUNCTION("""COMPUTED_VALUE"""),"+ 2,5 %")</f>
        <v>+ 2,5 %</v>
      </c>
      <c r="D104" s="1" t="str">
        <f>IFERROR(__xludf.DUMMYFUNCTION("""COMPUTED_VALUE"""),"+ 5,9 %")</f>
        <v>+ 5,9 %</v>
      </c>
      <c r="E104" s="1" t="str">
        <f>IFERROR(__xludf.DUMMYFUNCTION("""COMPUTED_VALUE"""),"+ 17,3 %")</f>
        <v>+ 17,3 %</v>
      </c>
    </row>
    <row r="105">
      <c r="A105" s="2">
        <f>IFERROR(__xludf.DUMMYFUNCTION("""COMPUTED_VALUE"""),43040.0)</f>
        <v>43040</v>
      </c>
      <c r="B105" s="1" t="str">
        <f>IFERROR(__xludf.DUMMYFUNCTION("""COMPUTED_VALUE"""),"3.931 €/m2")</f>
        <v>3.931 €/m2</v>
      </c>
      <c r="C105" s="1" t="str">
        <f>IFERROR(__xludf.DUMMYFUNCTION("""COMPUTED_VALUE"""),"+ 1,6 %")</f>
        <v>+ 1,6 %</v>
      </c>
      <c r="D105" s="1" t="str">
        <f>IFERROR(__xludf.DUMMYFUNCTION("""COMPUTED_VALUE"""),"+ 4,7 %")</f>
        <v>+ 4,7 %</v>
      </c>
      <c r="E105" s="1" t="str">
        <f>IFERROR(__xludf.DUMMYFUNCTION("""COMPUTED_VALUE"""),"+ 16,6 %")</f>
        <v>+ 16,6 %</v>
      </c>
    </row>
    <row r="106">
      <c r="A106" s="2">
        <f>IFERROR(__xludf.DUMMYFUNCTION("""COMPUTED_VALUE"""),43009.0)</f>
        <v>43009</v>
      </c>
      <c r="B106" s="1" t="str">
        <f>IFERROR(__xludf.DUMMYFUNCTION("""COMPUTED_VALUE"""),"3.870 €/m2")</f>
        <v>3.870 €/m2</v>
      </c>
      <c r="C106" s="1" t="str">
        <f>IFERROR(__xludf.DUMMYFUNCTION("""COMPUTED_VALUE"""),"+ 1,7 %")</f>
        <v>+ 1,7 %</v>
      </c>
      <c r="D106" s="1" t="str">
        <f>IFERROR(__xludf.DUMMYFUNCTION("""COMPUTED_VALUE"""),"+ 4,8 %")</f>
        <v>+ 4,8 %</v>
      </c>
      <c r="E106" s="1" t="str">
        <f>IFERROR(__xludf.DUMMYFUNCTION("""COMPUTED_VALUE"""),"+ 14,5 %")</f>
        <v>+ 14,5 %</v>
      </c>
    </row>
    <row r="107">
      <c r="A107" s="2">
        <f>IFERROR(__xludf.DUMMYFUNCTION("""COMPUTED_VALUE"""),42979.0)</f>
        <v>42979</v>
      </c>
      <c r="B107" s="1" t="str">
        <f>IFERROR(__xludf.DUMMYFUNCTION("""COMPUTED_VALUE"""),"3.806 €/m2")</f>
        <v>3.806 €/m2</v>
      </c>
      <c r="C107" s="1" t="str">
        <f>IFERROR(__xludf.DUMMYFUNCTION("""COMPUTED_VALUE"""),"+ 1,4 %")</f>
        <v>+ 1,4 %</v>
      </c>
      <c r="D107" s="1" t="str">
        <f>IFERROR(__xludf.DUMMYFUNCTION("""COMPUTED_VALUE"""),"+ 4,2 %")</f>
        <v>+ 4,2 %</v>
      </c>
      <c r="E107" s="1" t="str">
        <f>IFERROR(__xludf.DUMMYFUNCTION("""COMPUTED_VALUE"""),"+ 12,2 %")</f>
        <v>+ 12,2 %</v>
      </c>
    </row>
    <row r="108">
      <c r="A108" s="2">
        <f>IFERROR(__xludf.DUMMYFUNCTION("""COMPUTED_VALUE"""),42948.0)</f>
        <v>42948</v>
      </c>
      <c r="B108" s="1" t="str">
        <f>IFERROR(__xludf.DUMMYFUNCTION("""COMPUTED_VALUE"""),"3.755 €/m2")</f>
        <v>3.755 €/m2</v>
      </c>
      <c r="C108" s="1" t="str">
        <f>IFERROR(__xludf.DUMMYFUNCTION("""COMPUTED_VALUE"""),"+ 1,7 %")</f>
        <v>+ 1,7 %</v>
      </c>
      <c r="D108" s="1" t="str">
        <f>IFERROR(__xludf.DUMMYFUNCTION("""COMPUTED_VALUE"""),"+ 5,5 %")</f>
        <v>+ 5,5 %</v>
      </c>
      <c r="E108" s="1" t="str">
        <f>IFERROR(__xludf.DUMMYFUNCTION("""COMPUTED_VALUE"""),"+ 11,2 %")</f>
        <v>+ 11,2 %</v>
      </c>
    </row>
    <row r="109">
      <c r="A109" s="2">
        <f>IFERROR(__xludf.DUMMYFUNCTION("""COMPUTED_VALUE"""),42917.0)</f>
        <v>42917</v>
      </c>
      <c r="B109" s="1" t="str">
        <f>IFERROR(__xludf.DUMMYFUNCTION("""COMPUTED_VALUE"""),"3.692 €/m2")</f>
        <v>3.692 €/m2</v>
      </c>
      <c r="C109" s="1" t="str">
        <f>IFERROR(__xludf.DUMMYFUNCTION("""COMPUTED_VALUE"""),"+ 1,1 %")</f>
        <v>+ 1,1 %</v>
      </c>
      <c r="D109" s="1" t="str">
        <f>IFERROR(__xludf.DUMMYFUNCTION("""COMPUTED_VALUE"""),"+ 5,4 %")</f>
        <v>+ 5,4 %</v>
      </c>
      <c r="E109" s="1" t="str">
        <f>IFERROR(__xludf.DUMMYFUNCTION("""COMPUTED_VALUE"""),"+ 9,3 %")</f>
        <v>+ 9,3 %</v>
      </c>
    </row>
    <row r="110">
      <c r="A110" s="2">
        <f>IFERROR(__xludf.DUMMYFUNCTION("""COMPUTED_VALUE"""),42887.0)</f>
        <v>42887</v>
      </c>
      <c r="B110" s="1" t="str">
        <f>IFERROR(__xludf.DUMMYFUNCTION("""COMPUTED_VALUE"""),"3.653 €/m2")</f>
        <v>3.653 €/m2</v>
      </c>
      <c r="C110" s="1" t="str">
        <f>IFERROR(__xludf.DUMMYFUNCTION("""COMPUTED_VALUE"""),"+ 2,6 %")</f>
        <v>+ 2,6 %</v>
      </c>
      <c r="D110" s="1" t="str">
        <f>IFERROR(__xludf.DUMMYFUNCTION("""COMPUTED_VALUE"""),"+ 4,9 %")</f>
        <v>+ 4,9 %</v>
      </c>
      <c r="E110" s="1" t="str">
        <f>IFERROR(__xludf.DUMMYFUNCTION("""COMPUTED_VALUE"""),"+ 8,3 %")</f>
        <v>+ 8,3 %</v>
      </c>
    </row>
    <row r="111">
      <c r="A111" s="2">
        <f>IFERROR(__xludf.DUMMYFUNCTION("""COMPUTED_VALUE"""),42856.0)</f>
        <v>42856</v>
      </c>
      <c r="B111" s="1" t="str">
        <f>IFERROR(__xludf.DUMMYFUNCTION("""COMPUTED_VALUE"""),"3.559 €/m2")</f>
        <v>3.559 €/m2</v>
      </c>
      <c r="C111" s="1" t="str">
        <f>IFERROR(__xludf.DUMMYFUNCTION("""COMPUTED_VALUE"""),"+ 1,6 %")</f>
        <v>+ 1,6 %</v>
      </c>
      <c r="D111" s="1" t="str">
        <f>IFERROR(__xludf.DUMMYFUNCTION("""COMPUTED_VALUE"""),"+ 3,2 %")</f>
        <v>+ 3,2 %</v>
      </c>
      <c r="E111" s="1" t="str">
        <f>IFERROR(__xludf.DUMMYFUNCTION("""COMPUTED_VALUE"""),"+ 6,4 %")</f>
        <v>+ 6,4 %</v>
      </c>
    </row>
    <row r="112">
      <c r="A112" s="2">
        <f>IFERROR(__xludf.DUMMYFUNCTION("""COMPUTED_VALUE"""),42826.0)</f>
        <v>42826</v>
      </c>
      <c r="B112" s="1" t="str">
        <f>IFERROR(__xludf.DUMMYFUNCTION("""COMPUTED_VALUE"""),"3.502 €/m2")</f>
        <v>3.502 €/m2</v>
      </c>
      <c r="C112" s="1" t="str">
        <f>IFERROR(__xludf.DUMMYFUNCTION("""COMPUTED_VALUE"""),"+ 0,6 %")</f>
        <v>+ 0,6 %</v>
      </c>
      <c r="D112" s="1" t="str">
        <f>IFERROR(__xludf.DUMMYFUNCTION("""COMPUTED_VALUE"""),"+ 1,8 %")</f>
        <v>+ 1,8 %</v>
      </c>
      <c r="E112" s="1" t="str">
        <f>IFERROR(__xludf.DUMMYFUNCTION("""COMPUTED_VALUE"""),"+ 5,1 %")</f>
        <v>+ 5,1 %</v>
      </c>
    </row>
    <row r="113">
      <c r="A113" s="2">
        <f>IFERROR(__xludf.DUMMYFUNCTION("""COMPUTED_VALUE"""),42795.0)</f>
        <v>42795</v>
      </c>
      <c r="B113" s="1" t="str">
        <f>IFERROR(__xludf.DUMMYFUNCTION("""COMPUTED_VALUE"""),"3.482 €/m2")</f>
        <v>3.482 €/m2</v>
      </c>
      <c r="C113" s="1" t="str">
        <f>IFERROR(__xludf.DUMMYFUNCTION("""COMPUTED_VALUE"""),"+ 0,9 %")</f>
        <v>+ 0,9 %</v>
      </c>
      <c r="D113" s="1" t="str">
        <f>IFERROR(__xludf.DUMMYFUNCTION("""COMPUTED_VALUE"""),"+ 1,3 %")</f>
        <v>+ 1,3 %</v>
      </c>
      <c r="E113" s="1" t="str">
        <f>IFERROR(__xludf.DUMMYFUNCTION("""COMPUTED_VALUE"""),"+ 4,4 %")</f>
        <v>+ 4,4 %</v>
      </c>
    </row>
    <row r="114">
      <c r="A114" s="2">
        <f>IFERROR(__xludf.DUMMYFUNCTION("""COMPUTED_VALUE"""),42767.0)</f>
        <v>42767</v>
      </c>
      <c r="B114" s="1" t="str">
        <f>IFERROR(__xludf.DUMMYFUNCTION("""COMPUTED_VALUE"""),"3.449 €/m2")</f>
        <v>3.449 €/m2</v>
      </c>
      <c r="C114" s="1" t="str">
        <f>IFERROR(__xludf.DUMMYFUNCTION("""COMPUTED_VALUE"""),"+ 0,2 %")</f>
        <v>+ 0,2 %</v>
      </c>
      <c r="D114" s="1" t="str">
        <f>IFERROR(__xludf.DUMMYFUNCTION("""COMPUTED_VALUE"""),"+ 2,3 %")</f>
        <v>+ 2,3 %</v>
      </c>
      <c r="E114" s="1" t="str">
        <f>IFERROR(__xludf.DUMMYFUNCTION("""COMPUTED_VALUE"""),"+ 3,5 %")</f>
        <v>+ 3,5 %</v>
      </c>
    </row>
    <row r="115">
      <c r="A115" s="2">
        <f>IFERROR(__xludf.DUMMYFUNCTION("""COMPUTED_VALUE"""),42736.0)</f>
        <v>42736</v>
      </c>
      <c r="B115" s="1" t="str">
        <f>IFERROR(__xludf.DUMMYFUNCTION("""COMPUTED_VALUE"""),"3.441 €/m2")</f>
        <v>3.441 €/m2</v>
      </c>
      <c r="C115" s="1" t="str">
        <f>IFERROR(__xludf.DUMMYFUNCTION("""COMPUTED_VALUE"""),"+ 0,1 %")</f>
        <v>+ 0,1 %</v>
      </c>
      <c r="D115" s="1" t="str">
        <f>IFERROR(__xludf.DUMMYFUNCTION("""COMPUTED_VALUE"""),"+ 1,8 %")</f>
        <v>+ 1,8 %</v>
      </c>
      <c r="E115" s="1" t="str">
        <f>IFERROR(__xludf.DUMMYFUNCTION("""COMPUTED_VALUE"""),"+ 3,6 %")</f>
        <v>+ 3,6 %</v>
      </c>
    </row>
    <row r="116">
      <c r="A116" s="2">
        <f>IFERROR(__xludf.DUMMYFUNCTION("""COMPUTED_VALUE"""),42705.0)</f>
        <v>42705</v>
      </c>
      <c r="B116" s="1" t="str">
        <f>IFERROR(__xludf.DUMMYFUNCTION("""COMPUTED_VALUE"""),"3.437 €/m2")</f>
        <v>3.437 €/m2</v>
      </c>
      <c r="C116" s="1" t="str">
        <f>IFERROR(__xludf.DUMMYFUNCTION("""COMPUTED_VALUE"""),"+ 1,9 %")</f>
        <v>+ 1,9 %</v>
      </c>
      <c r="D116" s="1" t="str">
        <f>IFERROR(__xludf.DUMMYFUNCTION("""COMPUTED_VALUE"""),"+ 1,3 %")</f>
        <v>+ 1,3 %</v>
      </c>
      <c r="E116" s="1" t="str">
        <f>IFERROR(__xludf.DUMMYFUNCTION("""COMPUTED_VALUE"""),"+ 3,5 %")</f>
        <v>+ 3,5 %</v>
      </c>
    </row>
    <row r="117">
      <c r="A117" s="2">
        <f>IFERROR(__xludf.DUMMYFUNCTION("""COMPUTED_VALUE"""),42675.0)</f>
        <v>42675</v>
      </c>
      <c r="B117" s="1" t="str">
        <f>IFERROR(__xludf.DUMMYFUNCTION("""COMPUTED_VALUE"""),"3.371 €/m2")</f>
        <v>3.371 €/m2</v>
      </c>
      <c r="C117" s="1" t="str">
        <f>IFERROR(__xludf.DUMMYFUNCTION("""COMPUTED_VALUE"""),"- 0,3 %")</f>
        <v>- 0,3 %</v>
      </c>
      <c r="D117" s="1" t="str">
        <f>IFERROR(__xludf.DUMMYFUNCTION("""COMPUTED_VALUE"""),"- 0,2 %")</f>
        <v>- 0,2 %</v>
      </c>
      <c r="E117" s="1" t="str">
        <f>IFERROR(__xludf.DUMMYFUNCTION("""COMPUTED_VALUE"""),"+ 1,4 %")</f>
        <v>+ 1,4 %</v>
      </c>
    </row>
    <row r="118">
      <c r="A118" s="2">
        <f>IFERROR(__xludf.DUMMYFUNCTION("""COMPUTED_VALUE"""),42644.0)</f>
        <v>42644</v>
      </c>
      <c r="B118" s="1" t="str">
        <f>IFERROR(__xludf.DUMMYFUNCTION("""COMPUTED_VALUE"""),"3.379 €/m2")</f>
        <v>3.379 €/m2</v>
      </c>
      <c r="C118" s="1" t="str">
        <f>IFERROR(__xludf.DUMMYFUNCTION("""COMPUTED_VALUE"""),"- 0,4 %")</f>
        <v>- 0,4 %</v>
      </c>
      <c r="D118" s="1" t="str">
        <f>IFERROR(__xludf.DUMMYFUNCTION("""COMPUTED_VALUE"""),"+ 0,1 %")</f>
        <v>+ 0,1 %</v>
      </c>
      <c r="E118" s="1" t="str">
        <f>IFERROR(__xludf.DUMMYFUNCTION("""COMPUTED_VALUE"""),"+ 2,2 %")</f>
        <v>+ 2,2 %</v>
      </c>
    </row>
    <row r="119">
      <c r="A119" s="2">
        <f>IFERROR(__xludf.DUMMYFUNCTION("""COMPUTED_VALUE"""),42614.0)</f>
        <v>42614</v>
      </c>
      <c r="B119" s="1" t="str">
        <f>IFERROR(__xludf.DUMMYFUNCTION("""COMPUTED_VALUE"""),"3.393 €/m2")</f>
        <v>3.393 €/m2</v>
      </c>
      <c r="C119" s="1" t="str">
        <f>IFERROR(__xludf.DUMMYFUNCTION("""COMPUTED_VALUE"""),"+ 0,4 %")</f>
        <v>+ 0,4 %</v>
      </c>
      <c r="D119" s="1" t="str">
        <f>IFERROR(__xludf.DUMMYFUNCTION("""COMPUTED_VALUE"""),"+ 0,6 %")</f>
        <v>+ 0,6 %</v>
      </c>
      <c r="E119" s="1" t="str">
        <f>IFERROR(__xludf.DUMMYFUNCTION("""COMPUTED_VALUE"""),"+ 2,6 %")</f>
        <v>+ 2,6 %</v>
      </c>
    </row>
    <row r="120">
      <c r="A120" s="2">
        <f>IFERROR(__xludf.DUMMYFUNCTION("""COMPUTED_VALUE"""),42583.0)</f>
        <v>42583</v>
      </c>
      <c r="B120" s="1" t="str">
        <f>IFERROR(__xludf.DUMMYFUNCTION("""COMPUTED_VALUE"""),"3.378 €/m2")</f>
        <v>3.378 €/m2</v>
      </c>
      <c r="C120" s="1" t="str">
        <f>IFERROR(__xludf.DUMMYFUNCTION("""COMPUTED_VALUE"""),"0,0 %")</f>
        <v>0,0 %</v>
      </c>
      <c r="D120" s="1" t="str">
        <f>IFERROR(__xludf.DUMMYFUNCTION("""COMPUTED_VALUE"""),"+ 1,0 %")</f>
        <v>+ 1,0 %</v>
      </c>
      <c r="E120" s="1" t="str">
        <f>IFERROR(__xludf.DUMMYFUNCTION("""COMPUTED_VALUE"""),"+ 1,7 %")</f>
        <v>+ 1,7 %</v>
      </c>
    </row>
    <row r="121">
      <c r="A121" s="2">
        <f>IFERROR(__xludf.DUMMYFUNCTION("""COMPUTED_VALUE"""),42552.0)</f>
        <v>42552</v>
      </c>
      <c r="B121" s="1" t="str">
        <f>IFERROR(__xludf.DUMMYFUNCTION("""COMPUTED_VALUE"""),"3.378 €/m2")</f>
        <v>3.378 €/m2</v>
      </c>
      <c r="C121" s="1" t="str">
        <f>IFERROR(__xludf.DUMMYFUNCTION("""COMPUTED_VALUE"""),"+ 0,1 %")</f>
        <v>+ 0,1 %</v>
      </c>
      <c r="D121" s="1" t="str">
        <f>IFERROR(__xludf.DUMMYFUNCTION("""COMPUTED_VALUE"""),"+ 1,3 %")</f>
        <v>+ 1,3 %</v>
      </c>
      <c r="E121" s="1" t="str">
        <f>IFERROR(__xludf.DUMMYFUNCTION("""COMPUTED_VALUE"""),"+ 1,5 %")</f>
        <v>+ 1,5 %</v>
      </c>
    </row>
    <row r="122">
      <c r="A122" s="2">
        <f>IFERROR(__xludf.DUMMYFUNCTION("""COMPUTED_VALUE"""),42522.0)</f>
        <v>42522</v>
      </c>
      <c r="B122" s="1" t="str">
        <f>IFERROR(__xludf.DUMMYFUNCTION("""COMPUTED_VALUE"""),"3.373 €/m2")</f>
        <v>3.373 €/m2</v>
      </c>
      <c r="C122" s="1" t="str">
        <f>IFERROR(__xludf.DUMMYFUNCTION("""COMPUTED_VALUE"""),"+ 0,9 %")</f>
        <v>+ 0,9 %</v>
      </c>
      <c r="D122" s="1" t="str">
        <f>IFERROR(__xludf.DUMMYFUNCTION("""COMPUTED_VALUE"""),"+ 1,2 %")</f>
        <v>+ 1,2 %</v>
      </c>
      <c r="E122" s="1" t="str">
        <f>IFERROR(__xludf.DUMMYFUNCTION("""COMPUTED_VALUE"""),"+ 1,9 %")</f>
        <v>+ 1,9 %</v>
      </c>
    </row>
    <row r="123">
      <c r="A123" s="2">
        <f>IFERROR(__xludf.DUMMYFUNCTION("""COMPUTED_VALUE"""),42491.0)</f>
        <v>42491</v>
      </c>
      <c r="B123" s="1" t="str">
        <f>IFERROR(__xludf.DUMMYFUNCTION("""COMPUTED_VALUE"""),"3.344 €/m2")</f>
        <v>3.344 €/m2</v>
      </c>
      <c r="C123" s="1" t="str">
        <f>IFERROR(__xludf.DUMMYFUNCTION("""COMPUTED_VALUE"""),"+ 0,3 %")</f>
        <v>+ 0,3 %</v>
      </c>
      <c r="D123" s="1" t="str">
        <f>IFERROR(__xludf.DUMMYFUNCTION("""COMPUTED_VALUE"""),"+ 0,4 %")</f>
        <v>+ 0,4 %</v>
      </c>
      <c r="E123" s="1" t="str">
        <f>IFERROR(__xludf.DUMMYFUNCTION("""COMPUTED_VALUE"""),"+ 1,2 %")</f>
        <v>+ 1,2 %</v>
      </c>
    </row>
    <row r="124">
      <c r="A124" s="2">
        <f>IFERROR(__xludf.DUMMYFUNCTION("""COMPUTED_VALUE"""),42461.0)</f>
        <v>42461</v>
      </c>
      <c r="B124" s="1" t="str">
        <f>IFERROR(__xludf.DUMMYFUNCTION("""COMPUTED_VALUE"""),"3.333 €/m2")</f>
        <v>3.333 €/m2</v>
      </c>
      <c r="C124" s="1" t="str">
        <f>IFERROR(__xludf.DUMMYFUNCTION("""COMPUTED_VALUE"""),"0,0 %")</f>
        <v>0,0 %</v>
      </c>
      <c r="D124" s="1" t="str">
        <f>IFERROR(__xludf.DUMMYFUNCTION("""COMPUTED_VALUE"""),"+ 0,3 %")</f>
        <v>+ 0,3 %</v>
      </c>
      <c r="E124" s="1" t="str">
        <f>IFERROR(__xludf.DUMMYFUNCTION("""COMPUTED_VALUE"""),"+ 0,8 %")</f>
        <v>+ 0,8 %</v>
      </c>
    </row>
    <row r="125">
      <c r="A125" s="2">
        <f>IFERROR(__xludf.DUMMYFUNCTION("""COMPUTED_VALUE"""),42430.0)</f>
        <v>42430</v>
      </c>
      <c r="B125" s="1" t="str">
        <f>IFERROR(__xludf.DUMMYFUNCTION("""COMPUTED_VALUE"""),"3.334 €/m2")</f>
        <v>3.334 €/m2</v>
      </c>
      <c r="C125" s="1" t="str">
        <f>IFERROR(__xludf.DUMMYFUNCTION("""COMPUTED_VALUE"""),"0,0 %")</f>
        <v>0,0 %</v>
      </c>
      <c r="D125" s="1" t="str">
        <f>IFERROR(__xludf.DUMMYFUNCTION("""COMPUTED_VALUE"""),"+ 0,4 %")</f>
        <v>+ 0,4 %</v>
      </c>
      <c r="E125" s="1" t="str">
        <f>IFERROR(__xludf.DUMMYFUNCTION("""COMPUTED_VALUE"""),"+ 4,2 %")</f>
        <v>+ 4,2 %</v>
      </c>
    </row>
    <row r="126">
      <c r="A126" s="2">
        <f>IFERROR(__xludf.DUMMYFUNCTION("""COMPUTED_VALUE"""),42401.0)</f>
        <v>42401</v>
      </c>
      <c r="B126" s="1" t="str">
        <f>IFERROR(__xludf.DUMMYFUNCTION("""COMPUTED_VALUE"""),"3.332 €/m2")</f>
        <v>3.332 €/m2</v>
      </c>
      <c r="C126" s="1" t="str">
        <f>IFERROR(__xludf.DUMMYFUNCTION("""COMPUTED_VALUE"""),"+ 0,3 %")</f>
        <v>+ 0,3 %</v>
      </c>
      <c r="D126" s="1" t="str">
        <f>IFERROR(__xludf.DUMMYFUNCTION("""COMPUTED_VALUE"""),"+ 0,3 %")</f>
        <v>+ 0,3 %</v>
      </c>
      <c r="E126" s="1" t="str">
        <f>IFERROR(__xludf.DUMMYFUNCTION("""COMPUTED_VALUE"""),"+ 6,5 %")</f>
        <v>+ 6,5 %</v>
      </c>
    </row>
    <row r="127">
      <c r="A127" s="2">
        <f>IFERROR(__xludf.DUMMYFUNCTION("""COMPUTED_VALUE"""),42370.0)</f>
        <v>42370</v>
      </c>
      <c r="B127" s="1" t="str">
        <f>IFERROR(__xludf.DUMMYFUNCTION("""COMPUTED_VALUE"""),"3.322 €/m2")</f>
        <v>3.322 €/m2</v>
      </c>
      <c r="C127" s="1" t="str">
        <f>IFERROR(__xludf.DUMMYFUNCTION("""COMPUTED_VALUE"""),"+ 0,1 %")</f>
        <v>+ 0,1 %</v>
      </c>
      <c r="D127" s="1" t="str">
        <f>IFERROR(__xludf.DUMMYFUNCTION("""COMPUTED_VALUE"""),"+ 0,4 %")</f>
        <v>+ 0,4 %</v>
      </c>
      <c r="E127" s="1" t="str">
        <f>IFERROR(__xludf.DUMMYFUNCTION("""COMPUTED_VALUE"""),"+ 6,3 %")</f>
        <v>+ 6,3 %</v>
      </c>
    </row>
    <row r="128">
      <c r="A128" s="2">
        <f>IFERROR(__xludf.DUMMYFUNCTION("""COMPUTED_VALUE"""),42339.0)</f>
        <v>42339</v>
      </c>
      <c r="B128" s="1" t="str">
        <f>IFERROR(__xludf.DUMMYFUNCTION("""COMPUTED_VALUE"""),"3.320 €/m2")</f>
        <v>3.320 €/m2</v>
      </c>
      <c r="C128" s="1" t="str">
        <f>IFERROR(__xludf.DUMMYFUNCTION("""COMPUTED_VALUE"""),"- 0,1 %")</f>
        <v>- 0,1 %</v>
      </c>
      <c r="D128" s="1" t="str">
        <f>IFERROR(__xludf.DUMMYFUNCTION("""COMPUTED_VALUE"""),"+ 0,4 %")</f>
        <v>+ 0,4 %</v>
      </c>
      <c r="E128" s="1" t="str">
        <f>IFERROR(__xludf.DUMMYFUNCTION("""COMPUTED_VALUE"""),"+ 7,6 %")</f>
        <v>+ 7,6 %</v>
      </c>
    </row>
    <row r="129">
      <c r="A129" s="2">
        <f>IFERROR(__xludf.DUMMYFUNCTION("""COMPUTED_VALUE"""),42309.0)</f>
        <v>42309</v>
      </c>
      <c r="B129" s="1" t="str">
        <f>IFERROR(__xludf.DUMMYFUNCTION("""COMPUTED_VALUE"""),"3.324 €/m2")</f>
        <v>3.324 €/m2</v>
      </c>
      <c r="C129" s="1" t="str">
        <f>IFERROR(__xludf.DUMMYFUNCTION("""COMPUTED_VALUE"""),"+ 0,5 %")</f>
        <v>+ 0,5 %</v>
      </c>
      <c r="D129" s="1" t="str">
        <f>IFERROR(__xludf.DUMMYFUNCTION("""COMPUTED_VALUE"""),"+ 0,1 %")</f>
        <v>+ 0,1 %</v>
      </c>
      <c r="E129" s="1" t="str">
        <f>IFERROR(__xludf.DUMMYFUNCTION("""COMPUTED_VALUE"""),"+ 7,6 %")</f>
        <v>+ 7,6 %</v>
      </c>
    </row>
    <row r="130">
      <c r="A130" s="2">
        <f>IFERROR(__xludf.DUMMYFUNCTION("""COMPUTED_VALUE"""),42278.0)</f>
        <v>42278</v>
      </c>
      <c r="B130" s="1" t="str">
        <f>IFERROR(__xludf.DUMMYFUNCTION("""COMPUTED_VALUE"""),"3.307 €/m2")</f>
        <v>3.307 €/m2</v>
      </c>
      <c r="C130" s="1" t="str">
        <f>IFERROR(__xludf.DUMMYFUNCTION("""COMPUTED_VALUE"""),"0,0 %")</f>
        <v>0,0 %</v>
      </c>
      <c r="D130" s="1" t="str">
        <f>IFERROR(__xludf.DUMMYFUNCTION("""COMPUTED_VALUE"""),"- 0,7 %")</f>
        <v>- 0,7 %</v>
      </c>
      <c r="E130" s="1" t="str">
        <f>IFERROR(__xludf.DUMMYFUNCTION("""COMPUTED_VALUE"""),"+ 7,0 %")</f>
        <v>+ 7,0 %</v>
      </c>
    </row>
    <row r="131">
      <c r="A131" s="2">
        <f>IFERROR(__xludf.DUMMYFUNCTION("""COMPUTED_VALUE"""),42248.0)</f>
        <v>42248</v>
      </c>
      <c r="B131" s="1" t="str">
        <f>IFERROR(__xludf.DUMMYFUNCTION("""COMPUTED_VALUE"""),"3.307 €/m2")</f>
        <v>3.307 €/m2</v>
      </c>
      <c r="C131" s="1" t="str">
        <f>IFERROR(__xludf.DUMMYFUNCTION("""COMPUTED_VALUE"""),"- 0,4 %")</f>
        <v>- 0,4 %</v>
      </c>
      <c r="D131" s="1" t="str">
        <f>IFERROR(__xludf.DUMMYFUNCTION("""COMPUTED_VALUE"""),"- 0,1 %")</f>
        <v>- 0,1 %</v>
      </c>
      <c r="E131" s="1" t="str">
        <f>IFERROR(__xludf.DUMMYFUNCTION("""COMPUTED_VALUE"""),"+ 6,7 %")</f>
        <v>+ 6,7 %</v>
      </c>
    </row>
    <row r="132">
      <c r="A132" s="2">
        <f>IFERROR(__xludf.DUMMYFUNCTION("""COMPUTED_VALUE"""),42217.0)</f>
        <v>42217</v>
      </c>
      <c r="B132" s="1" t="str">
        <f>IFERROR(__xludf.DUMMYFUNCTION("""COMPUTED_VALUE"""),"3.320 €/m2")</f>
        <v>3.320 €/m2</v>
      </c>
      <c r="C132" s="1" t="str">
        <f>IFERROR(__xludf.DUMMYFUNCTION("""COMPUTED_VALUE"""),"- 0,2 %")</f>
        <v>- 0,2 %</v>
      </c>
      <c r="D132" s="1" t="str">
        <f>IFERROR(__xludf.DUMMYFUNCTION("""COMPUTED_VALUE"""),"+ 0,5 %")</f>
        <v>+ 0,5 %</v>
      </c>
      <c r="E132" s="1" t="str">
        <f>IFERROR(__xludf.DUMMYFUNCTION("""COMPUTED_VALUE"""),"+ 6,4 %")</f>
        <v>+ 6,4 %</v>
      </c>
    </row>
    <row r="133">
      <c r="A133" s="2">
        <f>IFERROR(__xludf.DUMMYFUNCTION("""COMPUTED_VALUE"""),42186.0)</f>
        <v>42186</v>
      </c>
      <c r="B133" s="1" t="str">
        <f>IFERROR(__xludf.DUMMYFUNCTION("""COMPUTED_VALUE"""),"3.329 €/m2")</f>
        <v>3.329 €/m2</v>
      </c>
      <c r="C133" s="1" t="str">
        <f>IFERROR(__xludf.DUMMYFUNCTION("""COMPUTED_VALUE"""),"+ 0,6 %")</f>
        <v>+ 0,6 %</v>
      </c>
      <c r="D133" s="1" t="str">
        <f>IFERROR(__xludf.DUMMYFUNCTION("""COMPUTED_VALUE"""),"+ 0,6 %")</f>
        <v>+ 0,6 %</v>
      </c>
      <c r="E133" s="1" t="str">
        <f>IFERROR(__xludf.DUMMYFUNCTION("""COMPUTED_VALUE"""),"+ 3,3 %")</f>
        <v>+ 3,3 %</v>
      </c>
    </row>
    <row r="134">
      <c r="A134" s="2">
        <f>IFERROR(__xludf.DUMMYFUNCTION("""COMPUTED_VALUE"""),42156.0)</f>
        <v>42156</v>
      </c>
      <c r="B134" s="1" t="str">
        <f>IFERROR(__xludf.DUMMYFUNCTION("""COMPUTED_VALUE"""),"3.309 €/m2")</f>
        <v>3.309 €/m2</v>
      </c>
      <c r="C134" s="1" t="str">
        <f>IFERROR(__xludf.DUMMYFUNCTION("""COMPUTED_VALUE"""),"+ 0,1 %")</f>
        <v>+ 0,1 %</v>
      </c>
      <c r="D134" s="1" t="str">
        <f>IFERROR(__xludf.DUMMYFUNCTION("""COMPUTED_VALUE"""),"+ 3,4 %")</f>
        <v>+ 3,4 %</v>
      </c>
      <c r="E134" s="1" t="str">
        <f>IFERROR(__xludf.DUMMYFUNCTION("""COMPUTED_VALUE"""),"+ 2,6 %")</f>
        <v>+ 2,6 %</v>
      </c>
    </row>
    <row r="135">
      <c r="A135" s="2">
        <f>IFERROR(__xludf.DUMMYFUNCTION("""COMPUTED_VALUE"""),42125.0)</f>
        <v>42125</v>
      </c>
      <c r="B135" s="1" t="str">
        <f>IFERROR(__xludf.DUMMYFUNCTION("""COMPUTED_VALUE"""),"3.305 €/m2")</f>
        <v>3.305 €/m2</v>
      </c>
      <c r="C135" s="1" t="str">
        <f>IFERROR(__xludf.DUMMYFUNCTION("""COMPUTED_VALUE"""),"- 0,1 %")</f>
        <v>- 0,1 %</v>
      </c>
      <c r="D135" s="1" t="str">
        <f>IFERROR(__xludf.DUMMYFUNCTION("""COMPUTED_VALUE"""),"+ 5,6 %")</f>
        <v>+ 5,6 %</v>
      </c>
      <c r="E135" s="1" t="str">
        <f>IFERROR(__xludf.DUMMYFUNCTION("""COMPUTED_VALUE"""),"+ 3,6 %")</f>
        <v>+ 3,6 %</v>
      </c>
    </row>
    <row r="136">
      <c r="A136" s="2">
        <f>IFERROR(__xludf.DUMMYFUNCTION("""COMPUTED_VALUE"""),42095.0)</f>
        <v>42095</v>
      </c>
      <c r="B136" s="1" t="str">
        <f>IFERROR(__xludf.DUMMYFUNCTION("""COMPUTED_VALUE"""),"3.308 €/m2")</f>
        <v>3.308 €/m2</v>
      </c>
      <c r="C136" s="1" t="str">
        <f>IFERROR(__xludf.DUMMYFUNCTION("""COMPUTED_VALUE"""),"+ 3,4 %")</f>
        <v>+ 3,4 %</v>
      </c>
      <c r="D136" s="1" t="str">
        <f>IFERROR(__xludf.DUMMYFUNCTION("""COMPUTED_VALUE"""),"+ 5,9 %")</f>
        <v>+ 5,9 %</v>
      </c>
      <c r="E136" s="1" t="str">
        <f>IFERROR(__xludf.DUMMYFUNCTION("""COMPUTED_VALUE"""),"+ 3,6 %")</f>
        <v>+ 3,6 %</v>
      </c>
    </row>
    <row r="137">
      <c r="A137" s="2">
        <f>IFERROR(__xludf.DUMMYFUNCTION("""COMPUTED_VALUE"""),42064.0)</f>
        <v>42064</v>
      </c>
      <c r="B137" s="1" t="str">
        <f>IFERROR(__xludf.DUMMYFUNCTION("""COMPUTED_VALUE"""),"3.199 €/m2")</f>
        <v>3.199 €/m2</v>
      </c>
      <c r="C137" s="1" t="str">
        <f>IFERROR(__xludf.DUMMYFUNCTION("""COMPUTED_VALUE"""),"+ 2,2 %")</f>
        <v>+ 2,2 %</v>
      </c>
      <c r="D137" s="1" t="str">
        <f>IFERROR(__xludf.DUMMYFUNCTION("""COMPUTED_VALUE"""),"+ 3,7 %")</f>
        <v>+ 3,7 %</v>
      </c>
      <c r="E137" s="1" t="str">
        <f>IFERROR(__xludf.DUMMYFUNCTION("""COMPUTED_VALUE"""),"+ 0,5 %")</f>
        <v>+ 0,5 %</v>
      </c>
    </row>
    <row r="138">
      <c r="A138" s="2">
        <f>IFERROR(__xludf.DUMMYFUNCTION("""COMPUTED_VALUE"""),42036.0)</f>
        <v>42036</v>
      </c>
      <c r="B138" s="1" t="str">
        <f>IFERROR(__xludf.DUMMYFUNCTION("""COMPUTED_VALUE"""),"3.130 €/m2")</f>
        <v>3.130 €/m2</v>
      </c>
      <c r="C138" s="1" t="str">
        <f>IFERROR(__xludf.DUMMYFUNCTION("""COMPUTED_VALUE"""),"+ 0,2 %")</f>
        <v>+ 0,2 %</v>
      </c>
      <c r="D138" s="1" t="str">
        <f>IFERROR(__xludf.DUMMYFUNCTION("""COMPUTED_VALUE"""),"+ 1,3 %")</f>
        <v>+ 1,3 %</v>
      </c>
      <c r="E138" s="1" t="str">
        <f>IFERROR(__xludf.DUMMYFUNCTION("""COMPUTED_VALUE"""),"- 1,7 %")</f>
        <v>- 1,7 %</v>
      </c>
    </row>
    <row r="139">
      <c r="A139" s="2">
        <f>IFERROR(__xludf.DUMMYFUNCTION("""COMPUTED_VALUE"""),42005.0)</f>
        <v>42005</v>
      </c>
      <c r="B139" s="1" t="str">
        <f>IFERROR(__xludf.DUMMYFUNCTION("""COMPUTED_VALUE"""),"3.125 €/m2")</f>
        <v>3.125 €/m2</v>
      </c>
      <c r="C139" s="1" t="str">
        <f>IFERROR(__xludf.DUMMYFUNCTION("""COMPUTED_VALUE"""),"+ 1,3 %")</f>
        <v>+ 1,3 %</v>
      </c>
      <c r="D139" s="1" t="str">
        <f>IFERROR(__xludf.DUMMYFUNCTION("""COMPUTED_VALUE"""),"+ 1,1 %")</f>
        <v>+ 1,1 %</v>
      </c>
      <c r="E139" s="1" t="str">
        <f>IFERROR(__xludf.DUMMYFUNCTION("""COMPUTED_VALUE"""),"- 1,5 %")</f>
        <v>- 1,5 %</v>
      </c>
    </row>
    <row r="140">
      <c r="A140" s="2">
        <f>IFERROR(__xludf.DUMMYFUNCTION("""COMPUTED_VALUE"""),41974.0)</f>
        <v>41974</v>
      </c>
      <c r="B140" s="1" t="str">
        <f>IFERROR(__xludf.DUMMYFUNCTION("""COMPUTED_VALUE"""),"3.085 €/m2")</f>
        <v>3.085 €/m2</v>
      </c>
      <c r="C140" s="1" t="str">
        <f>IFERROR(__xludf.DUMMYFUNCTION("""COMPUTED_VALUE"""),"- 0,2 %")</f>
        <v>- 0,2 %</v>
      </c>
      <c r="D140" s="1" t="str">
        <f>IFERROR(__xludf.DUMMYFUNCTION("""COMPUTED_VALUE"""),"- 0,4 %")</f>
        <v>- 0,4 %</v>
      </c>
      <c r="E140" s="1" t="str">
        <f>IFERROR(__xludf.DUMMYFUNCTION("""COMPUTED_VALUE"""),"- 3,1 %")</f>
        <v>- 3,1 %</v>
      </c>
    </row>
    <row r="141">
      <c r="A141" s="2">
        <f>IFERROR(__xludf.DUMMYFUNCTION("""COMPUTED_VALUE"""),41944.0)</f>
        <v>41944</v>
      </c>
      <c r="B141" s="1" t="str">
        <f>IFERROR(__xludf.DUMMYFUNCTION("""COMPUTED_VALUE"""),"3.090 €/m2")</f>
        <v>3.090 €/m2</v>
      </c>
      <c r="C141" s="1" t="str">
        <f>IFERROR(__xludf.DUMMYFUNCTION("""COMPUTED_VALUE"""),"0,0 %")</f>
        <v>0,0 %</v>
      </c>
      <c r="D141" s="1" t="str">
        <f>IFERROR(__xludf.DUMMYFUNCTION("""COMPUTED_VALUE"""),"- 1,0 %")</f>
        <v>- 1,0 %</v>
      </c>
      <c r="E141" s="1" t="str">
        <f>IFERROR(__xludf.DUMMYFUNCTION("""COMPUTED_VALUE"""),"- 3,2 %")</f>
        <v>- 3,2 %</v>
      </c>
    </row>
    <row r="142">
      <c r="A142" s="2">
        <f>IFERROR(__xludf.DUMMYFUNCTION("""COMPUTED_VALUE"""),41913.0)</f>
        <v>41913</v>
      </c>
      <c r="B142" s="1" t="str">
        <f>IFERROR(__xludf.DUMMYFUNCTION("""COMPUTED_VALUE"""),"3.090 €/m2")</f>
        <v>3.090 €/m2</v>
      </c>
      <c r="C142" s="1" t="str">
        <f>IFERROR(__xludf.DUMMYFUNCTION("""COMPUTED_VALUE"""),"- 0,3 %")</f>
        <v>- 0,3 %</v>
      </c>
      <c r="D142" s="1" t="str">
        <f>IFERROR(__xludf.DUMMYFUNCTION("""COMPUTED_VALUE"""),"- 4,1 %")</f>
        <v>- 4,1 %</v>
      </c>
      <c r="E142" s="1" t="str">
        <f>IFERROR(__xludf.DUMMYFUNCTION("""COMPUTED_VALUE"""),"- 3,4 %")</f>
        <v>- 3,4 %</v>
      </c>
    </row>
    <row r="143">
      <c r="A143" s="2">
        <f>IFERROR(__xludf.DUMMYFUNCTION("""COMPUTED_VALUE"""),41883.0)</f>
        <v>41883</v>
      </c>
      <c r="B143" s="1" t="str">
        <f>IFERROR(__xludf.DUMMYFUNCTION("""COMPUTED_VALUE"""),"3.099 €/m2")</f>
        <v>3.099 €/m2</v>
      </c>
      <c r="C143" s="1" t="str">
        <f>IFERROR(__xludf.DUMMYFUNCTION("""COMPUTED_VALUE"""),"- 0,7 %")</f>
        <v>- 0,7 %</v>
      </c>
      <c r="D143" s="1" t="str">
        <f>IFERROR(__xludf.DUMMYFUNCTION("""COMPUTED_VALUE"""),"- 3,9 %")</f>
        <v>- 3,9 %</v>
      </c>
      <c r="E143" s="1" t="str">
        <f>IFERROR(__xludf.DUMMYFUNCTION("""COMPUTED_VALUE"""),"- 4,4 %")</f>
        <v>- 4,4 %</v>
      </c>
    </row>
    <row r="144">
      <c r="A144" s="2">
        <f>IFERROR(__xludf.DUMMYFUNCTION("""COMPUTED_VALUE"""),41852.0)</f>
        <v>41852</v>
      </c>
      <c r="B144" s="1" t="str">
        <f>IFERROR(__xludf.DUMMYFUNCTION("""COMPUTED_VALUE"""),"3.122 €/m2")</f>
        <v>3.122 €/m2</v>
      </c>
      <c r="C144" s="1" t="str">
        <f>IFERROR(__xludf.DUMMYFUNCTION("""COMPUTED_VALUE"""),"- 3,1 %")</f>
        <v>- 3,1 %</v>
      </c>
      <c r="D144" s="1" t="str">
        <f>IFERROR(__xludf.DUMMYFUNCTION("""COMPUTED_VALUE"""),"- 2,1 %")</f>
        <v>- 2,1 %</v>
      </c>
      <c r="E144" s="1" t="str">
        <f>IFERROR(__xludf.DUMMYFUNCTION("""COMPUTED_VALUE"""),"- 3,3 %")</f>
        <v>- 3,3 %</v>
      </c>
    </row>
    <row r="145">
      <c r="A145" s="2">
        <f>IFERROR(__xludf.DUMMYFUNCTION("""COMPUTED_VALUE"""),41821.0)</f>
        <v>41821</v>
      </c>
      <c r="B145" s="1" t="str">
        <f>IFERROR(__xludf.DUMMYFUNCTION("""COMPUTED_VALUE"""),"3.223 €/m2")</f>
        <v>3.223 €/m2</v>
      </c>
      <c r="C145" s="1" t="str">
        <f>IFERROR(__xludf.DUMMYFUNCTION("""COMPUTED_VALUE"""),"- 0,1 %")</f>
        <v>- 0,1 %</v>
      </c>
      <c r="D145" s="1" t="str">
        <f>IFERROR(__xludf.DUMMYFUNCTION("""COMPUTED_VALUE"""),"+ 0,9 %")</f>
        <v>+ 0,9 %</v>
      </c>
      <c r="E145" s="1" t="str">
        <f>IFERROR(__xludf.DUMMYFUNCTION("""COMPUTED_VALUE"""),"- 0,5 %")</f>
        <v>- 0,5 %</v>
      </c>
    </row>
    <row r="146">
      <c r="A146" s="2">
        <f>IFERROR(__xludf.DUMMYFUNCTION("""COMPUTED_VALUE"""),41791.0)</f>
        <v>41791</v>
      </c>
      <c r="B146" s="1" t="str">
        <f>IFERROR(__xludf.DUMMYFUNCTION("""COMPUTED_VALUE"""),"3.225 €/m2")</f>
        <v>3.225 €/m2</v>
      </c>
      <c r="C146" s="1" t="str">
        <f>IFERROR(__xludf.DUMMYFUNCTION("""COMPUTED_VALUE"""),"+ 1,1 %")</f>
        <v>+ 1,1 %</v>
      </c>
      <c r="D146" s="1" t="str">
        <f>IFERROR(__xludf.DUMMYFUNCTION("""COMPUTED_VALUE"""),"+ 1,3 %")</f>
        <v>+ 1,3 %</v>
      </c>
      <c r="E146" s="1" t="str">
        <f>IFERROR(__xludf.DUMMYFUNCTION("""COMPUTED_VALUE"""),"- 1,7 %")</f>
        <v>- 1,7 %</v>
      </c>
    </row>
    <row r="147">
      <c r="A147" s="2">
        <f>IFERROR(__xludf.DUMMYFUNCTION("""COMPUTED_VALUE"""),41760.0)</f>
        <v>41760</v>
      </c>
      <c r="B147" s="1" t="str">
        <f>IFERROR(__xludf.DUMMYFUNCTION("""COMPUTED_VALUE"""),"3.189 €/m2")</f>
        <v>3.189 €/m2</v>
      </c>
      <c r="C147" s="1" t="str">
        <f>IFERROR(__xludf.DUMMYFUNCTION("""COMPUTED_VALUE"""),"- 0,1 %")</f>
        <v>- 0,1 %</v>
      </c>
      <c r="D147" s="1" t="str">
        <f>IFERROR(__xludf.DUMMYFUNCTION("""COMPUTED_VALUE"""),"+ 0,2 %")</f>
        <v>+ 0,2 %</v>
      </c>
      <c r="E147" s="1" t="str">
        <f>IFERROR(__xludf.DUMMYFUNCTION("""COMPUTED_VALUE"""),"- 3,3 %")</f>
        <v>- 3,3 %</v>
      </c>
    </row>
    <row r="148">
      <c r="A148" s="2">
        <f>IFERROR(__xludf.DUMMYFUNCTION("""COMPUTED_VALUE"""),41730.0)</f>
        <v>41730</v>
      </c>
      <c r="B148" s="1" t="str">
        <f>IFERROR(__xludf.DUMMYFUNCTION("""COMPUTED_VALUE"""),"3.193 €/m2")</f>
        <v>3.193 €/m2</v>
      </c>
      <c r="C148" s="1" t="str">
        <f>IFERROR(__xludf.DUMMYFUNCTION("""COMPUTED_VALUE"""),"+ 0,3 %")</f>
        <v>+ 0,3 %</v>
      </c>
      <c r="D148" s="1" t="str">
        <f>IFERROR(__xludf.DUMMYFUNCTION("""COMPUTED_VALUE"""),"+ 0,6 %")</f>
        <v>+ 0,6 %</v>
      </c>
      <c r="E148" s="1" t="str">
        <f>IFERROR(__xludf.DUMMYFUNCTION("""COMPUTED_VALUE"""),"- 3,6 %")</f>
        <v>- 3,6 %</v>
      </c>
    </row>
    <row r="149">
      <c r="A149" s="2">
        <f>IFERROR(__xludf.DUMMYFUNCTION("""COMPUTED_VALUE"""),41699.0)</f>
        <v>41699</v>
      </c>
      <c r="B149" s="1" t="str">
        <f>IFERROR(__xludf.DUMMYFUNCTION("""COMPUTED_VALUE"""),"3.183 €/m2")</f>
        <v>3.183 €/m2</v>
      </c>
      <c r="C149" s="1" t="str">
        <f>IFERROR(__xludf.DUMMYFUNCTION("""COMPUTED_VALUE"""),"0,0 %")</f>
        <v>0,0 %</v>
      </c>
      <c r="D149" s="1" t="str">
        <f>IFERROR(__xludf.DUMMYFUNCTION("""COMPUTED_VALUE"""),"0,0 %")</f>
        <v>0,0 %</v>
      </c>
      <c r="E149" s="1" t="str">
        <f>IFERROR(__xludf.DUMMYFUNCTION("""COMPUTED_VALUE"""),"- 4,5 %")</f>
        <v>- 4,5 %</v>
      </c>
    </row>
    <row r="150">
      <c r="A150" s="2">
        <f>IFERROR(__xludf.DUMMYFUNCTION("""COMPUTED_VALUE"""),41671.0)</f>
        <v>41671</v>
      </c>
      <c r="B150" s="1" t="str">
        <f>IFERROR(__xludf.DUMMYFUNCTION("""COMPUTED_VALUE"""),"3.183 €/m2")</f>
        <v>3.183 €/m2</v>
      </c>
      <c r="C150" s="1" t="str">
        <f>IFERROR(__xludf.DUMMYFUNCTION("""COMPUTED_VALUE"""),"+ 0,3 %")</f>
        <v>+ 0,3 %</v>
      </c>
      <c r="D150" s="1" t="str">
        <f>IFERROR(__xludf.DUMMYFUNCTION("""COMPUTED_VALUE"""),"- 0,4 %")</f>
        <v>- 0,4 %</v>
      </c>
      <c r="E150" s="1" t="str">
        <f>IFERROR(__xludf.DUMMYFUNCTION("""COMPUTED_VALUE"""),"- 4,9 %")</f>
        <v>- 4,9 %</v>
      </c>
    </row>
    <row r="151">
      <c r="A151" s="2">
        <f>IFERROR(__xludf.DUMMYFUNCTION("""COMPUTED_VALUE"""),41640.0)</f>
        <v>41640</v>
      </c>
      <c r="B151" s="1" t="str">
        <f>IFERROR(__xludf.DUMMYFUNCTION("""COMPUTED_VALUE"""),"3.174 €/m2")</f>
        <v>3.174 €/m2</v>
      </c>
      <c r="C151" s="1" t="str">
        <f>IFERROR(__xludf.DUMMYFUNCTION("""COMPUTED_VALUE"""),"- 0,3 %")</f>
        <v>- 0,3 %</v>
      </c>
      <c r="D151" s="1" t="str">
        <f>IFERROR(__xludf.DUMMYFUNCTION("""COMPUTED_VALUE"""),"- 0,8 %")</f>
        <v>- 0,8 %</v>
      </c>
      <c r="E151" s="1" t="str">
        <f>IFERROR(__xludf.DUMMYFUNCTION("""COMPUTED_VALUE"""),"- 5,8 %")</f>
        <v>- 5,8 %</v>
      </c>
    </row>
    <row r="152">
      <c r="A152" s="2">
        <f>IFERROR(__xludf.DUMMYFUNCTION("""COMPUTED_VALUE"""),41609.0)</f>
        <v>41609</v>
      </c>
      <c r="B152" s="1" t="str">
        <f>IFERROR(__xludf.DUMMYFUNCTION("""COMPUTED_VALUE"""),"3.183 €/m2")</f>
        <v>3.183 €/m2</v>
      </c>
      <c r="C152" s="1" t="str">
        <f>IFERROR(__xludf.DUMMYFUNCTION("""COMPUTED_VALUE"""),"- 0,4 %")</f>
        <v>- 0,4 %</v>
      </c>
      <c r="D152" s="1" t="str">
        <f>IFERROR(__xludf.DUMMYFUNCTION("""COMPUTED_VALUE"""),"- 1,8 %")</f>
        <v>- 1,8 %</v>
      </c>
      <c r="E152" s="1" t="str">
        <f>IFERROR(__xludf.DUMMYFUNCTION("""COMPUTED_VALUE"""),"- 5,4 %")</f>
        <v>- 5,4 %</v>
      </c>
    </row>
    <row r="153">
      <c r="A153" s="2">
        <f>IFERROR(__xludf.DUMMYFUNCTION("""COMPUTED_VALUE"""),41579.0)</f>
        <v>41579</v>
      </c>
      <c r="B153" s="1" t="str">
        <f>IFERROR(__xludf.DUMMYFUNCTION("""COMPUTED_VALUE"""),"3.194 €/m2")</f>
        <v>3.194 €/m2</v>
      </c>
      <c r="C153" s="1" t="str">
        <f>IFERROR(__xludf.DUMMYFUNCTION("""COMPUTED_VALUE"""),"- 0,2 %")</f>
        <v>- 0,2 %</v>
      </c>
      <c r="D153" s="1" t="str">
        <f>IFERROR(__xludf.DUMMYFUNCTION("""COMPUTED_VALUE"""),"- 1,0 %")</f>
        <v>- 1,0 %</v>
      </c>
      <c r="E153" s="1" t="str">
        <f>IFERROR(__xludf.DUMMYFUNCTION("""COMPUTED_VALUE"""),"- 6,4 %")</f>
        <v>- 6,4 %</v>
      </c>
    </row>
    <row r="154">
      <c r="A154" s="2">
        <f>IFERROR(__xludf.DUMMYFUNCTION("""COMPUTED_VALUE"""),41548.0)</f>
        <v>41548</v>
      </c>
      <c r="B154" s="1" t="str">
        <f>IFERROR(__xludf.DUMMYFUNCTION("""COMPUTED_VALUE"""),"3.199 €/m2")</f>
        <v>3.199 €/m2</v>
      </c>
      <c r="C154" s="1" t="str">
        <f>IFERROR(__xludf.DUMMYFUNCTION("""COMPUTED_VALUE"""),"- 1,3 %")</f>
        <v>- 1,3 %</v>
      </c>
      <c r="D154" s="1" t="str">
        <f>IFERROR(__xludf.DUMMYFUNCTION("""COMPUTED_VALUE"""),"- 1,3 %")</f>
        <v>- 1,3 %</v>
      </c>
      <c r="E154" s="1" t="str">
        <f>IFERROR(__xludf.DUMMYFUNCTION("""COMPUTED_VALUE"""),"- 6,8 %")</f>
        <v>- 6,8 %</v>
      </c>
    </row>
    <row r="155">
      <c r="A155" s="2">
        <f>IFERROR(__xludf.DUMMYFUNCTION("""COMPUTED_VALUE"""),41518.0)</f>
        <v>41518</v>
      </c>
      <c r="B155" s="1" t="str">
        <f>IFERROR(__xludf.DUMMYFUNCTION("""COMPUTED_VALUE"""),"3.240 €/m2")</f>
        <v>3.240 €/m2</v>
      </c>
      <c r="C155" s="1" t="str">
        <f>IFERROR(__xludf.DUMMYFUNCTION("""COMPUTED_VALUE"""),"+ 0,4 %")</f>
        <v>+ 0,4 %</v>
      </c>
      <c r="D155" s="1" t="str">
        <f>IFERROR(__xludf.DUMMYFUNCTION("""COMPUTED_VALUE"""),"- 1,3 %")</f>
        <v>- 1,3 %</v>
      </c>
      <c r="E155" s="1" t="str">
        <f>IFERROR(__xludf.DUMMYFUNCTION("""COMPUTED_VALUE"""),"- 5,7 %")</f>
        <v>- 5,7 %</v>
      </c>
    </row>
    <row r="156">
      <c r="A156" s="2">
        <f>IFERROR(__xludf.DUMMYFUNCTION("""COMPUTED_VALUE"""),41487.0)</f>
        <v>41487</v>
      </c>
      <c r="B156" s="1" t="str">
        <f>IFERROR(__xludf.DUMMYFUNCTION("""COMPUTED_VALUE"""),"3.227 €/m2")</f>
        <v>3.227 €/m2</v>
      </c>
      <c r="C156" s="1" t="str">
        <f>IFERROR(__xludf.DUMMYFUNCTION("""COMPUTED_VALUE"""),"- 0,4 %")</f>
        <v>- 0,4 %</v>
      </c>
      <c r="D156" s="1" t="str">
        <f>IFERROR(__xludf.DUMMYFUNCTION("""COMPUTED_VALUE"""),"- 2,1 %")</f>
        <v>- 2,1 %</v>
      </c>
      <c r="E156" s="1" t="str">
        <f>IFERROR(__xludf.DUMMYFUNCTION("""COMPUTED_VALUE"""),"- 6,2 %")</f>
        <v>- 6,2 %</v>
      </c>
    </row>
    <row r="157">
      <c r="A157" s="2">
        <f>IFERROR(__xludf.DUMMYFUNCTION("""COMPUTED_VALUE"""),41456.0)</f>
        <v>41456</v>
      </c>
      <c r="B157" s="1" t="str">
        <f>IFERROR(__xludf.DUMMYFUNCTION("""COMPUTED_VALUE"""),"3.241 €/m2")</f>
        <v>3.241 €/m2</v>
      </c>
      <c r="C157" s="1" t="str">
        <f>IFERROR(__xludf.DUMMYFUNCTION("""COMPUTED_VALUE"""),"- 1,2 %")</f>
        <v>- 1,2 %</v>
      </c>
      <c r="D157" s="1" t="str">
        <f>IFERROR(__xludf.DUMMYFUNCTION("""COMPUTED_VALUE"""),"- 2,2 %")</f>
        <v>- 2,2 %</v>
      </c>
      <c r="E157" s="1" t="str">
        <f>IFERROR(__xludf.DUMMYFUNCTION("""COMPUTED_VALUE"""),"- 6,5 %")</f>
        <v>- 6,5 %</v>
      </c>
    </row>
    <row r="158">
      <c r="A158" s="2">
        <f>IFERROR(__xludf.DUMMYFUNCTION("""COMPUTED_VALUE"""),41426.0)</f>
        <v>41426</v>
      </c>
      <c r="B158" s="1" t="str">
        <f>IFERROR(__xludf.DUMMYFUNCTION("""COMPUTED_VALUE"""),"3.281 €/m2")</f>
        <v>3.281 €/m2</v>
      </c>
      <c r="C158" s="1" t="str">
        <f>IFERROR(__xludf.DUMMYFUNCTION("""COMPUTED_VALUE"""),"- 0,5 %")</f>
        <v>- 0,5 %</v>
      </c>
      <c r="D158" s="1" t="str">
        <f>IFERROR(__xludf.DUMMYFUNCTION("""COMPUTED_VALUE"""),"- 1,5 %")</f>
        <v>- 1,5 %</v>
      </c>
      <c r="E158" s="1" t="str">
        <f>IFERROR(__xludf.DUMMYFUNCTION("""COMPUTED_VALUE"""),"- 5,1 %")</f>
        <v>- 5,1 %</v>
      </c>
    </row>
    <row r="159">
      <c r="A159" s="2">
        <f>IFERROR(__xludf.DUMMYFUNCTION("""COMPUTED_VALUE"""),41395.0)</f>
        <v>41395</v>
      </c>
      <c r="B159" s="1" t="str">
        <f>IFERROR(__xludf.DUMMYFUNCTION("""COMPUTED_VALUE"""),"3.297 €/m2")</f>
        <v>3.297 €/m2</v>
      </c>
      <c r="C159" s="1" t="str">
        <f>IFERROR(__xludf.DUMMYFUNCTION("""COMPUTED_VALUE"""),"- 0,5 %")</f>
        <v>- 0,5 %</v>
      </c>
      <c r="D159" s="1" t="str">
        <f>IFERROR(__xludf.DUMMYFUNCTION("""COMPUTED_VALUE"""),"- 1,5 %")</f>
        <v>- 1,5 %</v>
      </c>
      <c r="E159" s="1" t="str">
        <f>IFERROR(__xludf.DUMMYFUNCTION("""COMPUTED_VALUE"""),"- 5,7 %")</f>
        <v>- 5,7 %</v>
      </c>
    </row>
    <row r="160">
      <c r="A160" s="2">
        <f>IFERROR(__xludf.DUMMYFUNCTION("""COMPUTED_VALUE"""),41365.0)</f>
        <v>41365</v>
      </c>
      <c r="B160" s="1" t="str">
        <f>IFERROR(__xludf.DUMMYFUNCTION("""COMPUTED_VALUE"""),"3.312 €/m2")</f>
        <v>3.312 €/m2</v>
      </c>
      <c r="C160" s="1" t="str">
        <f>IFERROR(__xludf.DUMMYFUNCTION("""COMPUTED_VALUE"""),"- 0,6 %")</f>
        <v>- 0,6 %</v>
      </c>
      <c r="D160" s="1" t="str">
        <f>IFERROR(__xludf.DUMMYFUNCTION("""COMPUTED_VALUE"""),"- 1,7 %")</f>
        <v>- 1,7 %</v>
      </c>
      <c r="E160" s="1" t="str">
        <f>IFERROR(__xludf.DUMMYFUNCTION("""COMPUTED_VALUE"""),"- 6,8 %")</f>
        <v>- 6,8 %</v>
      </c>
    </row>
    <row r="161">
      <c r="A161" s="2">
        <f>IFERROR(__xludf.DUMMYFUNCTION("""COMPUTED_VALUE"""),41334.0)</f>
        <v>41334</v>
      </c>
      <c r="B161" s="1" t="str">
        <f>IFERROR(__xludf.DUMMYFUNCTION("""COMPUTED_VALUE"""),"3.332 €/m2")</f>
        <v>3.332 €/m2</v>
      </c>
      <c r="C161" s="1" t="str">
        <f>IFERROR(__xludf.DUMMYFUNCTION("""COMPUTED_VALUE"""),"- 0,5 %")</f>
        <v>- 0,5 %</v>
      </c>
      <c r="D161" s="1" t="str">
        <f>IFERROR(__xludf.DUMMYFUNCTION("""COMPUTED_VALUE"""),"- 1,0 %")</f>
        <v>- 1,0 %</v>
      </c>
      <c r="E161" s="1" t="str">
        <f>IFERROR(__xludf.DUMMYFUNCTION("""COMPUTED_VALUE"""),"- 7,7 %")</f>
        <v>- 7,7 %</v>
      </c>
    </row>
    <row r="162">
      <c r="A162" s="2">
        <f>IFERROR(__xludf.DUMMYFUNCTION("""COMPUTED_VALUE"""),41306.0)</f>
        <v>41306</v>
      </c>
      <c r="B162" s="1" t="str">
        <f>IFERROR(__xludf.DUMMYFUNCTION("""COMPUTED_VALUE"""),"3.348 €/m2")</f>
        <v>3.348 €/m2</v>
      </c>
      <c r="C162" s="1" t="str">
        <f>IFERROR(__xludf.DUMMYFUNCTION("""COMPUTED_VALUE"""),"- 0,6 %")</f>
        <v>- 0,6 %</v>
      </c>
      <c r="D162" s="1" t="str">
        <f>IFERROR(__xludf.DUMMYFUNCTION("""COMPUTED_VALUE"""),"- 1,9 %")</f>
        <v>- 1,9 %</v>
      </c>
      <c r="E162" s="1" t="str">
        <f>IFERROR(__xludf.DUMMYFUNCTION("""COMPUTED_VALUE"""),"- 6,9 %")</f>
        <v>- 6,9 %</v>
      </c>
    </row>
    <row r="163">
      <c r="A163" s="2">
        <f>IFERROR(__xludf.DUMMYFUNCTION("""COMPUTED_VALUE"""),41275.0)</f>
        <v>41275</v>
      </c>
      <c r="B163" s="1" t="str">
        <f>IFERROR(__xludf.DUMMYFUNCTION("""COMPUTED_VALUE"""),"3.368 €/m2")</f>
        <v>3.368 €/m2</v>
      </c>
      <c r="C163" s="1" t="str">
        <f>IFERROR(__xludf.DUMMYFUNCTION("""COMPUTED_VALUE"""),"+ 0,1 %")</f>
        <v>+ 0,1 %</v>
      </c>
      <c r="D163" s="1" t="str">
        <f>IFERROR(__xludf.DUMMYFUNCTION("""COMPUTED_VALUE"""),"- 1,9 %")</f>
        <v>- 1,9 %</v>
      </c>
      <c r="E163" s="1" t="str">
        <f>IFERROR(__xludf.DUMMYFUNCTION("""COMPUTED_VALUE"""),"- 7,0 %")</f>
        <v>- 7,0 %</v>
      </c>
    </row>
    <row r="164">
      <c r="A164" s="2">
        <f>IFERROR(__xludf.DUMMYFUNCTION("""COMPUTED_VALUE"""),41244.0)</f>
        <v>41244</v>
      </c>
      <c r="B164" s="1" t="str">
        <f>IFERROR(__xludf.DUMMYFUNCTION("""COMPUTED_VALUE"""),"3.366 €/m2")</f>
        <v>3.366 €/m2</v>
      </c>
      <c r="C164" s="1" t="str">
        <f>IFERROR(__xludf.DUMMYFUNCTION("""COMPUTED_VALUE"""),"- 1,4 %")</f>
        <v>- 1,4 %</v>
      </c>
      <c r="D164" s="1" t="str">
        <f>IFERROR(__xludf.DUMMYFUNCTION("""COMPUTED_VALUE"""),"- 2,1 %")</f>
        <v>- 2,1 %</v>
      </c>
      <c r="E164" s="1" t="str">
        <f>IFERROR(__xludf.DUMMYFUNCTION("""COMPUTED_VALUE"""),"- 7,0 %")</f>
        <v>- 7,0 %</v>
      </c>
    </row>
    <row r="165">
      <c r="A165" s="2">
        <f>IFERROR(__xludf.DUMMYFUNCTION("""COMPUTED_VALUE"""),41214.0)</f>
        <v>41214</v>
      </c>
      <c r="B165" s="1" t="str">
        <f>IFERROR(__xludf.DUMMYFUNCTION("""COMPUTED_VALUE"""),"3.413 €/m2")</f>
        <v>3.413 €/m2</v>
      </c>
      <c r="C165" s="1" t="str">
        <f>IFERROR(__xludf.DUMMYFUNCTION("""COMPUTED_VALUE"""),"- 0,5 %")</f>
        <v>- 0,5 %</v>
      </c>
      <c r="D165" s="1" t="str">
        <f>IFERROR(__xludf.DUMMYFUNCTION("""COMPUTED_VALUE"""),"- 0,8 %")</f>
        <v>- 0,8 %</v>
      </c>
      <c r="E165" s="1" t="str">
        <f>IFERROR(__xludf.DUMMYFUNCTION("""COMPUTED_VALUE"""),"- 6,5 %")</f>
        <v>- 6,5 %</v>
      </c>
    </row>
    <row r="166">
      <c r="A166" s="2">
        <f>IFERROR(__xludf.DUMMYFUNCTION("""COMPUTED_VALUE"""),41183.0)</f>
        <v>41183</v>
      </c>
      <c r="B166" s="1" t="str">
        <f>IFERROR(__xludf.DUMMYFUNCTION("""COMPUTED_VALUE"""),"3.432 €/m2")</f>
        <v>3.432 €/m2</v>
      </c>
      <c r="C166" s="1" t="str">
        <f>IFERROR(__xludf.DUMMYFUNCTION("""COMPUTED_VALUE"""),"- 0,2 %")</f>
        <v>- 0,2 %</v>
      </c>
      <c r="D166" s="1" t="str">
        <f>IFERROR(__xludf.DUMMYFUNCTION("""COMPUTED_VALUE"""),"- 1,0 %")</f>
        <v>- 1,0 %</v>
      </c>
      <c r="E166" s="1" t="str">
        <f>IFERROR(__xludf.DUMMYFUNCTION("""COMPUTED_VALUE"""),"- 7,2 %")</f>
        <v>- 7,2 %</v>
      </c>
    </row>
    <row r="167">
      <c r="A167" s="2">
        <f>IFERROR(__xludf.DUMMYFUNCTION("""COMPUTED_VALUE"""),41153.0)</f>
        <v>41153</v>
      </c>
      <c r="B167" s="1" t="str">
        <f>IFERROR(__xludf.DUMMYFUNCTION("""COMPUTED_VALUE"""),"3.437 €/m2")</f>
        <v>3.437 €/m2</v>
      </c>
      <c r="C167" s="1" t="str">
        <f>IFERROR(__xludf.DUMMYFUNCTION("""COMPUTED_VALUE"""),"- 0,1 %")</f>
        <v>- 0,1 %</v>
      </c>
      <c r="D167" s="1" t="str">
        <f>IFERROR(__xludf.DUMMYFUNCTION("""COMPUTED_VALUE"""),"- 0,6 %")</f>
        <v>- 0,6 %</v>
      </c>
      <c r="E167" s="1" t="str">
        <f>IFERROR(__xludf.DUMMYFUNCTION("""COMPUTED_VALUE"""),"- 7,0 %")</f>
        <v>- 7,0 %</v>
      </c>
    </row>
    <row r="168">
      <c r="A168" s="2">
        <f>IFERROR(__xludf.DUMMYFUNCTION("""COMPUTED_VALUE"""),41122.0)</f>
        <v>41122</v>
      </c>
      <c r="B168" s="1" t="str">
        <f>IFERROR(__xludf.DUMMYFUNCTION("""COMPUTED_VALUE"""),"3.440 €/m2")</f>
        <v>3.440 €/m2</v>
      </c>
      <c r="C168" s="1" t="str">
        <f>IFERROR(__xludf.DUMMYFUNCTION("""COMPUTED_VALUE"""),"- 0,8 %")</f>
        <v>- 0,8 %</v>
      </c>
      <c r="D168" s="1" t="str">
        <f>IFERROR(__xludf.DUMMYFUNCTION("""COMPUTED_VALUE"""),"- 1,6 %")</f>
        <v>- 1,6 %</v>
      </c>
      <c r="E168" s="1" t="str">
        <f>IFERROR(__xludf.DUMMYFUNCTION("""COMPUTED_VALUE"""),"- 8,5 %")</f>
        <v>- 8,5 %</v>
      </c>
    </row>
    <row r="169">
      <c r="A169" s="2">
        <f>IFERROR(__xludf.DUMMYFUNCTION("""COMPUTED_VALUE"""),41091.0)</f>
        <v>41091</v>
      </c>
      <c r="B169" s="1" t="str">
        <f>IFERROR(__xludf.DUMMYFUNCTION("""COMPUTED_VALUE"""),"3.466 €/m2")</f>
        <v>3.466 €/m2</v>
      </c>
      <c r="C169" s="1" t="str">
        <f>IFERROR(__xludf.DUMMYFUNCTION("""COMPUTED_VALUE"""),"+ 0,2 %")</f>
        <v>+ 0,2 %</v>
      </c>
      <c r="D169" s="1" t="str">
        <f>IFERROR(__xludf.DUMMYFUNCTION("""COMPUTED_VALUE"""),"- 2,4 %")</f>
        <v>- 2,4 %</v>
      </c>
      <c r="E169" s="1" t="str">
        <f>IFERROR(__xludf.DUMMYFUNCTION("""COMPUTED_VALUE"""),"- 8,5 %")</f>
        <v>- 8,5 %</v>
      </c>
    </row>
    <row r="170">
      <c r="A170" s="2">
        <f>IFERROR(__xludf.DUMMYFUNCTION("""COMPUTED_VALUE"""),41061.0)</f>
        <v>41061</v>
      </c>
      <c r="B170" s="1" t="str">
        <f>IFERROR(__xludf.DUMMYFUNCTION("""COMPUTED_VALUE"""),"3.459 €/m2")</f>
        <v>3.459 €/m2</v>
      </c>
      <c r="C170" s="1" t="str">
        <f>IFERROR(__xludf.DUMMYFUNCTION("""COMPUTED_VALUE"""),"- 1,1 %")</f>
        <v>- 1,1 %</v>
      </c>
      <c r="D170" s="1" t="str">
        <f>IFERROR(__xludf.DUMMYFUNCTION("""COMPUTED_VALUE"""),"- 4,1 %")</f>
        <v>- 4,1 %</v>
      </c>
      <c r="E170" s="1" t="str">
        <f>IFERROR(__xludf.DUMMYFUNCTION("""COMPUTED_VALUE"""),"- 9,7 %")</f>
        <v>- 9,7 %</v>
      </c>
    </row>
    <row r="171">
      <c r="A171" s="2">
        <f>IFERROR(__xludf.DUMMYFUNCTION("""COMPUTED_VALUE"""),41030.0)</f>
        <v>41030</v>
      </c>
      <c r="B171" s="1" t="str">
        <f>IFERROR(__xludf.DUMMYFUNCTION("""COMPUTED_VALUE"""),"3.496 €/m2")</f>
        <v>3.496 €/m2</v>
      </c>
      <c r="C171" s="1" t="str">
        <f>IFERROR(__xludf.DUMMYFUNCTION("""COMPUTED_VALUE"""),"- 1,6 %")</f>
        <v>- 1,6 %</v>
      </c>
      <c r="D171" s="1" t="str">
        <f>IFERROR(__xludf.DUMMYFUNCTION("""COMPUTED_VALUE"""),"- 2,8 %")</f>
        <v>- 2,8 %</v>
      </c>
      <c r="E171" s="1" t="str">
        <f>IFERROR(__xludf.DUMMYFUNCTION("""COMPUTED_VALUE"""),"- 9,3 %")</f>
        <v>- 9,3 %</v>
      </c>
    </row>
    <row r="172">
      <c r="A172" s="2">
        <f>IFERROR(__xludf.DUMMYFUNCTION("""COMPUTED_VALUE"""),41000.0)</f>
        <v>41000</v>
      </c>
      <c r="B172" s="1" t="str">
        <f>IFERROR(__xludf.DUMMYFUNCTION("""COMPUTED_VALUE"""),"3.553 €/m2")</f>
        <v>3.553 €/m2</v>
      </c>
      <c r="C172" s="1" t="str">
        <f>IFERROR(__xludf.DUMMYFUNCTION("""COMPUTED_VALUE"""),"- 1,5 %")</f>
        <v>- 1,5 %</v>
      </c>
      <c r="D172" s="1" t="str">
        <f>IFERROR(__xludf.DUMMYFUNCTION("""COMPUTED_VALUE"""),"- 1,8 %")</f>
        <v>- 1,8 %</v>
      </c>
      <c r="E172" s="1" t="str">
        <f>IFERROR(__xludf.DUMMYFUNCTION("""COMPUTED_VALUE"""),"- 8,0 %")</f>
        <v>- 8,0 %</v>
      </c>
    </row>
    <row r="173">
      <c r="A173" s="2">
        <f>IFERROR(__xludf.DUMMYFUNCTION("""COMPUTED_VALUE"""),40969.0)</f>
        <v>40969</v>
      </c>
      <c r="B173" s="1" t="str">
        <f>IFERROR(__xludf.DUMMYFUNCTION("""COMPUTED_VALUE"""),"3.608 €/m2")</f>
        <v>3.608 €/m2</v>
      </c>
      <c r="C173" s="1" t="str">
        <f>IFERROR(__xludf.DUMMYFUNCTION("""COMPUTED_VALUE"""),"+ 0,3 %")</f>
        <v>+ 0,3 %</v>
      </c>
      <c r="D173" s="1" t="str">
        <f>IFERROR(__xludf.DUMMYFUNCTION("""COMPUTED_VALUE"""),"- 0,3 %")</f>
        <v>- 0,3 %</v>
      </c>
      <c r="E173" s="1" t="str">
        <f>IFERROR(__xludf.DUMMYFUNCTION("""COMPUTED_VALUE"""),"- 7,1 %")</f>
        <v>- 7,1 %</v>
      </c>
    </row>
    <row r="174">
      <c r="A174" s="2">
        <f>IFERROR(__xludf.DUMMYFUNCTION("""COMPUTED_VALUE"""),40940.0)</f>
        <v>40940</v>
      </c>
      <c r="B174" s="1" t="str">
        <f>IFERROR(__xludf.DUMMYFUNCTION("""COMPUTED_VALUE"""),"3.597 €/m2")</f>
        <v>3.597 €/m2</v>
      </c>
      <c r="C174" s="1" t="str">
        <f>IFERROR(__xludf.DUMMYFUNCTION("""COMPUTED_VALUE"""),"- 0,6 %")</f>
        <v>- 0,6 %</v>
      </c>
      <c r="D174" s="1" t="str">
        <f>IFERROR(__xludf.DUMMYFUNCTION("""COMPUTED_VALUE"""),"- 1,4 %")</f>
        <v>- 1,4 %</v>
      </c>
      <c r="E174" s="1" t="str">
        <f>IFERROR(__xludf.DUMMYFUNCTION("""COMPUTED_VALUE"""),"- 7,4 %")</f>
        <v>- 7,4 %</v>
      </c>
    </row>
    <row r="175">
      <c r="A175" s="2">
        <f>IFERROR(__xludf.DUMMYFUNCTION("""COMPUTED_VALUE"""),40909.0)</f>
        <v>40909</v>
      </c>
      <c r="B175" s="1" t="str">
        <f>IFERROR(__xludf.DUMMYFUNCTION("""COMPUTED_VALUE"""),"3.620 €/m2")</f>
        <v>3.620 €/m2</v>
      </c>
      <c r="C175" s="1" t="str">
        <f>IFERROR(__xludf.DUMMYFUNCTION("""COMPUTED_VALUE"""),"0,0 %")</f>
        <v>0,0 %</v>
      </c>
      <c r="D175" s="1" t="str">
        <f>IFERROR(__xludf.DUMMYFUNCTION("""COMPUTED_VALUE"""),"- 2,1 %")</f>
        <v>- 2,1 %</v>
      </c>
      <c r="E175" s="1" t="str">
        <f>IFERROR(__xludf.DUMMYFUNCTION("""COMPUTED_VALUE"""),"- 6,7 %")</f>
        <v>- 6,7 %</v>
      </c>
    </row>
    <row r="176">
      <c r="A176" s="2">
        <f>IFERROR(__xludf.DUMMYFUNCTION("""COMPUTED_VALUE"""),40878.0)</f>
        <v>40878</v>
      </c>
      <c r="B176" s="1" t="str">
        <f>IFERROR(__xludf.DUMMYFUNCTION("""COMPUTED_VALUE"""),"3.619 €/m2")</f>
        <v>3.619 €/m2</v>
      </c>
      <c r="C176" s="1" t="str">
        <f>IFERROR(__xludf.DUMMYFUNCTION("""COMPUTED_VALUE"""),"- 0,8 %")</f>
        <v>- 0,8 %</v>
      </c>
      <c r="D176" s="1" t="str">
        <f>IFERROR(__xludf.DUMMYFUNCTION("""COMPUTED_VALUE"""),"- 2,1 %")</f>
        <v>- 2,1 %</v>
      </c>
      <c r="E176" s="1" t="str">
        <f>IFERROR(__xludf.DUMMYFUNCTION("""COMPUTED_VALUE"""),"- 6,5 %")</f>
        <v>- 6,5 %</v>
      </c>
    </row>
    <row r="177">
      <c r="A177" s="2">
        <f>IFERROR(__xludf.DUMMYFUNCTION("""COMPUTED_VALUE"""),40848.0)</f>
        <v>40848</v>
      </c>
      <c r="B177" s="1" t="str">
        <f>IFERROR(__xludf.DUMMYFUNCTION("""COMPUTED_VALUE"""),"3.649 €/m2")</f>
        <v>3.649 €/m2</v>
      </c>
      <c r="C177" s="1" t="str">
        <f>IFERROR(__xludf.DUMMYFUNCTION("""COMPUTED_VALUE"""),"- 1,3 %")</f>
        <v>- 1,3 %</v>
      </c>
      <c r="D177" s="1" t="str">
        <f>IFERROR(__xludf.DUMMYFUNCTION("""COMPUTED_VALUE"""),"- 2,9 %")</f>
        <v>- 2,9 %</v>
      </c>
      <c r="E177" s="1" t="str">
        <f>IFERROR(__xludf.DUMMYFUNCTION("""COMPUTED_VALUE"""),"- 7,0 %")</f>
        <v>- 7,0 %</v>
      </c>
    </row>
    <row r="178">
      <c r="A178" s="2">
        <f>IFERROR(__xludf.DUMMYFUNCTION("""COMPUTED_VALUE"""),40817.0)</f>
        <v>40817</v>
      </c>
      <c r="B178" s="1" t="str">
        <f>IFERROR(__xludf.DUMMYFUNCTION("""COMPUTED_VALUE"""),"3.699 €/m2")</f>
        <v>3.699 €/m2</v>
      </c>
      <c r="C178" s="1" t="str">
        <f>IFERROR(__xludf.DUMMYFUNCTION("""COMPUTED_VALUE"""),"+ 0,1 %")</f>
        <v>+ 0,1 %</v>
      </c>
      <c r="D178" s="1" t="str">
        <f>IFERROR(__xludf.DUMMYFUNCTION("""COMPUTED_VALUE"""),"- 2,4 %")</f>
        <v>- 2,4 %</v>
      </c>
      <c r="E178" s="1" t="str">
        <f>IFERROR(__xludf.DUMMYFUNCTION("""COMPUTED_VALUE"""),"- 7,2 %")</f>
        <v>- 7,2 %</v>
      </c>
    </row>
    <row r="179">
      <c r="A179" s="2">
        <f>IFERROR(__xludf.DUMMYFUNCTION("""COMPUTED_VALUE"""),40787.0)</f>
        <v>40787</v>
      </c>
      <c r="B179" s="1" t="str">
        <f>IFERROR(__xludf.DUMMYFUNCTION("""COMPUTED_VALUE"""),"3.697 €/m2")</f>
        <v>3.697 €/m2</v>
      </c>
      <c r="C179" s="1" t="str">
        <f>IFERROR(__xludf.DUMMYFUNCTION("""COMPUTED_VALUE"""),"- 1,7 %")</f>
        <v>- 1,7 %</v>
      </c>
      <c r="D179" s="1" t="str">
        <f>IFERROR(__xludf.DUMMYFUNCTION("""COMPUTED_VALUE"""),"- 3,5 %")</f>
        <v>- 3,5 %</v>
      </c>
      <c r="E179" s="1" t="str">
        <f>IFERROR(__xludf.DUMMYFUNCTION("""COMPUTED_VALUE"""),"- 6,6 %")</f>
        <v>- 6,6 %</v>
      </c>
    </row>
    <row r="180">
      <c r="A180" s="2">
        <f>IFERROR(__xludf.DUMMYFUNCTION("""COMPUTED_VALUE"""),40756.0)</f>
        <v>40756</v>
      </c>
      <c r="B180" s="1" t="str">
        <f>IFERROR(__xludf.DUMMYFUNCTION("""COMPUTED_VALUE"""),"3.760 €/m2")</f>
        <v>3.760 €/m2</v>
      </c>
      <c r="C180" s="1" t="str">
        <f>IFERROR(__xludf.DUMMYFUNCTION("""COMPUTED_VALUE"""),"- 0,8 %")</f>
        <v>- 0,8 %</v>
      </c>
      <c r="D180" s="1" t="str">
        <f>IFERROR(__xludf.DUMMYFUNCTION("""COMPUTED_VALUE"""),"- 2,5 %")</f>
        <v>- 2,5 %</v>
      </c>
      <c r="E180" s="1" t="str">
        <f>IFERROR(__xludf.DUMMYFUNCTION("""COMPUTED_VALUE"""),"- 5,0 %")</f>
        <v>- 5,0 %</v>
      </c>
    </row>
    <row r="181">
      <c r="A181" s="2">
        <f>IFERROR(__xludf.DUMMYFUNCTION("""COMPUTED_VALUE"""),40725.0)</f>
        <v>40725</v>
      </c>
      <c r="B181" s="1" t="str">
        <f>IFERROR(__xludf.DUMMYFUNCTION("""COMPUTED_VALUE"""),"3.788 €/m2")</f>
        <v>3.788 €/m2</v>
      </c>
      <c r="C181" s="1" t="str">
        <f>IFERROR(__xludf.DUMMYFUNCTION("""COMPUTED_VALUE"""),"- 1,1 %")</f>
        <v>- 1,1 %</v>
      </c>
      <c r="D181" s="1" t="str">
        <f>IFERROR(__xludf.DUMMYFUNCTION("""COMPUTED_VALUE"""),"- 1,9 %")</f>
        <v>- 1,9 %</v>
      </c>
      <c r="E181" s="1" t="str">
        <f>IFERROR(__xludf.DUMMYFUNCTION("""COMPUTED_VALUE"""),"- 5,8 %")</f>
        <v>- 5,8 %</v>
      </c>
    </row>
    <row r="182">
      <c r="A182" s="2">
        <f>IFERROR(__xludf.DUMMYFUNCTION("""COMPUTED_VALUE"""),40695.0)</f>
        <v>40695</v>
      </c>
      <c r="B182" s="1" t="str">
        <f>IFERROR(__xludf.DUMMYFUNCTION("""COMPUTED_VALUE"""),"3.832 €/m2")</f>
        <v>3.832 €/m2</v>
      </c>
      <c r="C182" s="1" t="str">
        <f>IFERROR(__xludf.DUMMYFUNCTION("""COMPUTED_VALUE"""),"- 0,6 %")</f>
        <v>- 0,6 %</v>
      </c>
      <c r="D182" s="1" t="str">
        <f>IFERROR(__xludf.DUMMYFUNCTION("""COMPUTED_VALUE"""),"- 1,3 %")</f>
        <v>- 1,3 %</v>
      </c>
      <c r="E182" s="1" t="str">
        <f>IFERROR(__xludf.DUMMYFUNCTION("""COMPUTED_VALUE"""),"- 5,1 %")</f>
        <v>- 5,1 %</v>
      </c>
    </row>
    <row r="183">
      <c r="A183" s="2">
        <f>IFERROR(__xludf.DUMMYFUNCTION("""COMPUTED_VALUE"""),40664.0)</f>
        <v>40664</v>
      </c>
      <c r="B183" s="1" t="str">
        <f>IFERROR(__xludf.DUMMYFUNCTION("""COMPUTED_VALUE"""),"3.854 €/m2")</f>
        <v>3.854 €/m2</v>
      </c>
      <c r="C183" s="1" t="str">
        <f>IFERROR(__xludf.DUMMYFUNCTION("""COMPUTED_VALUE"""),"- 0,2 %")</f>
        <v>- 0,2 %</v>
      </c>
      <c r="D183" s="1" t="str">
        <f>IFERROR(__xludf.DUMMYFUNCTION("""COMPUTED_VALUE"""),"- 0,8 %")</f>
        <v>- 0,8 %</v>
      </c>
      <c r="E183" s="1" t="str">
        <f>IFERROR(__xludf.DUMMYFUNCTION("""COMPUTED_VALUE"""),"- 4,6 %")</f>
        <v>- 4,6 %</v>
      </c>
    </row>
    <row r="184">
      <c r="A184" s="2">
        <f>IFERROR(__xludf.DUMMYFUNCTION("""COMPUTED_VALUE"""),40634.0)</f>
        <v>40634</v>
      </c>
      <c r="B184" s="1" t="str">
        <f>IFERROR(__xludf.DUMMYFUNCTION("""COMPUTED_VALUE"""),"3.861 €/m2")</f>
        <v>3.861 €/m2</v>
      </c>
      <c r="C184" s="1" t="str">
        <f>IFERROR(__xludf.DUMMYFUNCTION("""COMPUTED_VALUE"""),"- 0,6 %")</f>
        <v>- 0,6 %</v>
      </c>
      <c r="D184" s="1" t="str">
        <f>IFERROR(__xludf.DUMMYFUNCTION("""COMPUTED_VALUE"""),"- 0,5 %")</f>
        <v>- 0,5 %</v>
      </c>
      <c r="E184" s="1" t="str">
        <f>IFERROR(__xludf.DUMMYFUNCTION("""COMPUTED_VALUE"""),"- 5,2 %")</f>
        <v>- 5,2 %</v>
      </c>
    </row>
    <row r="185">
      <c r="A185" s="2">
        <f>IFERROR(__xludf.DUMMYFUNCTION("""COMPUTED_VALUE"""),40603.0)</f>
        <v>40603</v>
      </c>
      <c r="B185" s="1" t="str">
        <f>IFERROR(__xludf.DUMMYFUNCTION("""COMPUTED_VALUE"""),"3.883 €/m2")</f>
        <v>3.883 €/m2</v>
      </c>
      <c r="C185" s="1" t="str">
        <f>IFERROR(__xludf.DUMMYFUNCTION("""COMPUTED_VALUE"""),"0,0 %")</f>
        <v>0,0 %</v>
      </c>
      <c r="D185" s="1" t="str">
        <f>IFERROR(__xludf.DUMMYFUNCTION("""COMPUTED_VALUE"""),"+ 0,3 %")</f>
        <v>+ 0,3 %</v>
      </c>
      <c r="E185" s="1" t="str">
        <f>IFERROR(__xludf.DUMMYFUNCTION("""COMPUTED_VALUE"""),"- 3,3 %")</f>
        <v>- 3,3 %</v>
      </c>
    </row>
    <row r="186">
      <c r="A186" s="2">
        <f>IFERROR(__xludf.DUMMYFUNCTION("""COMPUTED_VALUE"""),40575.0)</f>
        <v>40575</v>
      </c>
      <c r="B186" s="1" t="str">
        <f>IFERROR(__xludf.DUMMYFUNCTION("""COMPUTED_VALUE"""),"3.884 €/m2")</f>
        <v>3.884 €/m2</v>
      </c>
      <c r="C186" s="1" t="str">
        <f>IFERROR(__xludf.DUMMYFUNCTION("""COMPUTED_VALUE"""),"+ 0,1 %")</f>
        <v>+ 0,1 %</v>
      </c>
      <c r="D186" s="1" t="str">
        <f>IFERROR(__xludf.DUMMYFUNCTION("""COMPUTED_VALUE"""),"- 1,0 %")</f>
        <v>- 1,0 %</v>
      </c>
      <c r="E186" s="1" t="str">
        <f>IFERROR(__xludf.DUMMYFUNCTION("""COMPUTED_VALUE"""),"- 2,1 %")</f>
        <v>- 2,1 %</v>
      </c>
    </row>
    <row r="187">
      <c r="A187" s="2">
        <f>IFERROR(__xludf.DUMMYFUNCTION("""COMPUTED_VALUE"""),40544.0)</f>
        <v>40544</v>
      </c>
      <c r="B187" s="1" t="str">
        <f>IFERROR(__xludf.DUMMYFUNCTION("""COMPUTED_VALUE"""),"3.881 €/m2")</f>
        <v>3.881 €/m2</v>
      </c>
      <c r="C187" s="1" t="str">
        <f>IFERROR(__xludf.DUMMYFUNCTION("""COMPUTED_VALUE"""),"+ 0,3 %")</f>
        <v>+ 0,3 %</v>
      </c>
      <c r="D187" s="1" t="str">
        <f>IFERROR(__xludf.DUMMYFUNCTION("""COMPUTED_VALUE"""),"- 2,6 %")</f>
        <v>- 2,6 %</v>
      </c>
      <c r="E187" s="1" t="str">
        <f>IFERROR(__xludf.DUMMYFUNCTION("""COMPUTED_VALUE"""),"- 2,0 %")</f>
        <v>- 2,0 %</v>
      </c>
    </row>
    <row r="188">
      <c r="A188" s="2">
        <f>IFERROR(__xludf.DUMMYFUNCTION("""COMPUTED_VALUE"""),40513.0)</f>
        <v>40513</v>
      </c>
      <c r="B188" s="1" t="str">
        <f>IFERROR(__xludf.DUMMYFUNCTION("""COMPUTED_VALUE"""),"3.871 €/m2")</f>
        <v>3.871 €/m2</v>
      </c>
      <c r="C188" s="1" t="str">
        <f>IFERROR(__xludf.DUMMYFUNCTION("""COMPUTED_VALUE"""),"- 1,3 %")</f>
        <v>- 1,3 %</v>
      </c>
      <c r="D188" s="1" t="str">
        <f>IFERROR(__xludf.DUMMYFUNCTION("""COMPUTED_VALUE"""),"- 2,2 %")</f>
        <v>- 2,2 %</v>
      </c>
      <c r="E188" s="1" t="str">
        <f>IFERROR(__xludf.DUMMYFUNCTION("""COMPUTED_VALUE"""),"- 2,5 %")</f>
        <v>- 2,5 %</v>
      </c>
    </row>
    <row r="189">
      <c r="A189" s="2">
        <f>IFERROR(__xludf.DUMMYFUNCTION("""COMPUTED_VALUE"""),40483.0)</f>
        <v>40483</v>
      </c>
      <c r="B189" s="1" t="str">
        <f>IFERROR(__xludf.DUMMYFUNCTION("""COMPUTED_VALUE"""),"3.922 €/m2")</f>
        <v>3.922 €/m2</v>
      </c>
      <c r="C189" s="1" t="str">
        <f>IFERROR(__xludf.DUMMYFUNCTION("""COMPUTED_VALUE"""),"- 1,6 %")</f>
        <v>- 1,6 %</v>
      </c>
      <c r="D189" s="1" t="str">
        <f>IFERROR(__xludf.DUMMYFUNCTION("""COMPUTED_VALUE"""),"- 0,9 %")</f>
        <v>- 0,9 %</v>
      </c>
      <c r="E189" s="1" t="str">
        <f>IFERROR(__xludf.DUMMYFUNCTION("""COMPUTED_VALUE"""),"- 2,2 %")</f>
        <v>- 2,2 %</v>
      </c>
    </row>
    <row r="190">
      <c r="A190" s="2">
        <f>IFERROR(__xludf.DUMMYFUNCTION("""COMPUTED_VALUE"""),40452.0)</f>
        <v>40452</v>
      </c>
      <c r="B190" s="1" t="str">
        <f>IFERROR(__xludf.DUMMYFUNCTION("""COMPUTED_VALUE"""),"3.986 €/m2")</f>
        <v>3.986 €/m2</v>
      </c>
      <c r="C190" s="1" t="str">
        <f>IFERROR(__xludf.DUMMYFUNCTION("""COMPUTED_VALUE"""),"+ 0,7 %")</f>
        <v>+ 0,7 %</v>
      </c>
      <c r="D190" s="1" t="str">
        <f>IFERROR(__xludf.DUMMYFUNCTION("""COMPUTED_VALUE"""),"- 0,8 %")</f>
        <v>- 0,8 %</v>
      </c>
      <c r="E190" s="1" t="str">
        <f>IFERROR(__xludf.DUMMYFUNCTION("""COMPUTED_VALUE"""),"- 0,6 %")</f>
        <v>- 0,6 %</v>
      </c>
    </row>
    <row r="191">
      <c r="A191" s="2">
        <f>IFERROR(__xludf.DUMMYFUNCTION("""COMPUTED_VALUE"""),40422.0)</f>
        <v>40422</v>
      </c>
      <c r="B191" s="1" t="str">
        <f>IFERROR(__xludf.DUMMYFUNCTION("""COMPUTED_VALUE"""),"3.959 €/m2")</f>
        <v>3.959 €/m2</v>
      </c>
      <c r="C191" s="1" t="str">
        <f>IFERROR(__xludf.DUMMYFUNCTION("""COMPUTED_VALUE"""),"+ 0,1 %")</f>
        <v>+ 0,1 %</v>
      </c>
      <c r="D191" s="1" t="str">
        <f>IFERROR(__xludf.DUMMYFUNCTION("""COMPUTED_VALUE"""),"- 1,9 %")</f>
        <v>- 1,9 %</v>
      </c>
      <c r="E191" s="1" t="str">
        <f>IFERROR(__xludf.DUMMYFUNCTION("""COMPUTED_VALUE"""),"- 1,2 %")</f>
        <v>- 1,2 %</v>
      </c>
    </row>
    <row r="192">
      <c r="A192" s="2">
        <f>IFERROR(__xludf.DUMMYFUNCTION("""COMPUTED_VALUE"""),40391.0)</f>
        <v>40391</v>
      </c>
      <c r="B192" s="1" t="str">
        <f>IFERROR(__xludf.DUMMYFUNCTION("""COMPUTED_VALUE"""),"3.957 €/m2")</f>
        <v>3.957 €/m2</v>
      </c>
      <c r="C192" s="1" t="str">
        <f>IFERROR(__xludf.DUMMYFUNCTION("""COMPUTED_VALUE"""),"- 1,6 %")</f>
        <v>- 1,6 %</v>
      </c>
      <c r="D192" s="1" t="str">
        <f>IFERROR(__xludf.DUMMYFUNCTION("""COMPUTED_VALUE"""),"- 2,1 %")</f>
        <v>- 2,1 %</v>
      </c>
      <c r="E192" s="1" t="str">
        <f>IFERROR(__xludf.DUMMYFUNCTION("""COMPUTED_VALUE"""),"+ 0,5 %")</f>
        <v>+ 0,5 %</v>
      </c>
    </row>
    <row r="193">
      <c r="A193" s="2">
        <f>IFERROR(__xludf.DUMMYFUNCTION("""COMPUTED_VALUE"""),40360.0)</f>
        <v>40360</v>
      </c>
      <c r="B193" s="1" t="str">
        <f>IFERROR(__xludf.DUMMYFUNCTION("""COMPUTED_VALUE"""),"4.019 €/m2")</f>
        <v>4.019 €/m2</v>
      </c>
      <c r="C193" s="1" t="str">
        <f>IFERROR(__xludf.DUMMYFUNCTION("""COMPUTED_VALUE"""),"- 0,4 %")</f>
        <v>- 0,4 %</v>
      </c>
      <c r="D193" s="1" t="str">
        <f>IFERROR(__xludf.DUMMYFUNCTION("""COMPUTED_VALUE"""),"- 1,3 %")</f>
        <v>- 1,3 %</v>
      </c>
      <c r="E193" s="1" t="str">
        <f>IFERROR(__xludf.DUMMYFUNCTION("""COMPUTED_VALUE"""),"+ 1,5 %")</f>
        <v>+ 1,5 %</v>
      </c>
    </row>
    <row r="194">
      <c r="A194" s="2">
        <f>IFERROR(__xludf.DUMMYFUNCTION("""COMPUTED_VALUE"""),40330.0)</f>
        <v>40330</v>
      </c>
      <c r="B194" s="1" t="str">
        <f>IFERROR(__xludf.DUMMYFUNCTION("""COMPUTED_VALUE"""),"4.036 €/m2")</f>
        <v>4.036 €/m2</v>
      </c>
      <c r="C194" s="1" t="str">
        <f>IFERROR(__xludf.DUMMYFUNCTION("""COMPUTED_VALUE"""),"- 0,1 %")</f>
        <v>- 0,1 %</v>
      </c>
      <c r="D194" s="1" t="str">
        <f>IFERROR(__xludf.DUMMYFUNCTION("""COMPUTED_VALUE"""),"+ 0,5 %")</f>
        <v>+ 0,5 %</v>
      </c>
      <c r="E194" s="1" t="str">
        <f>IFERROR(__xludf.DUMMYFUNCTION("""COMPUTED_VALUE"""),"+ 2,0 %")</f>
        <v>+ 2,0 %</v>
      </c>
    </row>
    <row r="195">
      <c r="A195" s="2">
        <f>IFERROR(__xludf.DUMMYFUNCTION("""COMPUTED_VALUE"""),40299.0)</f>
        <v>40299</v>
      </c>
      <c r="B195" s="1" t="str">
        <f>IFERROR(__xludf.DUMMYFUNCTION("""COMPUTED_VALUE"""),"4.041 €/m2")</f>
        <v>4.041 €/m2</v>
      </c>
      <c r="C195" s="1" t="str">
        <f>IFERROR(__xludf.DUMMYFUNCTION("""COMPUTED_VALUE"""),"- 0,7 %")</f>
        <v>- 0,7 %</v>
      </c>
      <c r="D195" s="1" t="str">
        <f>IFERROR(__xludf.DUMMYFUNCTION("""COMPUTED_VALUE"""),"+ 1,8 %")</f>
        <v>+ 1,8 %</v>
      </c>
      <c r="E195" s="1" t="str">
        <f>IFERROR(__xludf.DUMMYFUNCTION("""COMPUTED_VALUE"""),"+ 2,0 %")</f>
        <v>+ 2,0 %</v>
      </c>
    </row>
    <row r="196">
      <c r="A196" s="2">
        <f>IFERROR(__xludf.DUMMYFUNCTION("""COMPUTED_VALUE"""),40269.0)</f>
        <v>40269</v>
      </c>
      <c r="B196" s="1" t="str">
        <f>IFERROR(__xludf.DUMMYFUNCTION("""COMPUTED_VALUE"""),"4.071 €/m2")</f>
        <v>4.071 €/m2</v>
      </c>
      <c r="C196" s="1" t="str">
        <f>IFERROR(__xludf.DUMMYFUNCTION("""COMPUTED_VALUE"""),"+ 1,4 %")</f>
        <v>+ 1,4 %</v>
      </c>
      <c r="D196" s="1" t="str">
        <f>IFERROR(__xludf.DUMMYFUNCTION("""COMPUTED_VALUE"""),"+ 2,8 %")</f>
        <v>+ 2,8 %</v>
      </c>
      <c r="E196" s="1" t="str">
        <f>IFERROR(__xludf.DUMMYFUNCTION("""COMPUTED_VALUE"""),"- 1,5 %")</f>
        <v>- 1,5 %</v>
      </c>
    </row>
    <row r="197">
      <c r="A197" s="2">
        <f>IFERROR(__xludf.DUMMYFUNCTION("""COMPUTED_VALUE"""),40238.0)</f>
        <v>40238</v>
      </c>
      <c r="B197" s="1" t="str">
        <f>IFERROR(__xludf.DUMMYFUNCTION("""COMPUTED_VALUE"""),"4.015 €/m2")</f>
        <v>4.015 €/m2</v>
      </c>
      <c r="C197" s="1" t="str">
        <f>IFERROR(__xludf.DUMMYFUNCTION("""COMPUTED_VALUE"""),"+ 1,2 %")</f>
        <v>+ 1,2 %</v>
      </c>
      <c r="D197" s="1" t="str">
        <f>IFERROR(__xludf.DUMMYFUNCTION("""COMPUTED_VALUE"""),"+ 1,1 %")</f>
        <v>+ 1,1 %</v>
      </c>
      <c r="E197" s="1" t="str">
        <f>IFERROR(__xludf.DUMMYFUNCTION("""COMPUTED_VALUE"""),"- 3,1 %")</f>
        <v>- 3,1 %</v>
      </c>
    </row>
    <row r="198">
      <c r="A198" s="2">
        <f>IFERROR(__xludf.DUMMYFUNCTION("""COMPUTED_VALUE"""),40210.0)</f>
        <v>40210</v>
      </c>
      <c r="B198" s="1" t="str">
        <f>IFERROR(__xludf.DUMMYFUNCTION("""COMPUTED_VALUE"""),"3.968 €/m2")</f>
        <v>3.968 €/m2</v>
      </c>
      <c r="C198" s="1" t="str">
        <f>IFERROR(__xludf.DUMMYFUNCTION("""COMPUTED_VALUE"""),"+ 0,2 %")</f>
        <v>+ 0,2 %</v>
      </c>
      <c r="D198" s="1" t="str">
        <f>IFERROR(__xludf.DUMMYFUNCTION("""COMPUTED_VALUE"""),"- 1,0 %")</f>
        <v>- 1,0 %</v>
      </c>
      <c r="E198" s="1" t="str">
        <f>IFERROR(__xludf.DUMMYFUNCTION("""COMPUTED_VALUE"""),"- 1,1 %")</f>
        <v>- 1,1 %</v>
      </c>
    </row>
    <row r="199">
      <c r="A199" s="2">
        <f>IFERROR(__xludf.DUMMYFUNCTION("""COMPUTED_VALUE"""),40179.0)</f>
        <v>40179</v>
      </c>
      <c r="B199" s="1" t="str">
        <f>IFERROR(__xludf.DUMMYFUNCTION("""COMPUTED_VALUE"""),"3.959 €/m2")</f>
        <v>3.959 €/m2</v>
      </c>
      <c r="C199" s="1" t="str">
        <f>IFERROR(__xludf.DUMMYFUNCTION("""COMPUTED_VALUE"""),"- 0,3 %")</f>
        <v>- 0,3 %</v>
      </c>
      <c r="D199" s="1" t="str">
        <f>IFERROR(__xludf.DUMMYFUNCTION("""COMPUTED_VALUE"""),"- 1,2 %")</f>
        <v>- 1,2 %</v>
      </c>
      <c r="E199" s="1" t="str">
        <f>IFERROR(__xludf.DUMMYFUNCTION("""COMPUTED_VALUE"""),"- 0,8 %")</f>
        <v>- 0,8 %</v>
      </c>
    </row>
    <row r="200">
      <c r="A200" s="2">
        <f>IFERROR(__xludf.DUMMYFUNCTION("""COMPUTED_VALUE"""),40148.0)</f>
        <v>40148</v>
      </c>
      <c r="B200" s="1" t="str">
        <f>IFERROR(__xludf.DUMMYFUNCTION("""COMPUTED_VALUE"""),"3.971 €/m2")</f>
        <v>3.971 €/m2</v>
      </c>
      <c r="C200" s="1" t="str">
        <f>IFERROR(__xludf.DUMMYFUNCTION("""COMPUTED_VALUE"""),"- 0,9 %")</f>
        <v>- 0,9 %</v>
      </c>
      <c r="D200" s="1" t="str">
        <f>IFERROR(__xludf.DUMMYFUNCTION("""COMPUTED_VALUE"""),"- 0,9 %")</f>
        <v>- 0,9 %</v>
      </c>
      <c r="E200" s="1" t="str">
        <f>IFERROR(__xludf.DUMMYFUNCTION("""COMPUTED_VALUE"""),"- 5,0 %")</f>
        <v>- 5,0 %</v>
      </c>
    </row>
    <row r="201">
      <c r="A201" s="2">
        <f>IFERROR(__xludf.DUMMYFUNCTION("""COMPUTED_VALUE"""),40118.0)</f>
        <v>40118</v>
      </c>
      <c r="B201" s="1" t="str">
        <f>IFERROR(__xludf.DUMMYFUNCTION("""COMPUTED_VALUE"""),"4.008 €/m2")</f>
        <v>4.008 €/m2</v>
      </c>
      <c r="C201" s="1" t="str">
        <f>IFERROR(__xludf.DUMMYFUNCTION("""COMPUTED_VALUE"""),"0,0 %")</f>
        <v>0,0 %</v>
      </c>
      <c r="D201" s="1" t="str">
        <f>IFERROR(__xludf.DUMMYFUNCTION("""COMPUTED_VALUE"""),"+ 1,8 %")</f>
        <v>+ 1,8 %</v>
      </c>
      <c r="E201" s="1" t="str">
        <f>IFERROR(__xludf.DUMMYFUNCTION("""COMPUTED_VALUE"""),"- 4,2 %")</f>
        <v>- 4,2 %</v>
      </c>
    </row>
    <row r="202">
      <c r="A202" s="2">
        <f>IFERROR(__xludf.DUMMYFUNCTION("""COMPUTED_VALUE"""),40087.0)</f>
        <v>40087</v>
      </c>
      <c r="B202" s="1" t="str">
        <f>IFERROR(__xludf.DUMMYFUNCTION("""COMPUTED_VALUE"""),"4.008 €/m2")</f>
        <v>4.008 €/m2</v>
      </c>
      <c r="C202" s="1" t="str">
        <f>IFERROR(__xludf.DUMMYFUNCTION("""COMPUTED_VALUE"""),"0,0 %")</f>
        <v>0,0 %</v>
      </c>
      <c r="D202" s="1" t="str">
        <f>IFERROR(__xludf.DUMMYFUNCTION("""COMPUTED_VALUE"""),"+ 1,3 %")</f>
        <v>+ 1,3 %</v>
      </c>
      <c r="E202" s="1" t="str">
        <f>IFERROR(__xludf.DUMMYFUNCTION("""COMPUTED_VALUE"""),"- 6,5 %")</f>
        <v>- 6,5 %</v>
      </c>
    </row>
    <row r="203">
      <c r="A203" s="2">
        <f>IFERROR(__xludf.DUMMYFUNCTION("""COMPUTED_VALUE"""),40057.0)</f>
        <v>40057</v>
      </c>
      <c r="B203" s="1" t="str">
        <f>IFERROR(__xludf.DUMMYFUNCTION("""COMPUTED_VALUE"""),"4.009 €/m2")</f>
        <v>4.009 €/m2</v>
      </c>
      <c r="C203" s="1" t="str">
        <f>IFERROR(__xludf.DUMMYFUNCTION("""COMPUTED_VALUE"""),"+ 1,8 %")</f>
        <v>+ 1,8 %</v>
      </c>
      <c r="D203" s="1" t="str">
        <f>IFERROR(__xludf.DUMMYFUNCTION("""COMPUTED_VALUE"""),"+ 1,3 %")</f>
        <v>+ 1,3 %</v>
      </c>
      <c r="E203" s="1" t="str">
        <f>IFERROR(__xludf.DUMMYFUNCTION("""COMPUTED_VALUE"""),"- 8,1 %")</f>
        <v>- 8,1 %</v>
      </c>
    </row>
    <row r="204">
      <c r="A204" s="2">
        <f>IFERROR(__xludf.DUMMYFUNCTION("""COMPUTED_VALUE"""),40026.0)</f>
        <v>40026</v>
      </c>
      <c r="B204" s="1" t="str">
        <f>IFERROR(__xludf.DUMMYFUNCTION("""COMPUTED_VALUE"""),"3.936 €/m2")</f>
        <v>3.936 €/m2</v>
      </c>
      <c r="C204" s="1" t="str">
        <f>IFERROR(__xludf.DUMMYFUNCTION("""COMPUTED_VALUE"""),"- 0,6 %")</f>
        <v>- 0,6 %</v>
      </c>
      <c r="D204" s="1" t="str">
        <f>IFERROR(__xludf.DUMMYFUNCTION("""COMPUTED_VALUE"""),"- 0,7 %")</f>
        <v>- 0,7 %</v>
      </c>
      <c r="E204" s="1" t="str">
        <f>IFERROR(__xludf.DUMMYFUNCTION("""COMPUTED_VALUE"""),"- 9,5 %")</f>
        <v>- 9,5 %</v>
      </c>
    </row>
    <row r="205">
      <c r="A205" s="2">
        <f>IFERROR(__xludf.DUMMYFUNCTION("""COMPUTED_VALUE"""),39995.0)</f>
        <v>39995</v>
      </c>
      <c r="B205" s="1" t="str">
        <f>IFERROR(__xludf.DUMMYFUNCTION("""COMPUTED_VALUE"""),"3.958 €/m2")</f>
        <v>3.958 €/m2</v>
      </c>
      <c r="C205" s="1" t="str">
        <f>IFERROR(__xludf.DUMMYFUNCTION("""COMPUTED_VALUE"""),"+ 0,1 %")</f>
        <v>+ 0,1 %</v>
      </c>
      <c r="D205" s="1" t="str">
        <f>IFERROR(__xludf.DUMMYFUNCTION("""COMPUTED_VALUE"""),"- 4,2 %")</f>
        <v>- 4,2 %</v>
      </c>
      <c r="E205" s="1" t="str">
        <f>IFERROR(__xludf.DUMMYFUNCTION("""COMPUTED_VALUE"""),"- 7,0 %")</f>
        <v>- 7,0 %</v>
      </c>
    </row>
    <row r="206">
      <c r="A206" s="2">
        <f>IFERROR(__xludf.DUMMYFUNCTION("""COMPUTED_VALUE"""),39965.0)</f>
        <v>39965</v>
      </c>
      <c r="B206" s="1" t="str">
        <f>IFERROR(__xludf.DUMMYFUNCTION("""COMPUTED_VALUE"""),"3.956 €/m2")</f>
        <v>3.956 €/m2</v>
      </c>
      <c r="C206" s="1" t="str">
        <f>IFERROR(__xludf.DUMMYFUNCTION("""COMPUTED_VALUE"""),"- 0,2 %")</f>
        <v>- 0,2 %</v>
      </c>
      <c r="D206" s="1" t="str">
        <f>IFERROR(__xludf.DUMMYFUNCTION("""COMPUTED_VALUE"""),"- 4,5 %")</f>
        <v>- 4,5 %</v>
      </c>
      <c r="E206" s="1" t="str">
        <f>IFERROR(__xludf.DUMMYFUNCTION("""COMPUTED_VALUE"""),"- 7,6 %")</f>
        <v>- 7,6 %</v>
      </c>
    </row>
    <row r="207">
      <c r="A207" s="2">
        <f>IFERROR(__xludf.DUMMYFUNCTION("""COMPUTED_VALUE"""),39934.0)</f>
        <v>39934</v>
      </c>
      <c r="B207" s="1" t="str">
        <f>IFERROR(__xludf.DUMMYFUNCTION("""COMPUTED_VALUE"""),"3.962 €/m2")</f>
        <v>3.962 €/m2</v>
      </c>
      <c r="C207" s="1" t="str">
        <f>IFERROR(__xludf.DUMMYFUNCTION("""COMPUTED_VALUE"""),"- 4,2 %")</f>
        <v>- 4,2 %</v>
      </c>
      <c r="D207" s="1" t="str">
        <f>IFERROR(__xludf.DUMMYFUNCTION("""COMPUTED_VALUE"""),"- 1,3 %")</f>
        <v>- 1,3 %</v>
      </c>
      <c r="E207" s="1" t="str">
        <f>IFERROR(__xludf.DUMMYFUNCTION("""COMPUTED_VALUE"""),"- 7,5 %")</f>
        <v>- 7,5 %</v>
      </c>
    </row>
    <row r="208">
      <c r="A208" s="2">
        <f>IFERROR(__xludf.DUMMYFUNCTION("""COMPUTED_VALUE"""),39904.0)</f>
        <v>39904</v>
      </c>
      <c r="B208" s="1" t="str">
        <f>IFERROR(__xludf.DUMMYFUNCTION("""COMPUTED_VALUE"""),"4.134 €/m2")</f>
        <v>4.134 €/m2</v>
      </c>
      <c r="C208" s="1" t="str">
        <f>IFERROR(__xludf.DUMMYFUNCTION("""COMPUTED_VALUE"""),"- 0,2 %")</f>
        <v>- 0,2 %</v>
      </c>
      <c r="D208" s="1" t="str">
        <f>IFERROR(__xludf.DUMMYFUNCTION("""COMPUTED_VALUE"""),"+ 3,6 %")</f>
        <v>+ 3,6 %</v>
      </c>
      <c r="E208" s="1" t="str">
        <f>IFERROR(__xludf.DUMMYFUNCTION("""COMPUTED_VALUE"""),"- 4,7 %")</f>
        <v>- 4,7 %</v>
      </c>
    </row>
    <row r="209">
      <c r="A209" s="2">
        <f>IFERROR(__xludf.DUMMYFUNCTION("""COMPUTED_VALUE"""),39873.0)</f>
        <v>39873</v>
      </c>
      <c r="B209" s="1" t="str">
        <f>IFERROR(__xludf.DUMMYFUNCTION("""COMPUTED_VALUE"""),"4.143 €/m2")</f>
        <v>4.143 €/m2</v>
      </c>
      <c r="C209" s="1" t="str">
        <f>IFERROR(__xludf.DUMMYFUNCTION("""COMPUTED_VALUE"""),"+ 3,3 %")</f>
        <v>+ 3,3 %</v>
      </c>
      <c r="D209" s="1" t="str">
        <f>IFERROR(__xludf.DUMMYFUNCTION("""COMPUTED_VALUE"""),"- 0,9 %")</f>
        <v>- 0,9 %</v>
      </c>
      <c r="E209" s="1" t="str">
        <f>IFERROR(__xludf.DUMMYFUNCTION("""COMPUTED_VALUE"""),"- 6,4 %")</f>
        <v>- 6,4 %</v>
      </c>
    </row>
    <row r="210">
      <c r="A210" s="2">
        <f>IFERROR(__xludf.DUMMYFUNCTION("""COMPUTED_VALUE"""),39845.0)</f>
        <v>39845</v>
      </c>
      <c r="B210" s="1" t="str">
        <f>IFERROR(__xludf.DUMMYFUNCTION("""COMPUTED_VALUE"""),"4.013 €/m2")</f>
        <v>4.013 €/m2</v>
      </c>
      <c r="C210" s="1" t="str">
        <f>IFERROR(__xludf.DUMMYFUNCTION("""COMPUTED_VALUE"""),"+ 0,5 %")</f>
        <v>+ 0,5 %</v>
      </c>
      <c r="D210" s="1" t="str">
        <f>IFERROR(__xludf.DUMMYFUNCTION("""COMPUTED_VALUE"""),"- 4,1 %")</f>
        <v>- 4,1 %</v>
      </c>
      <c r="E210" s="1" t="str">
        <f>IFERROR(__xludf.DUMMYFUNCTION("""COMPUTED_VALUE"""),"n.d.")</f>
        <v>n.d.</v>
      </c>
    </row>
    <row r="211">
      <c r="A211" s="2">
        <f>IFERROR(__xludf.DUMMYFUNCTION("""COMPUTED_VALUE"""),39814.0)</f>
        <v>39814</v>
      </c>
      <c r="B211" s="1" t="str">
        <f>IFERROR(__xludf.DUMMYFUNCTION("""COMPUTED_VALUE"""),"3.992 €/m2")</f>
        <v>3.992 €/m2</v>
      </c>
      <c r="C211" s="1" t="str">
        <f>IFERROR(__xludf.DUMMYFUNCTION("""COMPUTED_VALUE"""),"- 4,5 %")</f>
        <v>- 4,5 %</v>
      </c>
      <c r="D211" s="1" t="str">
        <f>IFERROR(__xludf.DUMMYFUNCTION("""COMPUTED_VALUE"""),"- 6,9 %")</f>
        <v>- 6,9 %</v>
      </c>
      <c r="E211" s="1" t="str">
        <f>IFERROR(__xludf.DUMMYFUNCTION("""COMPUTED_VALUE"""),"n.d.")</f>
        <v>n.d.</v>
      </c>
    </row>
    <row r="212">
      <c r="A212" s="2">
        <f>IFERROR(__xludf.DUMMYFUNCTION("""COMPUTED_VALUE"""),39783.0)</f>
        <v>39783</v>
      </c>
      <c r="B212" s="1" t="str">
        <f>IFERROR(__xludf.DUMMYFUNCTION("""COMPUTED_VALUE"""),"4.181 €/m2")</f>
        <v>4.181 €/m2</v>
      </c>
      <c r="C212" s="1" t="str">
        <f>IFERROR(__xludf.DUMMYFUNCTION("""COMPUTED_VALUE"""),"- 0,1 %")</f>
        <v>- 0,1 %</v>
      </c>
      <c r="D212" s="1" t="str">
        <f>IFERROR(__xludf.DUMMYFUNCTION("""COMPUTED_VALUE"""),"- 4,2 %")</f>
        <v>- 4,2 %</v>
      </c>
      <c r="E212" s="1" t="str">
        <f>IFERROR(__xludf.DUMMYFUNCTION("""COMPUTED_VALUE"""),"n.d.")</f>
        <v>n.d.</v>
      </c>
    </row>
    <row r="213">
      <c r="A213" s="2">
        <f>IFERROR(__xludf.DUMMYFUNCTION("""COMPUTED_VALUE"""),39753.0)</f>
        <v>39753</v>
      </c>
      <c r="B213" s="1" t="str">
        <f>IFERROR(__xludf.DUMMYFUNCTION("""COMPUTED_VALUE"""),"4.186 €/m2")</f>
        <v>4.186 €/m2</v>
      </c>
      <c r="C213" s="1" t="str">
        <f>IFERROR(__xludf.DUMMYFUNCTION("""COMPUTED_VALUE"""),"- 2,4 %")</f>
        <v>- 2,4 %</v>
      </c>
      <c r="D213" s="1" t="str">
        <f>IFERROR(__xludf.DUMMYFUNCTION("""COMPUTED_VALUE"""),"- 3,8 %")</f>
        <v>- 3,8 %</v>
      </c>
      <c r="E213" s="1" t="str">
        <f>IFERROR(__xludf.DUMMYFUNCTION("""COMPUTED_VALUE"""),"n.d.")</f>
        <v>n.d.</v>
      </c>
    </row>
    <row r="214">
      <c r="A214" s="2">
        <f>IFERROR(__xludf.DUMMYFUNCTION("""COMPUTED_VALUE"""),39722.0)</f>
        <v>39722</v>
      </c>
      <c r="B214" s="1" t="str">
        <f>IFERROR(__xludf.DUMMYFUNCTION("""COMPUTED_VALUE"""),"4.287 €/m2")</f>
        <v>4.287 €/m2</v>
      </c>
      <c r="C214" s="1" t="str">
        <f>IFERROR(__xludf.DUMMYFUNCTION("""COMPUTED_VALUE"""),"- 1,7 %")</f>
        <v>- 1,7 %</v>
      </c>
      <c r="D214" s="1" t="str">
        <f>IFERROR(__xludf.DUMMYFUNCTION("""COMPUTED_VALUE"""),"+ 0,7 %")</f>
        <v>+ 0,7 %</v>
      </c>
      <c r="E214" s="1" t="str">
        <f>IFERROR(__xludf.DUMMYFUNCTION("""COMPUTED_VALUE"""),"n.d.")</f>
        <v>n.d.</v>
      </c>
    </row>
    <row r="215">
      <c r="A215" s="2">
        <f>IFERROR(__xludf.DUMMYFUNCTION("""COMPUTED_VALUE"""),39692.0)</f>
        <v>39692</v>
      </c>
      <c r="B215" s="1" t="str">
        <f>IFERROR(__xludf.DUMMYFUNCTION("""COMPUTED_VALUE"""),"4.362 €/m2")</f>
        <v>4.362 €/m2</v>
      </c>
      <c r="C215" s="1" t="str">
        <f>IFERROR(__xludf.DUMMYFUNCTION("""COMPUTED_VALUE"""),"+ 0,3 %")</f>
        <v>+ 0,3 %</v>
      </c>
      <c r="D215" s="1" t="str">
        <f>IFERROR(__xludf.DUMMYFUNCTION("""COMPUTED_VALUE"""),"+ 1,9 %")</f>
        <v>+ 1,9 %</v>
      </c>
      <c r="E215" s="1" t="str">
        <f>IFERROR(__xludf.DUMMYFUNCTION("""COMPUTED_VALUE"""),"n.d.")</f>
        <v>n.d.</v>
      </c>
    </row>
    <row r="216">
      <c r="A216" s="2">
        <f>IFERROR(__xludf.DUMMYFUNCTION("""COMPUTED_VALUE"""),39661.0)</f>
        <v>39661</v>
      </c>
      <c r="B216" s="1" t="str">
        <f>IFERROR(__xludf.DUMMYFUNCTION("""COMPUTED_VALUE"""),"4.349 €/m2")</f>
        <v>4.349 €/m2</v>
      </c>
      <c r="C216" s="1" t="str">
        <f>IFERROR(__xludf.DUMMYFUNCTION("""COMPUTED_VALUE"""),"+ 2,1 %")</f>
        <v>+ 2,1 %</v>
      </c>
      <c r="D216" s="1" t="str">
        <f>IFERROR(__xludf.DUMMYFUNCTION("""COMPUTED_VALUE"""),"+ 1,6 %")</f>
        <v>+ 1,6 %</v>
      </c>
      <c r="E216" s="1" t="str">
        <f>IFERROR(__xludf.DUMMYFUNCTION("""COMPUTED_VALUE"""),"n.d.")</f>
        <v>n.d.</v>
      </c>
    </row>
    <row r="217">
      <c r="A217" s="2">
        <f>IFERROR(__xludf.DUMMYFUNCTION("""COMPUTED_VALUE"""),39630.0)</f>
        <v>39630</v>
      </c>
      <c r="B217" s="1" t="str">
        <f>IFERROR(__xludf.DUMMYFUNCTION("""COMPUTED_VALUE"""),"4.258 €/m2")</f>
        <v>4.258 €/m2</v>
      </c>
      <c r="C217" s="1" t="str">
        <f>IFERROR(__xludf.DUMMYFUNCTION("""COMPUTED_VALUE"""),"- 0,6 %")</f>
        <v>- 0,6 %</v>
      </c>
      <c r="D217" s="1" t="str">
        <f>IFERROR(__xludf.DUMMYFUNCTION("""COMPUTED_VALUE"""),"- 1,8 %")</f>
        <v>- 1,8 %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IFERROR(__xludf.DUMMYFUNCTION("""COMPUTED_VALUE"""),"4.282 €/m2")</f>
        <v>4.282 €/m2</v>
      </c>
      <c r="C218" s="1" t="str">
        <f>IFERROR(__xludf.DUMMYFUNCTION("""COMPUTED_VALUE"""),"n.d.")</f>
        <v>n.d.</v>
      </c>
      <c r="D218" s="1" t="str">
        <f>IFERROR(__xludf.DUMMYFUNCTION("""COMPUTED_VALUE"""),"- 3,3 %")</f>
        <v>- 3,3 %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IFERROR(__xludf.DUMMYFUNCTION("""COMPUTED_VALUE"""),"4.282 €/m2")</f>
        <v>4.282 €/m2</v>
      </c>
      <c r="C219" s="1" t="str">
        <f>IFERROR(__xludf.DUMMYFUNCTION("""COMPUTED_VALUE"""),"- 1,3 %")</f>
        <v>- 1,3 %</v>
      </c>
      <c r="D219" s="1" t="str">
        <f>IFERROR(__xludf.DUMMYFUNCTION("""COMPUTED_VALUE"""),"n.d.")</f>
        <v>n.d.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IFERROR(__xludf.DUMMYFUNCTION("""COMPUTED_VALUE"""),"4.337 €/m2")</f>
        <v>4.337 €/m2</v>
      </c>
      <c r="C220" s="1" t="str">
        <f>IFERROR(__xludf.DUMMYFUNCTION("""COMPUTED_VALUE"""),"- 2,0 %")</f>
        <v>- 2,0 %</v>
      </c>
      <c r="D220" s="1" t="str">
        <f>IFERROR(__xludf.DUMMYFUNCTION("""COMPUTED_VALUE"""),"n.d.")</f>
        <v>n.d.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IFERROR(__xludf.DUMMYFUNCTION("""COMPUTED_VALUE"""),"4.427 €/m2")</f>
        <v>4.427 €/m2</v>
      </c>
      <c r="C221" s="1" t="str">
        <f>IFERROR(__xludf.DUMMYFUNCTION("""COMPUTED_VALUE"""),"n.d.")</f>
        <v>n.d.</v>
      </c>
      <c r="D221" s="1" t="str">
        <f>IFERROR(__xludf.DUMMYFUNCTION("""COMPUTED_VALUE"""),"n.d.")</f>
        <v>n.d.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IFERROR(__xludf.DUMMYFUNCTION("""COMPUTED_VALUE"""),"n.d.")</f>
        <v>n.d.</v>
      </c>
      <c r="C222" s="1" t="str">
        <f>IFERROR(__xludf.DUMMYFUNCTION("""COMPUTED_VALUE"""),"n.d.")</f>
        <v>n.d.</v>
      </c>
      <c r="D222" s="1" t="str">
        <f>IFERROR(__xludf.DUMMYFUNCTION("""COMPUTED_VALUE"""),"n.d.")</f>
        <v>n.d.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IFERROR(__xludf.DUMMYFUNCTION("""COMPUTED_VALUE"""),"n.d.")</f>
        <v>n.d.</v>
      </c>
      <c r="C223" s="1" t="str">
        <f>IFERROR(__xludf.DUMMYFUNCTION("""COMPUTED_VALUE"""),"n.d.")</f>
        <v>n.d.</v>
      </c>
      <c r="D223" s="1" t="str">
        <f>IFERROR(__xludf.DUMMYFUNCTION("""COMPUTED_VALUE"""),"n.d.")</f>
        <v>n.d.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IFERROR(__xludf.DUMMYFUNCTION("""COMPUTED_VALUE"""),"n.d.")</f>
        <v>n.d.</v>
      </c>
      <c r="C224" s="1" t="str">
        <f>IFERROR(__xludf.DUMMYFUNCTION("""COMPUTED_VALUE"""),"n.d.")</f>
        <v>n.d.</v>
      </c>
      <c r="D224" s="1" t="str">
        <f>IFERROR(__xludf.DUMMYFUNCTION("""COMPUTED_VALUE"""),"n.d.")</f>
        <v>n.d.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IFERROR(__xludf.DUMMYFUNCTION("""COMPUTED_VALUE"""),"n.d.")</f>
        <v>n.d.</v>
      </c>
      <c r="C225" s="1" t="str">
        <f>IFERROR(__xludf.DUMMYFUNCTION("""COMPUTED_VALUE"""),"n.d.")</f>
        <v>n.d.</v>
      </c>
      <c r="D225" s="1" t="str">
        <f>IFERROR(__xludf.DUMMYFUNCTION("""COMPUTED_VALUE"""),"n.d.")</f>
        <v>n.d.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IFERROR(__xludf.DUMMYFUNCTION("""COMPUTED_VALUE"""),"n.d.")</f>
        <v>n.d.</v>
      </c>
      <c r="C226" s="1" t="str">
        <f>IFERROR(__xludf.DUMMYFUNCTION("""COMPUTED_VALUE"""),"n.d.")</f>
        <v>n.d.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IFERROR(__xludf.DUMMYFUNCTION("""COMPUTED_VALUE"""),"n.d.")</f>
        <v>n.d.</v>
      </c>
      <c r="C227" s="1" t="str">
        <f>IFERROR(__xludf.DUMMYFUNCTION("""COMPUTED_VALUE"""),"n.d.")</f>
        <v>n.d.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IFERROR(__xludf.DUMMYFUNCTION("""COMPUTED_VALUE"""),"n.d.")</f>
        <v>n.d.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IFERROR(__xludf.DUMMYFUNCTION("IMPORTHTML(""https://www.idealista.com/sala-de-prensa/informes-precio-vivienda/venta/madrid-comunidad/madrid-provincia/madrid/salamanca/historico/"",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IFERROR(__xludf.DUMMYFUNCTION("""COMPUTED_VALUE"""),"9.988 €/m2")</f>
        <v>9.988 €/m2</v>
      </c>
      <c r="C2" s="1" t="str">
        <f>IFERROR(__xludf.DUMMYFUNCTION("""COMPUTED_VALUE"""),"- 1,1 %")</f>
        <v>- 1,1 %</v>
      </c>
      <c r="D2" s="1" t="str">
        <f>IFERROR(__xludf.DUMMYFUNCTION("""COMPUTED_VALUE"""),"- 1,9 %")</f>
        <v>- 1,9 %</v>
      </c>
      <c r="E2" s="1" t="str">
        <f>IFERROR(__xludf.DUMMYFUNCTION("""COMPUTED_VALUE"""),"+ 1,7 %")</f>
        <v>+ 1,7 %</v>
      </c>
    </row>
    <row r="3">
      <c r="A3" s="2">
        <f>IFERROR(__xludf.DUMMYFUNCTION("""COMPUTED_VALUE"""),46143.0)</f>
        <v>46143</v>
      </c>
      <c r="B3" s="1" t="str">
        <f>IFERROR(__xludf.DUMMYFUNCTION("""COMPUTED_VALUE"""),"10.099 €/m2")</f>
        <v>10.099 €/m2</v>
      </c>
      <c r="C3" s="1" t="str">
        <f>IFERROR(__xludf.DUMMYFUNCTION("""COMPUTED_VALUE"""),"- 0,9 %")</f>
        <v>- 0,9 %</v>
      </c>
      <c r="D3" s="1" t="str">
        <f>IFERROR(__xludf.DUMMYFUNCTION("""COMPUTED_VALUE"""),"+ 1,0 %")</f>
        <v>+ 1,0 %</v>
      </c>
      <c r="E3" s="1" t="str">
        <f>IFERROR(__xludf.DUMMYFUNCTION("""COMPUTED_VALUE"""),"+ 4,2 %")</f>
        <v>+ 4,2 %</v>
      </c>
    </row>
    <row r="4">
      <c r="A4" s="2">
        <f>IFERROR(__xludf.DUMMYFUNCTION("""COMPUTED_VALUE"""),46113.0)</f>
        <v>46113</v>
      </c>
      <c r="B4" s="1" t="str">
        <f>IFERROR(__xludf.DUMMYFUNCTION("""COMPUTED_VALUE"""),"10.189 €/m2")</f>
        <v>10.189 €/m2</v>
      </c>
      <c r="C4" s="1" t="str">
        <f>IFERROR(__xludf.DUMMYFUNCTION("""COMPUTED_VALUE"""),"+ 0,1 %")</f>
        <v>+ 0,1 %</v>
      </c>
      <c r="D4" s="1" t="str">
        <f>IFERROR(__xludf.DUMMYFUNCTION("""COMPUTED_VALUE"""),"+ 2,2 %")</f>
        <v>+ 2,2 %</v>
      </c>
      <c r="E4" s="1" t="str">
        <f>IFERROR(__xludf.DUMMYFUNCTION("""COMPUTED_VALUE"""),"+ 6,3 %")</f>
        <v>+ 6,3 %</v>
      </c>
    </row>
    <row r="5">
      <c r="A5" s="2">
        <f>IFERROR(__xludf.DUMMYFUNCTION("""COMPUTED_VALUE"""),46082.0)</f>
        <v>46082</v>
      </c>
      <c r="B5" s="1" t="str">
        <f>IFERROR(__xludf.DUMMYFUNCTION("""COMPUTED_VALUE"""),"10.179 €/m2")</f>
        <v>10.179 €/m2</v>
      </c>
      <c r="C5" s="1" t="str">
        <f>IFERROR(__xludf.DUMMYFUNCTION("""COMPUTED_VALUE"""),"+ 1,8 %")</f>
        <v>+ 1,8 %</v>
      </c>
      <c r="D5" s="1" t="str">
        <f>IFERROR(__xludf.DUMMYFUNCTION("""COMPUTED_VALUE"""),"+ 1,9 %")</f>
        <v>+ 1,9 %</v>
      </c>
      <c r="E5" s="1" t="str">
        <f>IFERROR(__xludf.DUMMYFUNCTION("""COMPUTED_VALUE"""),"+ 8,6 %")</f>
        <v>+ 8,6 %</v>
      </c>
    </row>
    <row r="6">
      <c r="A6" s="2">
        <f>IFERROR(__xludf.DUMMYFUNCTION("""COMPUTED_VALUE"""),46054.0)</f>
        <v>46054</v>
      </c>
      <c r="B6" s="1" t="str">
        <f>IFERROR(__xludf.DUMMYFUNCTION("""COMPUTED_VALUE"""),"10.001 €/m2")</f>
        <v>10.001 €/m2</v>
      </c>
      <c r="C6" s="1" t="str">
        <f>IFERROR(__xludf.DUMMYFUNCTION("""COMPUTED_VALUE"""),"+ 0,3 %")</f>
        <v>+ 0,3 %</v>
      </c>
      <c r="D6" s="1" t="str">
        <f>IFERROR(__xludf.DUMMYFUNCTION("""COMPUTED_VALUE"""),"+ 0,5 %")</f>
        <v>+ 0,5 %</v>
      </c>
      <c r="E6" s="1" t="str">
        <f>IFERROR(__xludf.DUMMYFUNCTION("""COMPUTED_VALUE"""),"+ 10,3 %")</f>
        <v>+ 10,3 %</v>
      </c>
    </row>
    <row r="7">
      <c r="A7" s="2">
        <f>IFERROR(__xludf.DUMMYFUNCTION("""COMPUTED_VALUE"""),46023.0)</f>
        <v>46023</v>
      </c>
      <c r="B7" s="1" t="str">
        <f>IFERROR(__xludf.DUMMYFUNCTION("""COMPUTED_VALUE"""),"9.968 €/m2")</f>
        <v>9.968 €/m2</v>
      </c>
      <c r="C7" s="1" t="str">
        <f>IFERROR(__xludf.DUMMYFUNCTION("""COMPUTED_VALUE"""),"- 0,3 %")</f>
        <v>- 0,3 %</v>
      </c>
      <c r="D7" s="1" t="str">
        <f>IFERROR(__xludf.DUMMYFUNCTION("""COMPUTED_VALUE"""),"+ 2,2 %")</f>
        <v>+ 2,2 %</v>
      </c>
      <c r="E7" s="1" t="str">
        <f>IFERROR(__xludf.DUMMYFUNCTION("""COMPUTED_VALUE"""),"+ 10,8 %")</f>
        <v>+ 10,8 %</v>
      </c>
    </row>
    <row r="8">
      <c r="A8" s="2">
        <f>IFERROR(__xludf.DUMMYFUNCTION("""COMPUTED_VALUE"""),45992.0)</f>
        <v>45992</v>
      </c>
      <c r="B8" s="1" t="str">
        <f>IFERROR(__xludf.DUMMYFUNCTION("""COMPUTED_VALUE"""),"9.993 €/m2")</f>
        <v>9.993 €/m2</v>
      </c>
      <c r="C8" s="1" t="str">
        <f>IFERROR(__xludf.DUMMYFUNCTION("""COMPUTED_VALUE"""),"+ 0,4 %")</f>
        <v>+ 0,4 %</v>
      </c>
      <c r="D8" s="1" t="str">
        <f>IFERROR(__xludf.DUMMYFUNCTION("""COMPUTED_VALUE"""),"+ 3,0 %")</f>
        <v>+ 3,0 %</v>
      </c>
      <c r="E8" s="1" t="str">
        <f>IFERROR(__xludf.DUMMYFUNCTION("""COMPUTED_VALUE"""),"+ 13,3 %")</f>
        <v>+ 13,3 %</v>
      </c>
    </row>
    <row r="9">
      <c r="A9" s="2">
        <f>IFERROR(__xludf.DUMMYFUNCTION("""COMPUTED_VALUE"""),45962.0)</f>
        <v>45962</v>
      </c>
      <c r="B9" s="1" t="str">
        <f>IFERROR(__xludf.DUMMYFUNCTION("""COMPUTED_VALUE"""),"9.950 €/m2")</f>
        <v>9.950 €/m2</v>
      </c>
      <c r="C9" s="1" t="str">
        <f>IFERROR(__xludf.DUMMYFUNCTION("""COMPUTED_VALUE"""),"+ 2,0 %")</f>
        <v>+ 2,0 %</v>
      </c>
      <c r="D9" s="1" t="str">
        <f>IFERROR(__xludf.DUMMYFUNCTION("""COMPUTED_VALUE"""),"+ 0,8 %")</f>
        <v>+ 0,8 %</v>
      </c>
      <c r="E9" s="1" t="str">
        <f>IFERROR(__xludf.DUMMYFUNCTION("""COMPUTED_VALUE"""),"+ 15,1 %")</f>
        <v>+ 15,1 %</v>
      </c>
    </row>
    <row r="10">
      <c r="A10" s="2">
        <f>IFERROR(__xludf.DUMMYFUNCTION("""COMPUTED_VALUE"""),45931.0)</f>
        <v>45931</v>
      </c>
      <c r="B10" s="1" t="str">
        <f>IFERROR(__xludf.DUMMYFUNCTION("""COMPUTED_VALUE"""),"9.755 €/m2")</f>
        <v>9.755 €/m2</v>
      </c>
      <c r="C10" s="1" t="str">
        <f>IFERROR(__xludf.DUMMYFUNCTION("""COMPUTED_VALUE"""),"+ 0,5 %")</f>
        <v>+ 0,5 %</v>
      </c>
      <c r="D10" s="1" t="str">
        <f>IFERROR(__xludf.DUMMYFUNCTION("""COMPUTED_VALUE"""),"- 1,7 %")</f>
        <v>- 1,7 %</v>
      </c>
      <c r="E10" s="1" t="str">
        <f>IFERROR(__xludf.DUMMYFUNCTION("""COMPUTED_VALUE"""),"+ 15,3 %")</f>
        <v>+ 15,3 %</v>
      </c>
    </row>
    <row r="11">
      <c r="A11" s="2">
        <f>IFERROR(__xludf.DUMMYFUNCTION("""COMPUTED_VALUE"""),45901.0)</f>
        <v>45901</v>
      </c>
      <c r="B11" s="1" t="str">
        <f>IFERROR(__xludf.DUMMYFUNCTION("""COMPUTED_VALUE"""),"9.706 €/m2")</f>
        <v>9.706 €/m2</v>
      </c>
      <c r="C11" s="1" t="str">
        <f>IFERROR(__xludf.DUMMYFUNCTION("""COMPUTED_VALUE"""),"- 1,6 %")</f>
        <v>- 1,6 %</v>
      </c>
      <c r="D11" s="1" t="str">
        <f>IFERROR(__xludf.DUMMYFUNCTION("""COMPUTED_VALUE"""),"- 1,1 %")</f>
        <v>- 1,1 %</v>
      </c>
      <c r="E11" s="1" t="str">
        <f>IFERROR(__xludf.DUMMYFUNCTION("""COMPUTED_VALUE"""),"+ 17,0 %")</f>
        <v>+ 17,0 %</v>
      </c>
    </row>
    <row r="12">
      <c r="A12" s="2">
        <f>IFERROR(__xludf.DUMMYFUNCTION("""COMPUTED_VALUE"""),45870.0)</f>
        <v>45870</v>
      </c>
      <c r="B12" s="1" t="str">
        <f>IFERROR(__xludf.DUMMYFUNCTION("""COMPUTED_VALUE"""),"9.868 €/m2")</f>
        <v>9.868 €/m2</v>
      </c>
      <c r="C12" s="1" t="str">
        <f>IFERROR(__xludf.DUMMYFUNCTION("""COMPUTED_VALUE"""),"- 0,6 %")</f>
        <v>- 0,6 %</v>
      </c>
      <c r="D12" s="1" t="str">
        <f>IFERROR(__xludf.DUMMYFUNCTION("""COMPUTED_VALUE"""),"+ 1,9 %")</f>
        <v>+ 1,9 %</v>
      </c>
      <c r="E12" s="1" t="str">
        <f>IFERROR(__xludf.DUMMYFUNCTION("""COMPUTED_VALUE"""),"+ 22,5 %")</f>
        <v>+ 22,5 %</v>
      </c>
    </row>
    <row r="13">
      <c r="A13" s="2">
        <f>IFERROR(__xludf.DUMMYFUNCTION("""COMPUTED_VALUE"""),45839.0)</f>
        <v>45839</v>
      </c>
      <c r="B13" s="1" t="str">
        <f>IFERROR(__xludf.DUMMYFUNCTION("""COMPUTED_VALUE"""),"9.926 €/m2")</f>
        <v>9.926 €/m2</v>
      </c>
      <c r="C13" s="1" t="str">
        <f>IFERROR(__xludf.DUMMYFUNCTION("""COMPUTED_VALUE"""),"+ 1,1 %")</f>
        <v>+ 1,1 %</v>
      </c>
      <c r="D13" s="1" t="str">
        <f>IFERROR(__xludf.DUMMYFUNCTION("""COMPUTED_VALUE"""),"+ 3,5 %")</f>
        <v>+ 3,5 %</v>
      </c>
      <c r="E13" s="1" t="str">
        <f>IFERROR(__xludf.DUMMYFUNCTION("""COMPUTED_VALUE"""),"+ 24,2 %")</f>
        <v>+ 24,2 %</v>
      </c>
    </row>
    <row r="14">
      <c r="A14" s="2">
        <f>IFERROR(__xludf.DUMMYFUNCTION("""COMPUTED_VALUE"""),45809.0)</f>
        <v>45809</v>
      </c>
      <c r="B14" s="1" t="str">
        <f>IFERROR(__xludf.DUMMYFUNCTION("""COMPUTED_VALUE"""),"9.818 €/m2")</f>
        <v>9.818 €/m2</v>
      </c>
      <c r="C14" s="1" t="str">
        <f>IFERROR(__xludf.DUMMYFUNCTION("""COMPUTED_VALUE"""),"+ 1,3 %")</f>
        <v>+ 1,3 %</v>
      </c>
      <c r="D14" s="1" t="str">
        <f>IFERROR(__xludf.DUMMYFUNCTION("""COMPUTED_VALUE"""),"+ 4,7 %")</f>
        <v>+ 4,7 %</v>
      </c>
      <c r="E14" s="1" t="str">
        <f>IFERROR(__xludf.DUMMYFUNCTION("""COMPUTED_VALUE"""),"+ 25,1 %")</f>
        <v>+ 25,1 %</v>
      </c>
    </row>
    <row r="15">
      <c r="A15" s="2">
        <f>IFERROR(__xludf.DUMMYFUNCTION("""COMPUTED_VALUE"""),45778.0)</f>
        <v>45778</v>
      </c>
      <c r="B15" s="1" t="str">
        <f>IFERROR(__xludf.DUMMYFUNCTION("""COMPUTED_VALUE"""),"9.687 €/m2")</f>
        <v>9.687 €/m2</v>
      </c>
      <c r="C15" s="1" t="str">
        <f>IFERROR(__xludf.DUMMYFUNCTION("""COMPUTED_VALUE"""),"+ 1,0 %")</f>
        <v>+ 1,0 %</v>
      </c>
      <c r="D15" s="1" t="str">
        <f>IFERROR(__xludf.DUMMYFUNCTION("""COMPUTED_VALUE"""),"+ 6,8 %")</f>
        <v>+ 6,8 %</v>
      </c>
      <c r="E15" s="1" t="str">
        <f>IFERROR(__xludf.DUMMYFUNCTION("""COMPUTED_VALUE"""),"+ 26,3 %")</f>
        <v>+ 26,3 %</v>
      </c>
    </row>
    <row r="16">
      <c r="A16" s="2">
        <f>IFERROR(__xludf.DUMMYFUNCTION("""COMPUTED_VALUE"""),45748.0)</f>
        <v>45748</v>
      </c>
      <c r="B16" s="1" t="str">
        <f>IFERROR(__xludf.DUMMYFUNCTION("""COMPUTED_VALUE"""),"9.589 €/m2")</f>
        <v>9.589 €/m2</v>
      </c>
      <c r="C16" s="1" t="str">
        <f>IFERROR(__xludf.DUMMYFUNCTION("""COMPUTED_VALUE"""),"+ 2,3 %")</f>
        <v>+ 2,3 %</v>
      </c>
      <c r="D16" s="1" t="str">
        <f>IFERROR(__xludf.DUMMYFUNCTION("""COMPUTED_VALUE"""),"+ 6,6 %")</f>
        <v>+ 6,6 %</v>
      </c>
      <c r="E16" s="1" t="str">
        <f>IFERROR(__xludf.DUMMYFUNCTION("""COMPUTED_VALUE"""),"+ 25,9 %")</f>
        <v>+ 25,9 %</v>
      </c>
    </row>
    <row r="17">
      <c r="A17" s="2">
        <f>IFERROR(__xludf.DUMMYFUNCTION("""COMPUTED_VALUE"""),45717.0)</f>
        <v>45717</v>
      </c>
      <c r="B17" s="1" t="str">
        <f>IFERROR(__xludf.DUMMYFUNCTION("""COMPUTED_VALUE"""),"9.374 €/m2")</f>
        <v>9.374 €/m2</v>
      </c>
      <c r="C17" s="1" t="str">
        <f>IFERROR(__xludf.DUMMYFUNCTION("""COMPUTED_VALUE"""),"+ 3,4 %")</f>
        <v>+ 3,4 %</v>
      </c>
      <c r="D17" s="1" t="str">
        <f>IFERROR(__xludf.DUMMYFUNCTION("""COMPUTED_VALUE"""),"+ 6,3 %")</f>
        <v>+ 6,3 %</v>
      </c>
      <c r="E17" s="1" t="str">
        <f>IFERROR(__xludf.DUMMYFUNCTION("""COMPUTED_VALUE"""),"+ 27,1 %")</f>
        <v>+ 27,1 %</v>
      </c>
    </row>
    <row r="18">
      <c r="A18" s="2">
        <f>IFERROR(__xludf.DUMMYFUNCTION("""COMPUTED_VALUE"""),45689.0)</f>
        <v>45689</v>
      </c>
      <c r="B18" s="1" t="str">
        <f>IFERROR(__xludf.DUMMYFUNCTION("""COMPUTED_VALUE"""),"9.067 €/m2")</f>
        <v>9.067 €/m2</v>
      </c>
      <c r="C18" s="1" t="str">
        <f>IFERROR(__xludf.DUMMYFUNCTION("""COMPUTED_VALUE"""),"+ 0,8 %")</f>
        <v>+ 0,8 %</v>
      </c>
      <c r="D18" s="1" t="str">
        <f>IFERROR(__xludf.DUMMYFUNCTION("""COMPUTED_VALUE"""),"+ 4,9 %")</f>
        <v>+ 4,9 %</v>
      </c>
      <c r="E18" s="1" t="str">
        <f>IFERROR(__xludf.DUMMYFUNCTION("""COMPUTED_VALUE"""),"+ 25,0 %")</f>
        <v>+ 25,0 %</v>
      </c>
    </row>
    <row r="19">
      <c r="A19" s="2">
        <f>IFERROR(__xludf.DUMMYFUNCTION("""COMPUTED_VALUE"""),45658.0)</f>
        <v>45658</v>
      </c>
      <c r="B19" s="1" t="str">
        <f>IFERROR(__xludf.DUMMYFUNCTION("""COMPUTED_VALUE"""),"8.993 €/m2")</f>
        <v>8.993 €/m2</v>
      </c>
      <c r="C19" s="1" t="str">
        <f>IFERROR(__xludf.DUMMYFUNCTION("""COMPUTED_VALUE"""),"+ 2,0 %")</f>
        <v>+ 2,0 %</v>
      </c>
      <c r="D19" s="1" t="str">
        <f>IFERROR(__xludf.DUMMYFUNCTION("""COMPUTED_VALUE"""),"+ 6,3 %")</f>
        <v>+ 6,3 %</v>
      </c>
      <c r="E19" s="1" t="str">
        <f>IFERROR(__xludf.DUMMYFUNCTION("""COMPUTED_VALUE"""),"+ 25,2 %")</f>
        <v>+ 25,2 %</v>
      </c>
    </row>
    <row r="20">
      <c r="A20" s="2">
        <f>IFERROR(__xludf.DUMMYFUNCTION("""COMPUTED_VALUE"""),45627.0)</f>
        <v>45627</v>
      </c>
      <c r="B20" s="1" t="str">
        <f>IFERROR(__xludf.DUMMYFUNCTION("""COMPUTED_VALUE"""),"8.818 €/m2")</f>
        <v>8.818 €/m2</v>
      </c>
      <c r="C20" s="1" t="str">
        <f>IFERROR(__xludf.DUMMYFUNCTION("""COMPUTED_VALUE"""),"+ 2,0 %")</f>
        <v>+ 2,0 %</v>
      </c>
      <c r="D20" s="1" t="str">
        <f>IFERROR(__xludf.DUMMYFUNCTION("""COMPUTED_VALUE"""),"+ 6,3 %")</f>
        <v>+ 6,3 %</v>
      </c>
      <c r="E20" s="1" t="str">
        <f>IFERROR(__xludf.DUMMYFUNCTION("""COMPUTED_VALUE"""),"+ 25,2 %")</f>
        <v>+ 25,2 %</v>
      </c>
    </row>
    <row r="21">
      <c r="A21" s="2">
        <f>IFERROR(__xludf.DUMMYFUNCTION("""COMPUTED_VALUE"""),45597.0)</f>
        <v>45597</v>
      </c>
      <c r="B21" s="1" t="str">
        <f>IFERROR(__xludf.DUMMYFUNCTION("""COMPUTED_VALUE"""),"8.642 €/m2")</f>
        <v>8.642 €/m2</v>
      </c>
      <c r="C21" s="1" t="str">
        <f>IFERROR(__xludf.DUMMYFUNCTION("""COMPUTED_VALUE"""),"+ 2,2 %")</f>
        <v>+ 2,2 %</v>
      </c>
      <c r="D21" s="1" t="str">
        <f>IFERROR(__xludf.DUMMYFUNCTION("""COMPUTED_VALUE"""),"+ 7,3 %")</f>
        <v>+ 7,3 %</v>
      </c>
      <c r="E21" s="1" t="str">
        <f>IFERROR(__xludf.DUMMYFUNCTION("""COMPUTED_VALUE"""),"+ 24,8 %")</f>
        <v>+ 24,8 %</v>
      </c>
    </row>
    <row r="22">
      <c r="A22" s="2">
        <f>IFERROR(__xludf.DUMMYFUNCTION("""COMPUTED_VALUE"""),45566.0)</f>
        <v>45566</v>
      </c>
      <c r="B22" s="1" t="str">
        <f>IFERROR(__xludf.DUMMYFUNCTION("""COMPUTED_VALUE"""),"8.458 €/m2")</f>
        <v>8.458 €/m2</v>
      </c>
      <c r="C22" s="1" t="str">
        <f>IFERROR(__xludf.DUMMYFUNCTION("""COMPUTED_VALUE"""),"+ 2,0 %")</f>
        <v>+ 2,0 %</v>
      </c>
      <c r="D22" s="1" t="str">
        <f>IFERROR(__xludf.DUMMYFUNCTION("""COMPUTED_VALUE"""),"+ 5,9 %")</f>
        <v>+ 5,9 %</v>
      </c>
      <c r="E22" s="1" t="str">
        <f>IFERROR(__xludf.DUMMYFUNCTION("""COMPUTED_VALUE"""),"+ 23,9 %")</f>
        <v>+ 23,9 %</v>
      </c>
    </row>
    <row r="23">
      <c r="A23" s="2">
        <f>IFERROR(__xludf.DUMMYFUNCTION("""COMPUTED_VALUE"""),45536.0)</f>
        <v>45536</v>
      </c>
      <c r="B23" s="1" t="str">
        <f>IFERROR(__xludf.DUMMYFUNCTION("""COMPUTED_VALUE"""),"8.292 €/m2")</f>
        <v>8.292 €/m2</v>
      </c>
      <c r="C23" s="1" t="str">
        <f>IFERROR(__xludf.DUMMYFUNCTION("""COMPUTED_VALUE"""),"+ 2,9 %")</f>
        <v>+ 2,9 %</v>
      </c>
      <c r="D23" s="1" t="str">
        <f>IFERROR(__xludf.DUMMYFUNCTION("""COMPUTED_VALUE"""),"+ 5,7 %")</f>
        <v>+ 5,7 %</v>
      </c>
      <c r="E23" s="1" t="str">
        <f>IFERROR(__xludf.DUMMYFUNCTION("""COMPUTED_VALUE"""),"+ 23,1 %")</f>
        <v>+ 23,1 %</v>
      </c>
    </row>
    <row r="24">
      <c r="A24" s="2">
        <f>IFERROR(__xludf.DUMMYFUNCTION("""COMPUTED_VALUE"""),45505.0)</f>
        <v>45505</v>
      </c>
      <c r="B24" s="1" t="str">
        <f>IFERROR(__xludf.DUMMYFUNCTION("""COMPUTED_VALUE"""),"8.057 €/m2")</f>
        <v>8.057 €/m2</v>
      </c>
      <c r="C24" s="1" t="str">
        <f>IFERROR(__xludf.DUMMYFUNCTION("""COMPUTED_VALUE"""),"+ 0,8 %")</f>
        <v>+ 0,8 %</v>
      </c>
      <c r="D24" s="1" t="str">
        <f>IFERROR(__xludf.DUMMYFUNCTION("""COMPUTED_VALUE"""),"+ 5,0 %")</f>
        <v>+ 5,0 %</v>
      </c>
      <c r="E24" s="1" t="str">
        <f>IFERROR(__xludf.DUMMYFUNCTION("""COMPUTED_VALUE"""),"+ 19,7 %")</f>
        <v>+ 19,7 %</v>
      </c>
    </row>
    <row r="25">
      <c r="A25" s="2">
        <f>IFERROR(__xludf.DUMMYFUNCTION("""COMPUTED_VALUE"""),45474.0)</f>
        <v>45474</v>
      </c>
      <c r="B25" s="1" t="str">
        <f>IFERROR(__xludf.DUMMYFUNCTION("""COMPUTED_VALUE"""),"7.990 €/m2")</f>
        <v>7.990 €/m2</v>
      </c>
      <c r="C25" s="1" t="str">
        <f>IFERROR(__xludf.DUMMYFUNCTION("""COMPUTED_VALUE"""),"+ 1,8 %")</f>
        <v>+ 1,8 %</v>
      </c>
      <c r="D25" s="1" t="str">
        <f>IFERROR(__xludf.DUMMYFUNCTION("""COMPUTED_VALUE"""),"+ 4,9 %")</f>
        <v>+ 4,9 %</v>
      </c>
      <c r="E25" s="1" t="str">
        <f>IFERROR(__xludf.DUMMYFUNCTION("""COMPUTED_VALUE"""),"+ 20,1 %")</f>
        <v>+ 20,1 %</v>
      </c>
    </row>
    <row r="26">
      <c r="A26" s="2">
        <f>IFERROR(__xludf.DUMMYFUNCTION("""COMPUTED_VALUE"""),45444.0)</f>
        <v>45444</v>
      </c>
      <c r="B26" s="1" t="str">
        <f>IFERROR(__xludf.DUMMYFUNCTION("""COMPUTED_VALUE"""),"7.846 €/m2")</f>
        <v>7.846 €/m2</v>
      </c>
      <c r="C26" s="1" t="str">
        <f>IFERROR(__xludf.DUMMYFUNCTION("""COMPUTED_VALUE"""),"+ 2,3 %")</f>
        <v>+ 2,3 %</v>
      </c>
      <c r="D26" s="1" t="str">
        <f>IFERROR(__xludf.DUMMYFUNCTION("""COMPUTED_VALUE"""),"+ 6,4 %")</f>
        <v>+ 6,4 %</v>
      </c>
      <c r="E26" s="1" t="str">
        <f>IFERROR(__xludf.DUMMYFUNCTION("""COMPUTED_VALUE"""),"+ 18,4 %")</f>
        <v>+ 18,4 %</v>
      </c>
    </row>
    <row r="27">
      <c r="A27" s="2">
        <f>IFERROR(__xludf.DUMMYFUNCTION("""COMPUTED_VALUE"""),45413.0)</f>
        <v>45413</v>
      </c>
      <c r="B27" s="1" t="str">
        <f>IFERROR(__xludf.DUMMYFUNCTION("""COMPUTED_VALUE"""),"7.671 €/m2")</f>
        <v>7.671 €/m2</v>
      </c>
      <c r="C27" s="1" t="str">
        <f>IFERROR(__xludf.DUMMYFUNCTION("""COMPUTED_VALUE"""),"+ 0,7 %")</f>
        <v>+ 0,7 %</v>
      </c>
      <c r="D27" s="1" t="str">
        <f>IFERROR(__xludf.DUMMYFUNCTION("""COMPUTED_VALUE"""),"+ 5,8 %")</f>
        <v>+ 5,8 %</v>
      </c>
      <c r="E27" s="1" t="str">
        <f>IFERROR(__xludf.DUMMYFUNCTION("""COMPUTED_VALUE"""),"+ 17,4 %")</f>
        <v>+ 17,4 %</v>
      </c>
    </row>
    <row r="28">
      <c r="A28" s="2">
        <f>IFERROR(__xludf.DUMMYFUNCTION("""COMPUTED_VALUE"""),45383.0)</f>
        <v>45383</v>
      </c>
      <c r="B28" s="1" t="str">
        <f>IFERROR(__xludf.DUMMYFUNCTION("""COMPUTED_VALUE"""),"7.618 €/m2")</f>
        <v>7.618 €/m2</v>
      </c>
      <c r="C28" s="1" t="str">
        <f>IFERROR(__xludf.DUMMYFUNCTION("""COMPUTED_VALUE"""),"+ 3,3 %")</f>
        <v>+ 3,3 %</v>
      </c>
      <c r="D28" s="1" t="str">
        <f>IFERROR(__xludf.DUMMYFUNCTION("""COMPUTED_VALUE"""),"+ 6,0 %")</f>
        <v>+ 6,0 %</v>
      </c>
      <c r="E28" s="1" t="str">
        <f>IFERROR(__xludf.DUMMYFUNCTION("""COMPUTED_VALUE"""),"+ 17,4 %")</f>
        <v>+ 17,4 %</v>
      </c>
    </row>
    <row r="29">
      <c r="A29" s="2">
        <f>IFERROR(__xludf.DUMMYFUNCTION("""COMPUTED_VALUE"""),45352.0)</f>
        <v>45352</v>
      </c>
      <c r="B29" s="1" t="str">
        <f>IFERROR(__xludf.DUMMYFUNCTION("""COMPUTED_VALUE"""),"7.374 €/m2")</f>
        <v>7.374 €/m2</v>
      </c>
      <c r="C29" s="1" t="str">
        <f>IFERROR(__xludf.DUMMYFUNCTION("""COMPUTED_VALUE"""),"+ 1,7 %")</f>
        <v>+ 1,7 %</v>
      </c>
      <c r="D29" s="1" t="str">
        <f>IFERROR(__xludf.DUMMYFUNCTION("""COMPUTED_VALUE"""),"+ 4,7 %")</f>
        <v>+ 4,7 %</v>
      </c>
      <c r="E29" s="1" t="str">
        <f>IFERROR(__xludf.DUMMYFUNCTION("""COMPUTED_VALUE"""),"+ 13,7 %")</f>
        <v>+ 13,7 %</v>
      </c>
    </row>
    <row r="30">
      <c r="A30" s="2">
        <f>IFERROR(__xludf.DUMMYFUNCTION("""COMPUTED_VALUE"""),45323.0)</f>
        <v>45323</v>
      </c>
      <c r="B30" s="1" t="str">
        <f>IFERROR(__xludf.DUMMYFUNCTION("""COMPUTED_VALUE"""),"7.253 €/m2")</f>
        <v>7.253 €/m2</v>
      </c>
      <c r="C30" s="1" t="str">
        <f>IFERROR(__xludf.DUMMYFUNCTION("""COMPUTED_VALUE"""),"+ 0,9 %")</f>
        <v>+ 0,9 %</v>
      </c>
      <c r="D30" s="1" t="str">
        <f>IFERROR(__xludf.DUMMYFUNCTION("""COMPUTED_VALUE"""),"+ 4,7 %")</f>
        <v>+ 4,7 %</v>
      </c>
      <c r="E30" s="1" t="str">
        <f>IFERROR(__xludf.DUMMYFUNCTION("""COMPUTED_VALUE"""),"+ 12,9 %")</f>
        <v>+ 12,9 %</v>
      </c>
    </row>
    <row r="31">
      <c r="A31" s="2">
        <f>IFERROR(__xludf.DUMMYFUNCTION("""COMPUTED_VALUE"""),45292.0)</f>
        <v>45292</v>
      </c>
      <c r="B31" s="1" t="str">
        <f>IFERROR(__xludf.DUMMYFUNCTION("""COMPUTED_VALUE"""),"7.186 €/m2")</f>
        <v>7.186 €/m2</v>
      </c>
      <c r="C31" s="1" t="str">
        <f>IFERROR(__xludf.DUMMYFUNCTION("""COMPUTED_VALUE"""),"+ 2,0 %")</f>
        <v>+ 2,0 %</v>
      </c>
      <c r="D31" s="1" t="str">
        <f>IFERROR(__xludf.DUMMYFUNCTION("""COMPUTED_VALUE"""),"+ 5,3 %")</f>
        <v>+ 5,3 %</v>
      </c>
      <c r="E31" s="1" t="str">
        <f>IFERROR(__xludf.DUMMYFUNCTION("""COMPUTED_VALUE"""),"+ 12,1 %")</f>
        <v>+ 12,1 %</v>
      </c>
    </row>
    <row r="32">
      <c r="A32" s="2">
        <f>IFERROR(__xludf.DUMMYFUNCTION("""COMPUTED_VALUE"""),45261.0)</f>
        <v>45261</v>
      </c>
      <c r="B32" s="1" t="str">
        <f>IFERROR(__xludf.DUMMYFUNCTION("""COMPUTED_VALUE"""),"7.044 €/m2")</f>
        <v>7.044 €/m2</v>
      </c>
      <c r="C32" s="1" t="str">
        <f>IFERROR(__xludf.DUMMYFUNCTION("""COMPUTED_VALUE"""),"+ 1,7 %")</f>
        <v>+ 1,7 %</v>
      </c>
      <c r="D32" s="1" t="str">
        <f>IFERROR(__xludf.DUMMYFUNCTION("""COMPUTED_VALUE"""),"+ 4,6 %")</f>
        <v>+ 4,6 %</v>
      </c>
      <c r="E32" s="1" t="str">
        <f>IFERROR(__xludf.DUMMYFUNCTION("""COMPUTED_VALUE"""),"+ 9,7 %")</f>
        <v>+ 9,7 %</v>
      </c>
    </row>
    <row r="33">
      <c r="A33" s="2">
        <f>IFERROR(__xludf.DUMMYFUNCTION("""COMPUTED_VALUE"""),45231.0)</f>
        <v>45231</v>
      </c>
      <c r="B33" s="1" t="str">
        <f>IFERROR(__xludf.DUMMYFUNCTION("""COMPUTED_VALUE"""),"6.924 €/m2")</f>
        <v>6.924 €/m2</v>
      </c>
      <c r="C33" s="1" t="str">
        <f>IFERROR(__xludf.DUMMYFUNCTION("""COMPUTED_VALUE"""),"+ 1,5 %")</f>
        <v>+ 1,5 %</v>
      </c>
      <c r="D33" s="1" t="str">
        <f>IFERROR(__xludf.DUMMYFUNCTION("""COMPUTED_VALUE"""),"+ 2,9 %")</f>
        <v>+ 2,9 %</v>
      </c>
      <c r="E33" s="1" t="str">
        <f>IFERROR(__xludf.DUMMYFUNCTION("""COMPUTED_VALUE"""),"+ 7,2 %")</f>
        <v>+ 7,2 %</v>
      </c>
    </row>
    <row r="34">
      <c r="A34" s="2">
        <f>IFERROR(__xludf.DUMMYFUNCTION("""COMPUTED_VALUE"""),45200.0)</f>
        <v>45200</v>
      </c>
      <c r="B34" s="1" t="str">
        <f>IFERROR(__xludf.DUMMYFUNCTION("""COMPUTED_VALUE"""),"6.824 €/m2")</f>
        <v>6.824 €/m2</v>
      </c>
      <c r="C34" s="1" t="str">
        <f>IFERROR(__xludf.DUMMYFUNCTION("""COMPUTED_VALUE"""),"+ 1,3 %")</f>
        <v>+ 1,3 %</v>
      </c>
      <c r="D34" s="1" t="str">
        <f>IFERROR(__xludf.DUMMYFUNCTION("""COMPUTED_VALUE"""),"+ 2,6 %")</f>
        <v>+ 2,6 %</v>
      </c>
      <c r="E34" s="1" t="str">
        <f>IFERROR(__xludf.DUMMYFUNCTION("""COMPUTED_VALUE"""),"+ 5,5 %")</f>
        <v>+ 5,5 %</v>
      </c>
    </row>
    <row r="35">
      <c r="A35" s="2">
        <f>IFERROR(__xludf.DUMMYFUNCTION("""COMPUTED_VALUE"""),45170.0)</f>
        <v>45170</v>
      </c>
      <c r="B35" s="1" t="str">
        <f>IFERROR(__xludf.DUMMYFUNCTION("""COMPUTED_VALUE"""),"6.738 €/m2")</f>
        <v>6.738 €/m2</v>
      </c>
      <c r="C35" s="1" t="str">
        <f>IFERROR(__xludf.DUMMYFUNCTION("""COMPUTED_VALUE"""),"+ 0,1 %")</f>
        <v>+ 0,1 %</v>
      </c>
      <c r="D35" s="1" t="str">
        <f>IFERROR(__xludf.DUMMYFUNCTION("""COMPUTED_VALUE"""),"+ 1,7 %")</f>
        <v>+ 1,7 %</v>
      </c>
      <c r="E35" s="1" t="str">
        <f>IFERROR(__xludf.DUMMYFUNCTION("""COMPUTED_VALUE"""),"+ 4,1 %")</f>
        <v>+ 4,1 %</v>
      </c>
    </row>
    <row r="36">
      <c r="A36" s="2">
        <f>IFERROR(__xludf.DUMMYFUNCTION("""COMPUTED_VALUE"""),45139.0)</f>
        <v>45139</v>
      </c>
      <c r="B36" s="1" t="str">
        <f>IFERROR(__xludf.DUMMYFUNCTION("""COMPUTED_VALUE"""),"6.729 €/m2")</f>
        <v>6.729 €/m2</v>
      </c>
      <c r="C36" s="1" t="str">
        <f>IFERROR(__xludf.DUMMYFUNCTION("""COMPUTED_VALUE"""),"+ 1,1 %")</f>
        <v>+ 1,1 %</v>
      </c>
      <c r="D36" s="1" t="str">
        <f>IFERROR(__xludf.DUMMYFUNCTION("""COMPUTED_VALUE"""),"+ 3,0 %")</f>
        <v>+ 3,0 %</v>
      </c>
      <c r="E36" s="1" t="str">
        <f>IFERROR(__xludf.DUMMYFUNCTION("""COMPUTED_VALUE"""),"+ 4,3 %")</f>
        <v>+ 4,3 %</v>
      </c>
    </row>
    <row r="37">
      <c r="A37" s="2">
        <f>IFERROR(__xludf.DUMMYFUNCTION("""COMPUTED_VALUE"""),45108.0)</f>
        <v>45108</v>
      </c>
      <c r="B37" s="1" t="str">
        <f>IFERROR(__xludf.DUMMYFUNCTION("""COMPUTED_VALUE"""),"6.654 €/m2")</f>
        <v>6.654 €/m2</v>
      </c>
      <c r="C37" s="1" t="str">
        <f>IFERROR(__xludf.DUMMYFUNCTION("""COMPUTED_VALUE"""),"+ 0,4 %")</f>
        <v>+ 0,4 %</v>
      </c>
      <c r="D37" s="1" t="str">
        <f>IFERROR(__xludf.DUMMYFUNCTION("""COMPUTED_VALUE"""),"+ 2,5 %")</f>
        <v>+ 2,5 %</v>
      </c>
      <c r="E37" s="1" t="str">
        <f>IFERROR(__xludf.DUMMYFUNCTION("""COMPUTED_VALUE"""),"+ 3,4 %")</f>
        <v>+ 3,4 %</v>
      </c>
    </row>
    <row r="38">
      <c r="A38" s="2">
        <f>IFERROR(__xludf.DUMMYFUNCTION("""COMPUTED_VALUE"""),45078.0)</f>
        <v>45078</v>
      </c>
      <c r="B38" s="1" t="str">
        <f>IFERROR(__xludf.DUMMYFUNCTION("""COMPUTED_VALUE"""),"6.627 €/m2")</f>
        <v>6.627 €/m2</v>
      </c>
      <c r="C38" s="1" t="str">
        <f>IFERROR(__xludf.DUMMYFUNCTION("""COMPUTED_VALUE"""),"+ 1,5 %")</f>
        <v>+ 1,5 %</v>
      </c>
      <c r="D38" s="1" t="str">
        <f>IFERROR(__xludf.DUMMYFUNCTION("""COMPUTED_VALUE"""),"+ 2,1 %")</f>
        <v>+ 2,1 %</v>
      </c>
      <c r="E38" s="1" t="str">
        <f>IFERROR(__xludf.DUMMYFUNCTION("""COMPUTED_VALUE"""),"+ 3,3 %")</f>
        <v>+ 3,3 %</v>
      </c>
    </row>
    <row r="39">
      <c r="A39" s="2">
        <f>IFERROR(__xludf.DUMMYFUNCTION("""COMPUTED_VALUE"""),45047.0)</f>
        <v>45047</v>
      </c>
      <c r="B39" s="1" t="str">
        <f>IFERROR(__xludf.DUMMYFUNCTION("""COMPUTED_VALUE"""),"6.532 €/m2")</f>
        <v>6.532 €/m2</v>
      </c>
      <c r="C39" s="1" t="str">
        <f>IFERROR(__xludf.DUMMYFUNCTION("""COMPUTED_VALUE"""),"+ 0,7 %")</f>
        <v>+ 0,7 %</v>
      </c>
      <c r="D39" s="1" t="str">
        <f>IFERROR(__xludf.DUMMYFUNCTION("""COMPUTED_VALUE"""),"+ 1,6 %")</f>
        <v>+ 1,6 %</v>
      </c>
      <c r="E39" s="1" t="str">
        <f>IFERROR(__xludf.DUMMYFUNCTION("""COMPUTED_VALUE"""),"+ 2,8 %")</f>
        <v>+ 2,8 %</v>
      </c>
    </row>
    <row r="40">
      <c r="A40" s="2">
        <f>IFERROR(__xludf.DUMMYFUNCTION("""COMPUTED_VALUE"""),45017.0)</f>
        <v>45017</v>
      </c>
      <c r="B40" s="1" t="str">
        <f>IFERROR(__xludf.DUMMYFUNCTION("""COMPUTED_VALUE"""),"6.489 €/m2")</f>
        <v>6.489 €/m2</v>
      </c>
      <c r="C40" s="1" t="str">
        <f>IFERROR(__xludf.DUMMYFUNCTION("""COMPUTED_VALUE"""),"0,0 %")</f>
        <v>0,0 %</v>
      </c>
      <c r="D40" s="1" t="str">
        <f>IFERROR(__xludf.DUMMYFUNCTION("""COMPUTED_VALUE"""),"+ 1,3 %")</f>
        <v>+ 1,3 %</v>
      </c>
      <c r="E40" s="1" t="str">
        <f>IFERROR(__xludf.DUMMYFUNCTION("""COMPUTED_VALUE"""),"+ 3,5 %")</f>
        <v>+ 3,5 %</v>
      </c>
    </row>
    <row r="41">
      <c r="A41" s="2">
        <f>IFERROR(__xludf.DUMMYFUNCTION("""COMPUTED_VALUE"""),44986.0)</f>
        <v>44986</v>
      </c>
      <c r="B41" s="1" t="str">
        <f>IFERROR(__xludf.DUMMYFUNCTION("""COMPUTED_VALUE"""),"6.487 €/m2")</f>
        <v>6.487 €/m2</v>
      </c>
      <c r="C41" s="1" t="str">
        <f>IFERROR(__xludf.DUMMYFUNCTION("""COMPUTED_VALUE"""),"+ 0,9 %")</f>
        <v>+ 0,9 %</v>
      </c>
      <c r="D41" s="1" t="str">
        <f>IFERROR(__xludf.DUMMYFUNCTION("""COMPUTED_VALUE"""),"+ 1,0 %")</f>
        <v>+ 1,0 %</v>
      </c>
      <c r="E41" s="1" t="str">
        <f>IFERROR(__xludf.DUMMYFUNCTION("""COMPUTED_VALUE"""),"+ 5,4 %")</f>
        <v>+ 5,4 %</v>
      </c>
    </row>
    <row r="42">
      <c r="A42" s="2">
        <f>IFERROR(__xludf.DUMMYFUNCTION("""COMPUTED_VALUE"""),44958.0)</f>
        <v>44958</v>
      </c>
      <c r="B42" s="1" t="str">
        <f>IFERROR(__xludf.DUMMYFUNCTION("""COMPUTED_VALUE"""),"6.426 €/m2")</f>
        <v>6.426 €/m2</v>
      </c>
      <c r="C42" s="1" t="str">
        <f>IFERROR(__xludf.DUMMYFUNCTION("""COMPUTED_VALUE"""),"+ 0,3 %")</f>
        <v>+ 0,3 %</v>
      </c>
      <c r="D42" s="1" t="str">
        <f>IFERROR(__xludf.DUMMYFUNCTION("""COMPUTED_VALUE"""),"- 0,5 %")</f>
        <v>- 0,5 %</v>
      </c>
      <c r="E42" s="1" t="str">
        <f>IFERROR(__xludf.DUMMYFUNCTION("""COMPUTED_VALUE"""),"+ 6,2 %")</f>
        <v>+ 6,2 %</v>
      </c>
    </row>
    <row r="43">
      <c r="A43" s="2">
        <f>IFERROR(__xludf.DUMMYFUNCTION("""COMPUTED_VALUE"""),44927.0)</f>
        <v>44927</v>
      </c>
      <c r="B43" s="1" t="str">
        <f>IFERROR(__xludf.DUMMYFUNCTION("""COMPUTED_VALUE"""),"6.408 €/m2")</f>
        <v>6.408 €/m2</v>
      </c>
      <c r="C43" s="1" t="str">
        <f>IFERROR(__xludf.DUMMYFUNCTION("""COMPUTED_VALUE"""),"- 0,2 %")</f>
        <v>- 0,2 %</v>
      </c>
      <c r="D43" s="1" t="str">
        <f>IFERROR(__xludf.DUMMYFUNCTION("""COMPUTED_VALUE"""),"- 1,0 %")</f>
        <v>- 1,0 %</v>
      </c>
      <c r="E43" s="1" t="str">
        <f>IFERROR(__xludf.DUMMYFUNCTION("""COMPUTED_VALUE"""),"+ 7,0 %")</f>
        <v>+ 7,0 %</v>
      </c>
    </row>
    <row r="44">
      <c r="A44" s="2">
        <f>IFERROR(__xludf.DUMMYFUNCTION("""COMPUTED_VALUE"""),44896.0)</f>
        <v>44896</v>
      </c>
      <c r="B44" s="1" t="str">
        <f>IFERROR(__xludf.DUMMYFUNCTION("""COMPUTED_VALUE"""),"6.422 €/m2")</f>
        <v>6.422 €/m2</v>
      </c>
      <c r="C44" s="1" t="str">
        <f>IFERROR(__xludf.DUMMYFUNCTION("""COMPUTED_VALUE"""),"- 0,5 %")</f>
        <v>- 0,5 %</v>
      </c>
      <c r="D44" s="1" t="str">
        <f>IFERROR(__xludf.DUMMYFUNCTION("""COMPUTED_VALUE"""),"- 0,7 %")</f>
        <v>- 0,7 %</v>
      </c>
      <c r="E44" s="1" t="str">
        <f>IFERROR(__xludf.DUMMYFUNCTION("""COMPUTED_VALUE"""),"+ 8,1 %")</f>
        <v>+ 8,1 %</v>
      </c>
    </row>
    <row r="45">
      <c r="A45" s="2">
        <f>IFERROR(__xludf.DUMMYFUNCTION("""COMPUTED_VALUE"""),44866.0)</f>
        <v>44866</v>
      </c>
      <c r="B45" s="1" t="str">
        <f>IFERROR(__xludf.DUMMYFUNCTION("""COMPUTED_VALUE"""),"6.457 €/m2")</f>
        <v>6.457 €/m2</v>
      </c>
      <c r="C45" s="1" t="str">
        <f>IFERROR(__xludf.DUMMYFUNCTION("""COMPUTED_VALUE"""),"- 0,2 %")</f>
        <v>- 0,2 %</v>
      </c>
      <c r="D45" s="1" t="str">
        <f>IFERROR(__xludf.DUMMYFUNCTION("""COMPUTED_VALUE"""),"+ 0,1 %")</f>
        <v>+ 0,1 %</v>
      </c>
      <c r="E45" s="1" t="str">
        <f>IFERROR(__xludf.DUMMYFUNCTION("""COMPUTED_VALUE"""),"+ 9,2 %")</f>
        <v>+ 9,2 %</v>
      </c>
    </row>
    <row r="46">
      <c r="A46" s="2">
        <f>IFERROR(__xludf.DUMMYFUNCTION("""COMPUTED_VALUE"""),44835.0)</f>
        <v>44835</v>
      </c>
      <c r="B46" s="1" t="str">
        <f>IFERROR(__xludf.DUMMYFUNCTION("""COMPUTED_VALUE"""),"6.470 €/m2")</f>
        <v>6.470 €/m2</v>
      </c>
      <c r="C46" s="1" t="str">
        <f>IFERROR(__xludf.DUMMYFUNCTION("""COMPUTED_VALUE"""),"0,0 %")</f>
        <v>0,0 %</v>
      </c>
      <c r="D46" s="1" t="str">
        <f>IFERROR(__xludf.DUMMYFUNCTION("""COMPUTED_VALUE"""),"+ 0,5 %")</f>
        <v>+ 0,5 %</v>
      </c>
      <c r="E46" s="1" t="str">
        <f>IFERROR(__xludf.DUMMYFUNCTION("""COMPUTED_VALUE"""),"+ 9,0 %")</f>
        <v>+ 9,0 %</v>
      </c>
    </row>
    <row r="47">
      <c r="A47" s="2">
        <f>IFERROR(__xludf.DUMMYFUNCTION("""COMPUTED_VALUE"""),44805.0)</f>
        <v>44805</v>
      </c>
      <c r="B47" s="1" t="str">
        <f>IFERROR(__xludf.DUMMYFUNCTION("""COMPUTED_VALUE"""),"6.469 €/m2")</f>
        <v>6.469 €/m2</v>
      </c>
      <c r="C47" s="1" t="str">
        <f>IFERROR(__xludf.DUMMYFUNCTION("""COMPUTED_VALUE"""),"+ 0,3 %")</f>
        <v>+ 0,3 %</v>
      </c>
      <c r="D47" s="1" t="str">
        <f>IFERROR(__xludf.DUMMYFUNCTION("""COMPUTED_VALUE"""),"+ 0,9 %")</f>
        <v>+ 0,9 %</v>
      </c>
      <c r="E47" s="1" t="str">
        <f>IFERROR(__xludf.DUMMYFUNCTION("""COMPUTED_VALUE"""),"+ 8,7 %")</f>
        <v>+ 8,7 %</v>
      </c>
    </row>
    <row r="48">
      <c r="A48" s="2">
        <f>IFERROR(__xludf.DUMMYFUNCTION("""COMPUTED_VALUE"""),44774.0)</f>
        <v>44774</v>
      </c>
      <c r="B48" s="1" t="str">
        <f>IFERROR(__xludf.DUMMYFUNCTION("""COMPUTED_VALUE"""),"6.449 €/m2")</f>
        <v>6.449 €/m2</v>
      </c>
      <c r="C48" s="1" t="str">
        <f>IFERROR(__xludf.DUMMYFUNCTION("""COMPUTED_VALUE"""),"+ 0,2 %")</f>
        <v>+ 0,2 %</v>
      </c>
      <c r="D48" s="1" t="str">
        <f>IFERROR(__xludf.DUMMYFUNCTION("""COMPUTED_VALUE"""),"+ 1,5 %")</f>
        <v>+ 1,5 %</v>
      </c>
      <c r="E48" s="1" t="str">
        <f>IFERROR(__xludf.DUMMYFUNCTION("""COMPUTED_VALUE"""),"+ 8,9 %")</f>
        <v>+ 8,9 %</v>
      </c>
    </row>
    <row r="49">
      <c r="A49" s="2">
        <f>IFERROR(__xludf.DUMMYFUNCTION("""COMPUTED_VALUE"""),44743.0)</f>
        <v>44743</v>
      </c>
      <c r="B49" s="1" t="str">
        <f>IFERROR(__xludf.DUMMYFUNCTION("""COMPUTED_VALUE"""),"6.434 €/m2")</f>
        <v>6.434 €/m2</v>
      </c>
      <c r="C49" s="1" t="str">
        <f>IFERROR(__xludf.DUMMYFUNCTION("""COMPUTED_VALUE"""),"+ 0,3 %")</f>
        <v>+ 0,3 %</v>
      </c>
      <c r="D49" s="1" t="str">
        <f>IFERROR(__xludf.DUMMYFUNCTION("""COMPUTED_VALUE"""),"+ 2,7 %")</f>
        <v>+ 2,7 %</v>
      </c>
      <c r="E49" s="1" t="str">
        <f>IFERROR(__xludf.DUMMYFUNCTION("""COMPUTED_VALUE"""),"+ 8,4 %")</f>
        <v>+ 8,4 %</v>
      </c>
    </row>
    <row r="50">
      <c r="A50" s="2">
        <f>IFERROR(__xludf.DUMMYFUNCTION("""COMPUTED_VALUE"""),44713.0)</f>
        <v>44713</v>
      </c>
      <c r="B50" s="1" t="str">
        <f>IFERROR(__xludf.DUMMYFUNCTION("""COMPUTED_VALUE"""),"6.413 €/m2")</f>
        <v>6.413 €/m2</v>
      </c>
      <c r="C50" s="1" t="str">
        <f>IFERROR(__xludf.DUMMYFUNCTION("""COMPUTED_VALUE"""),"+ 0,9 %")</f>
        <v>+ 0,9 %</v>
      </c>
      <c r="D50" s="1" t="str">
        <f>IFERROR(__xludf.DUMMYFUNCTION("""COMPUTED_VALUE"""),"+ 4,2 %")</f>
        <v>+ 4,2 %</v>
      </c>
      <c r="E50" s="1" t="str">
        <f>IFERROR(__xludf.DUMMYFUNCTION("""COMPUTED_VALUE"""),"+ 9,5 %")</f>
        <v>+ 9,5 %</v>
      </c>
    </row>
    <row r="51">
      <c r="A51" s="2">
        <f>IFERROR(__xludf.DUMMYFUNCTION("""COMPUTED_VALUE"""),44682.0)</f>
        <v>44682</v>
      </c>
      <c r="B51" s="1" t="str">
        <f>IFERROR(__xludf.DUMMYFUNCTION("""COMPUTED_VALUE"""),"6.354 €/m2")</f>
        <v>6.354 €/m2</v>
      </c>
      <c r="C51" s="1" t="str">
        <f>IFERROR(__xludf.DUMMYFUNCTION("""COMPUTED_VALUE"""),"+ 1,4 %")</f>
        <v>+ 1,4 %</v>
      </c>
      <c r="D51" s="1" t="str">
        <f>IFERROR(__xludf.DUMMYFUNCTION("""COMPUTED_VALUE"""),"+ 5,0 %")</f>
        <v>+ 5,0 %</v>
      </c>
      <c r="E51" s="1" t="str">
        <f>IFERROR(__xludf.DUMMYFUNCTION("""COMPUTED_VALUE"""),"+ 9,9 %")</f>
        <v>+ 9,9 %</v>
      </c>
    </row>
    <row r="52">
      <c r="A52" s="2">
        <f>IFERROR(__xludf.DUMMYFUNCTION("""COMPUTED_VALUE"""),44652.0)</f>
        <v>44652</v>
      </c>
      <c r="B52" s="1" t="str">
        <f>IFERROR(__xludf.DUMMYFUNCTION("""COMPUTED_VALUE"""),"6.268 €/m2")</f>
        <v>6.268 €/m2</v>
      </c>
      <c r="C52" s="1" t="str">
        <f>IFERROR(__xludf.DUMMYFUNCTION("""COMPUTED_VALUE"""),"+ 1,9 %")</f>
        <v>+ 1,9 %</v>
      </c>
      <c r="D52" s="1" t="str">
        <f>IFERROR(__xludf.DUMMYFUNCTION("""COMPUTED_VALUE"""),"+ 4,7 %")</f>
        <v>+ 4,7 %</v>
      </c>
      <c r="E52" s="1" t="str">
        <f>IFERROR(__xludf.DUMMYFUNCTION("""COMPUTED_VALUE"""),"+ 9,1 %")</f>
        <v>+ 9,1 %</v>
      </c>
    </row>
    <row r="53">
      <c r="A53" s="2">
        <f>IFERROR(__xludf.DUMMYFUNCTION("""COMPUTED_VALUE"""),44621.0)</f>
        <v>44621</v>
      </c>
      <c r="B53" s="1" t="str">
        <f>IFERROR(__xludf.DUMMYFUNCTION("""COMPUTED_VALUE"""),"6.153 €/m2")</f>
        <v>6.153 €/m2</v>
      </c>
      <c r="C53" s="1" t="str">
        <f>IFERROR(__xludf.DUMMYFUNCTION("""COMPUTED_VALUE"""),"+ 1,7 %")</f>
        <v>+ 1,7 %</v>
      </c>
      <c r="D53" s="1" t="str">
        <f>IFERROR(__xludf.DUMMYFUNCTION("""COMPUTED_VALUE"""),"+ 3,6 %")</f>
        <v>+ 3,6 %</v>
      </c>
      <c r="E53" s="1" t="str">
        <f>IFERROR(__xludf.DUMMYFUNCTION("""COMPUTED_VALUE"""),"+ 7,2 %")</f>
        <v>+ 7,2 %</v>
      </c>
    </row>
    <row r="54">
      <c r="A54" s="2">
        <f>IFERROR(__xludf.DUMMYFUNCTION("""COMPUTED_VALUE"""),44593.0)</f>
        <v>44593</v>
      </c>
      <c r="B54" s="1" t="str">
        <f>IFERROR(__xludf.DUMMYFUNCTION("""COMPUTED_VALUE"""),"6.052 €/m2")</f>
        <v>6.052 €/m2</v>
      </c>
      <c r="C54" s="1" t="str">
        <f>IFERROR(__xludf.DUMMYFUNCTION("""COMPUTED_VALUE"""),"+ 1,1 %")</f>
        <v>+ 1,1 %</v>
      </c>
      <c r="D54" s="1" t="str">
        <f>IFERROR(__xludf.DUMMYFUNCTION("""COMPUTED_VALUE"""),"+ 2,3 %")</f>
        <v>+ 2,3 %</v>
      </c>
      <c r="E54" s="1" t="str">
        <f>IFERROR(__xludf.DUMMYFUNCTION("""COMPUTED_VALUE"""),"+ 6,4 %")</f>
        <v>+ 6,4 %</v>
      </c>
    </row>
    <row r="55">
      <c r="A55" s="2">
        <f>IFERROR(__xludf.DUMMYFUNCTION("""COMPUTED_VALUE"""),44562.0)</f>
        <v>44562</v>
      </c>
      <c r="B55" s="1" t="str">
        <f>IFERROR(__xludf.DUMMYFUNCTION("""COMPUTED_VALUE"""),"5.990 €/m2")</f>
        <v>5.990 €/m2</v>
      </c>
      <c r="C55" s="1" t="str">
        <f>IFERROR(__xludf.DUMMYFUNCTION("""COMPUTED_VALUE"""),"+ 0,8 %")</f>
        <v>+ 0,8 %</v>
      </c>
      <c r="D55" s="1" t="str">
        <f>IFERROR(__xludf.DUMMYFUNCTION("""COMPUTED_VALUE"""),"+ 0,9 %")</f>
        <v>+ 0,9 %</v>
      </c>
      <c r="E55" s="1" t="str">
        <f>IFERROR(__xludf.DUMMYFUNCTION("""COMPUTED_VALUE"""),"+ 6,3 %")</f>
        <v>+ 6,3 %</v>
      </c>
    </row>
    <row r="56">
      <c r="A56" s="2">
        <f>IFERROR(__xludf.DUMMYFUNCTION("""COMPUTED_VALUE"""),44531.0)</f>
        <v>44531</v>
      </c>
      <c r="B56" s="1" t="str">
        <f>IFERROR(__xludf.DUMMYFUNCTION("""COMPUTED_VALUE"""),"5.941 €/m2")</f>
        <v>5.941 €/m2</v>
      </c>
      <c r="C56" s="1" t="str">
        <f>IFERROR(__xludf.DUMMYFUNCTION("""COMPUTED_VALUE"""),"+ 0,4 %")</f>
        <v>+ 0,4 %</v>
      </c>
      <c r="D56" s="1" t="str">
        <f>IFERROR(__xludf.DUMMYFUNCTION("""COMPUTED_VALUE"""),"- 0,2 %")</f>
        <v>- 0,2 %</v>
      </c>
      <c r="E56" s="1" t="str">
        <f>IFERROR(__xludf.DUMMYFUNCTION("""COMPUTED_VALUE"""),"+ 5,4 %")</f>
        <v>+ 5,4 %</v>
      </c>
    </row>
    <row r="57">
      <c r="A57" s="2">
        <f>IFERROR(__xludf.DUMMYFUNCTION("""COMPUTED_VALUE"""),44501.0)</f>
        <v>44501</v>
      </c>
      <c r="B57" s="1" t="str">
        <f>IFERROR(__xludf.DUMMYFUNCTION("""COMPUTED_VALUE"""),"5.915 €/m2")</f>
        <v>5.915 €/m2</v>
      </c>
      <c r="C57" s="1" t="str">
        <f>IFERROR(__xludf.DUMMYFUNCTION("""COMPUTED_VALUE"""),"- 0,3 %")</f>
        <v>- 0,3 %</v>
      </c>
      <c r="D57" s="1" t="str">
        <f>IFERROR(__xludf.DUMMYFUNCTION("""COMPUTED_VALUE"""),"- 0,2 %")</f>
        <v>- 0,2 %</v>
      </c>
      <c r="E57" s="1" t="str">
        <f>IFERROR(__xludf.DUMMYFUNCTION("""COMPUTED_VALUE"""),"+ 4,3 %")</f>
        <v>+ 4,3 %</v>
      </c>
    </row>
    <row r="58">
      <c r="A58" s="2">
        <f>IFERROR(__xludf.DUMMYFUNCTION("""COMPUTED_VALUE"""),44470.0)</f>
        <v>44470</v>
      </c>
      <c r="B58" s="1" t="str">
        <f>IFERROR(__xludf.DUMMYFUNCTION("""COMPUTED_VALUE"""),"5.936 €/m2")</f>
        <v>5.936 €/m2</v>
      </c>
      <c r="C58" s="1" t="str">
        <f>IFERROR(__xludf.DUMMYFUNCTION("""COMPUTED_VALUE"""),"- 0,3 %")</f>
        <v>- 0,3 %</v>
      </c>
      <c r="D58" s="1" t="str">
        <f>IFERROR(__xludf.DUMMYFUNCTION("""COMPUTED_VALUE"""),"0,0 %")</f>
        <v>0,0 %</v>
      </c>
      <c r="E58" s="1" t="str">
        <f>IFERROR(__xludf.DUMMYFUNCTION("""COMPUTED_VALUE"""),"+ 3,7 %")</f>
        <v>+ 3,7 %</v>
      </c>
    </row>
    <row r="59">
      <c r="A59" s="2">
        <f>IFERROR(__xludf.DUMMYFUNCTION("""COMPUTED_VALUE"""),44440.0)</f>
        <v>44440</v>
      </c>
      <c r="B59" s="1" t="str">
        <f>IFERROR(__xludf.DUMMYFUNCTION("""COMPUTED_VALUE"""),"5.952 €/m2")</f>
        <v>5.952 €/m2</v>
      </c>
      <c r="C59" s="1" t="str">
        <f>IFERROR(__xludf.DUMMYFUNCTION("""COMPUTED_VALUE"""),"+ 0,5 %")</f>
        <v>+ 0,5 %</v>
      </c>
      <c r="D59" s="1" t="str">
        <f>IFERROR(__xludf.DUMMYFUNCTION("""COMPUTED_VALUE"""),"+ 1,7 %")</f>
        <v>+ 1,7 %</v>
      </c>
      <c r="E59" s="1" t="str">
        <f>IFERROR(__xludf.DUMMYFUNCTION("""COMPUTED_VALUE"""),"+ 4,6 %")</f>
        <v>+ 4,6 %</v>
      </c>
    </row>
    <row r="60">
      <c r="A60" s="2">
        <f>IFERROR(__xludf.DUMMYFUNCTION("""COMPUTED_VALUE"""),44409.0)</f>
        <v>44409</v>
      </c>
      <c r="B60" s="1" t="str">
        <f>IFERROR(__xludf.DUMMYFUNCTION("""COMPUTED_VALUE"""),"5.924 €/m2")</f>
        <v>5.924 €/m2</v>
      </c>
      <c r="C60" s="1" t="str">
        <f>IFERROR(__xludf.DUMMYFUNCTION("""COMPUTED_VALUE"""),"- 0,2 %")</f>
        <v>- 0,2 %</v>
      </c>
      <c r="D60" s="1" t="str">
        <f>IFERROR(__xludf.DUMMYFUNCTION("""COMPUTED_VALUE"""),"+ 2,5 %")</f>
        <v>+ 2,5 %</v>
      </c>
      <c r="E60" s="1" t="str">
        <f>IFERROR(__xludf.DUMMYFUNCTION("""COMPUTED_VALUE"""),"+ 4,0 %")</f>
        <v>+ 4,0 %</v>
      </c>
    </row>
    <row r="61">
      <c r="A61" s="2">
        <f>IFERROR(__xludf.DUMMYFUNCTION("""COMPUTED_VALUE"""),44378.0)</f>
        <v>44378</v>
      </c>
      <c r="B61" s="1" t="str">
        <f>IFERROR(__xludf.DUMMYFUNCTION("""COMPUTED_VALUE"""),"5.937 €/m2")</f>
        <v>5.937 €/m2</v>
      </c>
      <c r="C61" s="1" t="str">
        <f>IFERROR(__xludf.DUMMYFUNCTION("""COMPUTED_VALUE"""),"+ 1,4 %")</f>
        <v>+ 1,4 %</v>
      </c>
      <c r="D61" s="1" t="str">
        <f>IFERROR(__xludf.DUMMYFUNCTION("""COMPUTED_VALUE"""),"+ 3,4 %")</f>
        <v>+ 3,4 %</v>
      </c>
      <c r="E61" s="1" t="str">
        <f>IFERROR(__xludf.DUMMYFUNCTION("""COMPUTED_VALUE"""),"+ 3,0 %")</f>
        <v>+ 3,0 %</v>
      </c>
    </row>
    <row r="62">
      <c r="A62" s="2">
        <f>IFERROR(__xludf.DUMMYFUNCTION("""COMPUTED_VALUE"""),44348.0)</f>
        <v>44348</v>
      </c>
      <c r="B62" s="1" t="str">
        <f>IFERROR(__xludf.DUMMYFUNCTION("""COMPUTED_VALUE"""),"5.855 €/m2")</f>
        <v>5.855 €/m2</v>
      </c>
      <c r="C62" s="1" t="str">
        <f>IFERROR(__xludf.DUMMYFUNCTION("""COMPUTED_VALUE"""),"+ 1,3 %")</f>
        <v>+ 1,3 %</v>
      </c>
      <c r="D62" s="1" t="str">
        <f>IFERROR(__xludf.DUMMYFUNCTION("""COMPUTED_VALUE"""),"+ 2,0 %")</f>
        <v>+ 2,0 %</v>
      </c>
      <c r="E62" s="1" t="str">
        <f>IFERROR(__xludf.DUMMYFUNCTION("""COMPUTED_VALUE"""),"+ 0,7 %")</f>
        <v>+ 0,7 %</v>
      </c>
    </row>
    <row r="63">
      <c r="A63" s="2">
        <f>IFERROR(__xludf.DUMMYFUNCTION("""COMPUTED_VALUE"""),44317.0)</f>
        <v>44317</v>
      </c>
      <c r="B63" s="1" t="str">
        <f>IFERROR(__xludf.DUMMYFUNCTION("""COMPUTED_VALUE"""),"5.781 €/m2")</f>
        <v>5.781 €/m2</v>
      </c>
      <c r="C63" s="1" t="str">
        <f>IFERROR(__xludf.DUMMYFUNCTION("""COMPUTED_VALUE"""),"+ 0,6 %")</f>
        <v>+ 0,6 %</v>
      </c>
      <c r="D63" s="1" t="str">
        <f>IFERROR(__xludf.DUMMYFUNCTION("""COMPUTED_VALUE"""),"+ 1,7 %")</f>
        <v>+ 1,7 %</v>
      </c>
      <c r="E63" s="1" t="str">
        <f>IFERROR(__xludf.DUMMYFUNCTION("""COMPUTED_VALUE"""),"- 0,6 %")</f>
        <v>- 0,6 %</v>
      </c>
    </row>
    <row r="64">
      <c r="A64" s="2">
        <f>IFERROR(__xludf.DUMMYFUNCTION("""COMPUTED_VALUE"""),44287.0)</f>
        <v>44287</v>
      </c>
      <c r="B64" s="1" t="str">
        <f>IFERROR(__xludf.DUMMYFUNCTION("""COMPUTED_VALUE"""),"5.744 €/m2")</f>
        <v>5.744 €/m2</v>
      </c>
      <c r="C64" s="1" t="str">
        <f>IFERROR(__xludf.DUMMYFUNCTION("""COMPUTED_VALUE"""),"0,0 %")</f>
        <v>0,0 %</v>
      </c>
      <c r="D64" s="1" t="str">
        <f>IFERROR(__xludf.DUMMYFUNCTION("""COMPUTED_VALUE"""),"+ 1,9 %")</f>
        <v>+ 1,9 %</v>
      </c>
      <c r="E64" s="1" t="str">
        <f>IFERROR(__xludf.DUMMYFUNCTION("""COMPUTED_VALUE"""),"- 0,7 %")</f>
        <v>- 0,7 %</v>
      </c>
    </row>
    <row r="65">
      <c r="A65" s="2">
        <f>IFERROR(__xludf.DUMMYFUNCTION("""COMPUTED_VALUE"""),44256.0)</f>
        <v>44256</v>
      </c>
      <c r="B65" s="1" t="str">
        <f>IFERROR(__xludf.DUMMYFUNCTION("""COMPUTED_VALUE"""),"5.743 €/m2")</f>
        <v>5.743 €/m2</v>
      </c>
      <c r="C65" s="1" t="str">
        <f>IFERROR(__xludf.DUMMYFUNCTION("""COMPUTED_VALUE"""),"+ 1,0 %")</f>
        <v>+ 1,0 %</v>
      </c>
      <c r="D65" s="1" t="str">
        <f>IFERROR(__xludf.DUMMYFUNCTION("""COMPUTED_VALUE"""),"+ 1,9 %")</f>
        <v>+ 1,9 %</v>
      </c>
      <c r="E65" s="1" t="str">
        <f>IFERROR(__xludf.DUMMYFUNCTION("""COMPUTED_VALUE"""),"- 0,6 %")</f>
        <v>- 0,6 %</v>
      </c>
    </row>
    <row r="66">
      <c r="A66" s="2">
        <f>IFERROR(__xludf.DUMMYFUNCTION("""COMPUTED_VALUE"""),44228.0)</f>
        <v>44228</v>
      </c>
      <c r="B66" s="1" t="str">
        <f>IFERROR(__xludf.DUMMYFUNCTION("""COMPUTED_VALUE"""),"5.687 €/m2")</f>
        <v>5.687 €/m2</v>
      </c>
      <c r="C66" s="1" t="str">
        <f>IFERROR(__xludf.DUMMYFUNCTION("""COMPUTED_VALUE"""),"+ 0,9 %")</f>
        <v>+ 0,9 %</v>
      </c>
      <c r="D66" s="1" t="str">
        <f>IFERROR(__xludf.DUMMYFUNCTION("""COMPUTED_VALUE"""),"+ 0,3 %")</f>
        <v>+ 0,3 %</v>
      </c>
      <c r="E66" s="1" t="str">
        <f>IFERROR(__xludf.DUMMYFUNCTION("""COMPUTED_VALUE"""),"- 1,1 %")</f>
        <v>- 1,1 %</v>
      </c>
    </row>
    <row r="67">
      <c r="A67" s="2">
        <f>IFERROR(__xludf.DUMMYFUNCTION("""COMPUTED_VALUE"""),44197.0)</f>
        <v>44197</v>
      </c>
      <c r="B67" s="1" t="str">
        <f>IFERROR(__xludf.DUMMYFUNCTION("""COMPUTED_VALUE"""),"5.637 €/m2")</f>
        <v>5.637 €/m2</v>
      </c>
      <c r="C67" s="1" t="str">
        <f>IFERROR(__xludf.DUMMYFUNCTION("""COMPUTED_VALUE"""),"0,0 %")</f>
        <v>0,0 %</v>
      </c>
      <c r="D67" s="1" t="str">
        <f>IFERROR(__xludf.DUMMYFUNCTION("""COMPUTED_VALUE"""),"- 1,5 %")</f>
        <v>- 1,5 %</v>
      </c>
      <c r="E67" s="1" t="str">
        <f>IFERROR(__xludf.DUMMYFUNCTION("""COMPUTED_VALUE"""),"- 2,4 %")</f>
        <v>- 2,4 %</v>
      </c>
    </row>
    <row r="68">
      <c r="A68" s="2">
        <f>IFERROR(__xludf.DUMMYFUNCTION("""COMPUTED_VALUE"""),44166.0)</f>
        <v>44166</v>
      </c>
      <c r="B68" s="1" t="str">
        <f>IFERROR(__xludf.DUMMYFUNCTION("""COMPUTED_VALUE"""),"5.634 €/m2")</f>
        <v>5.634 €/m2</v>
      </c>
      <c r="C68" s="1" t="str">
        <f>IFERROR(__xludf.DUMMYFUNCTION("""COMPUTED_VALUE"""),"- 0,7 %")</f>
        <v>- 0,7 %</v>
      </c>
      <c r="D68" s="1" t="str">
        <f>IFERROR(__xludf.DUMMYFUNCTION("""COMPUTED_VALUE"""),"- 1,0 %")</f>
        <v>- 1,0 %</v>
      </c>
      <c r="E68" s="1" t="str">
        <f>IFERROR(__xludf.DUMMYFUNCTION("""COMPUTED_VALUE"""),"- 2,1 %")</f>
        <v>- 2,1 %</v>
      </c>
    </row>
    <row r="69">
      <c r="A69" s="2">
        <f>IFERROR(__xludf.DUMMYFUNCTION("""COMPUTED_VALUE"""),44136.0)</f>
        <v>44136</v>
      </c>
      <c r="B69" s="1" t="str">
        <f>IFERROR(__xludf.DUMMYFUNCTION("""COMPUTED_VALUE"""),"5.671 €/m2")</f>
        <v>5.671 €/m2</v>
      </c>
      <c r="C69" s="1" t="str">
        <f>IFERROR(__xludf.DUMMYFUNCTION("""COMPUTED_VALUE"""),"- 0,9 %")</f>
        <v>- 0,9 %</v>
      </c>
      <c r="D69" s="1" t="str">
        <f>IFERROR(__xludf.DUMMYFUNCTION("""COMPUTED_VALUE"""),"- 0,4 %")</f>
        <v>- 0,4 %</v>
      </c>
      <c r="E69" s="1" t="str">
        <f>IFERROR(__xludf.DUMMYFUNCTION("""COMPUTED_VALUE"""),"- 1,5 %")</f>
        <v>- 1,5 %</v>
      </c>
    </row>
    <row r="70">
      <c r="A70" s="2">
        <f>IFERROR(__xludf.DUMMYFUNCTION("""COMPUTED_VALUE"""),44105.0)</f>
        <v>44105</v>
      </c>
      <c r="B70" s="1" t="str">
        <f>IFERROR(__xludf.DUMMYFUNCTION("""COMPUTED_VALUE"""),"5.722 €/m2")</f>
        <v>5.722 €/m2</v>
      </c>
      <c r="C70" s="1" t="str">
        <f>IFERROR(__xludf.DUMMYFUNCTION("""COMPUTED_VALUE"""),"+ 0,6 %")</f>
        <v>+ 0,6 %</v>
      </c>
      <c r="D70" s="1" t="str">
        <f>IFERROR(__xludf.DUMMYFUNCTION("""COMPUTED_VALUE"""),"- 0,7 %")</f>
        <v>- 0,7 %</v>
      </c>
      <c r="E70" s="1" t="str">
        <f>IFERROR(__xludf.DUMMYFUNCTION("""COMPUTED_VALUE"""),"- 0,9 %")</f>
        <v>- 0,9 %</v>
      </c>
    </row>
    <row r="71">
      <c r="A71" s="2">
        <f>IFERROR(__xludf.DUMMYFUNCTION("""COMPUTED_VALUE"""),44075.0)</f>
        <v>44075</v>
      </c>
      <c r="B71" s="1" t="str">
        <f>IFERROR(__xludf.DUMMYFUNCTION("""COMPUTED_VALUE"""),"5.690 €/m2")</f>
        <v>5.690 €/m2</v>
      </c>
      <c r="C71" s="1" t="str">
        <f>IFERROR(__xludf.DUMMYFUNCTION("""COMPUTED_VALUE"""),"- 0,1 %")</f>
        <v>- 0,1 %</v>
      </c>
      <c r="D71" s="1" t="str">
        <f>IFERROR(__xludf.DUMMYFUNCTION("""COMPUTED_VALUE"""),"- 2,2 %")</f>
        <v>- 2,2 %</v>
      </c>
      <c r="E71" s="1" t="str">
        <f>IFERROR(__xludf.DUMMYFUNCTION("""COMPUTED_VALUE"""),"- 1,2 %")</f>
        <v>- 1,2 %</v>
      </c>
    </row>
    <row r="72">
      <c r="A72" s="2">
        <f>IFERROR(__xludf.DUMMYFUNCTION("""COMPUTED_VALUE"""),44044.0)</f>
        <v>44044</v>
      </c>
      <c r="B72" s="1" t="str">
        <f>IFERROR(__xludf.DUMMYFUNCTION("""COMPUTED_VALUE"""),"5.694 €/m2")</f>
        <v>5.694 €/m2</v>
      </c>
      <c r="C72" s="1" t="str">
        <f>IFERROR(__xludf.DUMMYFUNCTION("""COMPUTED_VALUE"""),"- 1,2 %")</f>
        <v>- 1,2 %</v>
      </c>
      <c r="D72" s="1" t="str">
        <f>IFERROR(__xludf.DUMMYFUNCTION("""COMPUTED_VALUE"""),"- 2,1 %")</f>
        <v>- 2,1 %</v>
      </c>
      <c r="E72" s="1" t="str">
        <f>IFERROR(__xludf.DUMMYFUNCTION("""COMPUTED_VALUE"""),"- 1,3 %")</f>
        <v>- 1,3 %</v>
      </c>
    </row>
    <row r="73">
      <c r="A73" s="2">
        <f>IFERROR(__xludf.DUMMYFUNCTION("""COMPUTED_VALUE"""),44013.0)</f>
        <v>44013</v>
      </c>
      <c r="B73" s="1" t="str">
        <f>IFERROR(__xludf.DUMMYFUNCTION("""COMPUTED_VALUE"""),"5.763 €/m2")</f>
        <v>5.763 €/m2</v>
      </c>
      <c r="C73" s="1" t="str">
        <f>IFERROR(__xludf.DUMMYFUNCTION("""COMPUTED_VALUE"""),"- 0,9 %")</f>
        <v>- 0,9 %</v>
      </c>
      <c r="D73" s="1" t="str">
        <f>IFERROR(__xludf.DUMMYFUNCTION("""COMPUTED_VALUE"""),"- 0,4 %")</f>
        <v>- 0,4 %</v>
      </c>
      <c r="E73" s="1" t="str">
        <f>IFERROR(__xludf.DUMMYFUNCTION("""COMPUTED_VALUE"""),"- 0,3 %")</f>
        <v>- 0,3 %</v>
      </c>
    </row>
    <row r="74">
      <c r="A74" s="2">
        <f>IFERROR(__xludf.DUMMYFUNCTION("""COMPUTED_VALUE"""),43983.0)</f>
        <v>43983</v>
      </c>
      <c r="B74" s="1" t="str">
        <f>IFERROR(__xludf.DUMMYFUNCTION("""COMPUTED_VALUE"""),"5.816 €/m2")</f>
        <v>5.816 €/m2</v>
      </c>
      <c r="C74" s="1" t="str">
        <f>IFERROR(__xludf.DUMMYFUNCTION("""COMPUTED_VALUE"""),"0,0 %")</f>
        <v>0,0 %</v>
      </c>
      <c r="D74" s="1" t="str">
        <f>IFERROR(__xludf.DUMMYFUNCTION("""COMPUTED_VALUE"""),"+ 0,6 %")</f>
        <v>+ 0,6 %</v>
      </c>
      <c r="E74" s="1" t="str">
        <f>IFERROR(__xludf.DUMMYFUNCTION("""COMPUTED_VALUE"""),"0,0 %")</f>
        <v>0,0 %</v>
      </c>
    </row>
    <row r="75">
      <c r="A75" s="2">
        <f>IFERROR(__xludf.DUMMYFUNCTION("""COMPUTED_VALUE"""),43952.0)</f>
        <v>43952</v>
      </c>
      <c r="B75" s="1" t="str">
        <f>IFERROR(__xludf.DUMMYFUNCTION("""COMPUTED_VALUE"""),"5.816 €/m2")</f>
        <v>5.816 €/m2</v>
      </c>
      <c r="C75" s="1" t="str">
        <f>IFERROR(__xludf.DUMMYFUNCTION("""COMPUTED_VALUE"""),"+ 0,5 %")</f>
        <v>+ 0,5 %</v>
      </c>
      <c r="D75" s="1" t="str">
        <f>IFERROR(__xludf.DUMMYFUNCTION("""COMPUTED_VALUE"""),"+ 1,1 %")</f>
        <v>+ 1,1 %</v>
      </c>
      <c r="E75" s="1" t="str">
        <f>IFERROR(__xludf.DUMMYFUNCTION("""COMPUTED_VALUE"""),"+ 0,2 %")</f>
        <v>+ 0,2 %</v>
      </c>
    </row>
    <row r="76">
      <c r="A76" s="2">
        <f>IFERROR(__xludf.DUMMYFUNCTION("""COMPUTED_VALUE"""),43922.0)</f>
        <v>43922</v>
      </c>
      <c r="B76" s="1" t="str">
        <f>IFERROR(__xludf.DUMMYFUNCTION("""COMPUTED_VALUE"""),"5.787 €/m2")</f>
        <v>5.787 €/m2</v>
      </c>
      <c r="C76" s="1" t="str">
        <f>IFERROR(__xludf.DUMMYFUNCTION("""COMPUTED_VALUE"""),"+ 0,1 %")</f>
        <v>+ 0,1 %</v>
      </c>
      <c r="D76" s="1" t="str">
        <f>IFERROR(__xludf.DUMMYFUNCTION("""COMPUTED_VALUE"""),"+ 0,2 %")</f>
        <v>+ 0,2 %</v>
      </c>
      <c r="E76" s="1" t="str">
        <f>IFERROR(__xludf.DUMMYFUNCTION("""COMPUTED_VALUE"""),"- 0,2 %")</f>
        <v>- 0,2 %</v>
      </c>
    </row>
    <row r="77">
      <c r="A77" s="2">
        <f>IFERROR(__xludf.DUMMYFUNCTION("""COMPUTED_VALUE"""),43891.0)</f>
        <v>43891</v>
      </c>
      <c r="B77" s="1" t="str">
        <f>IFERROR(__xludf.DUMMYFUNCTION("""COMPUTED_VALUE"""),"5.779 €/m2")</f>
        <v>5.779 €/m2</v>
      </c>
      <c r="C77" s="1" t="str">
        <f>IFERROR(__xludf.DUMMYFUNCTION("""COMPUTED_VALUE"""),"+ 0,5 %")</f>
        <v>+ 0,5 %</v>
      </c>
      <c r="D77" s="1" t="str">
        <f>IFERROR(__xludf.DUMMYFUNCTION("""COMPUTED_VALUE"""),"+ 0,4 %")</f>
        <v>+ 0,4 %</v>
      </c>
      <c r="E77" s="1" t="str">
        <f>IFERROR(__xludf.DUMMYFUNCTION("""COMPUTED_VALUE"""),"+ 0,6 %")</f>
        <v>+ 0,6 %</v>
      </c>
    </row>
    <row r="78">
      <c r="A78" s="2">
        <f>IFERROR(__xludf.DUMMYFUNCTION("""COMPUTED_VALUE"""),43862.0)</f>
        <v>43862</v>
      </c>
      <c r="B78" s="1" t="str">
        <f>IFERROR(__xludf.DUMMYFUNCTION("""COMPUTED_VALUE"""),"5.750 €/m2")</f>
        <v>5.750 €/m2</v>
      </c>
      <c r="C78" s="1" t="str">
        <f>IFERROR(__xludf.DUMMYFUNCTION("""COMPUTED_VALUE"""),"- 0,4 %")</f>
        <v>- 0,4 %</v>
      </c>
      <c r="D78" s="1" t="str">
        <f>IFERROR(__xludf.DUMMYFUNCTION("""COMPUTED_VALUE"""),"- 0,1 %")</f>
        <v>- 0,1 %</v>
      </c>
      <c r="E78" s="1" t="str">
        <f>IFERROR(__xludf.DUMMYFUNCTION("""COMPUTED_VALUE"""),"0,0 %")</f>
        <v>0,0 %</v>
      </c>
    </row>
    <row r="79">
      <c r="A79" s="2">
        <f>IFERROR(__xludf.DUMMYFUNCTION("""COMPUTED_VALUE"""),43831.0)</f>
        <v>43831</v>
      </c>
      <c r="B79" s="1" t="str">
        <f>IFERROR(__xludf.DUMMYFUNCTION("""COMPUTED_VALUE"""),"5.775 €/m2")</f>
        <v>5.775 €/m2</v>
      </c>
      <c r="C79" s="1" t="str">
        <f>IFERROR(__xludf.DUMMYFUNCTION("""COMPUTED_VALUE"""),"+ 0,3 %")</f>
        <v>+ 0,3 %</v>
      </c>
      <c r="D79" s="1" t="str">
        <f>IFERROR(__xludf.DUMMYFUNCTION("""COMPUTED_VALUE"""),"0,0 %")</f>
        <v>0,0 %</v>
      </c>
      <c r="E79" s="1" t="str">
        <f>IFERROR(__xludf.DUMMYFUNCTION("""COMPUTED_VALUE"""),"+ 1,4 %")</f>
        <v>+ 1,4 %</v>
      </c>
    </row>
    <row r="80">
      <c r="A80" s="2">
        <f>IFERROR(__xludf.DUMMYFUNCTION("""COMPUTED_VALUE"""),43800.0)</f>
        <v>43800</v>
      </c>
      <c r="B80" s="1" t="str">
        <f>IFERROR(__xludf.DUMMYFUNCTION("""COMPUTED_VALUE"""),"5.757 €/m2")</f>
        <v>5.757 €/m2</v>
      </c>
      <c r="C80" s="1" t="str">
        <f>IFERROR(__xludf.DUMMYFUNCTION("""COMPUTED_VALUE"""),"0,0 %")</f>
        <v>0,0 %</v>
      </c>
      <c r="D80" s="1" t="str">
        <f>IFERROR(__xludf.DUMMYFUNCTION("""COMPUTED_VALUE"""),"0,0 %")</f>
        <v>0,0 %</v>
      </c>
      <c r="E80" s="1" t="str">
        <f>IFERROR(__xludf.DUMMYFUNCTION("""COMPUTED_VALUE"""),"+ 1,3 %")</f>
        <v>+ 1,3 %</v>
      </c>
    </row>
    <row r="81">
      <c r="A81" s="2">
        <f>IFERROR(__xludf.DUMMYFUNCTION("""COMPUTED_VALUE"""),43770.0)</f>
        <v>43770</v>
      </c>
      <c r="B81" s="1" t="str">
        <f>IFERROR(__xludf.DUMMYFUNCTION("""COMPUTED_VALUE"""),"5.756 €/m2")</f>
        <v>5.756 €/m2</v>
      </c>
      <c r="C81" s="1" t="str">
        <f>IFERROR(__xludf.DUMMYFUNCTION("""COMPUTED_VALUE"""),"- 0,3 %")</f>
        <v>- 0,3 %</v>
      </c>
      <c r="D81" s="1" t="str">
        <f>IFERROR(__xludf.DUMMYFUNCTION("""COMPUTED_VALUE"""),"- 0,2 %")</f>
        <v>- 0,2 %</v>
      </c>
      <c r="E81" s="1" t="str">
        <f>IFERROR(__xludf.DUMMYFUNCTION("""COMPUTED_VALUE"""),"+ 0,9 %")</f>
        <v>+ 0,9 %</v>
      </c>
    </row>
    <row r="82">
      <c r="A82" s="2">
        <f>IFERROR(__xludf.DUMMYFUNCTION("""COMPUTED_VALUE"""),43739.0)</f>
        <v>43739</v>
      </c>
      <c r="B82" s="1" t="str">
        <f>IFERROR(__xludf.DUMMYFUNCTION("""COMPUTED_VALUE"""),"5.776 €/m2")</f>
        <v>5.776 €/m2</v>
      </c>
      <c r="C82" s="1" t="str">
        <f>IFERROR(__xludf.DUMMYFUNCTION("""COMPUTED_VALUE"""),"+ 0,3 %")</f>
        <v>+ 0,3 %</v>
      </c>
      <c r="D82" s="1" t="str">
        <f>IFERROR(__xludf.DUMMYFUNCTION("""COMPUTED_VALUE"""),"- 0,1 %")</f>
        <v>- 0,1 %</v>
      </c>
      <c r="E82" s="1" t="str">
        <f>IFERROR(__xludf.DUMMYFUNCTION("""COMPUTED_VALUE"""),"+ 2,1 %")</f>
        <v>+ 2,1 %</v>
      </c>
    </row>
    <row r="83">
      <c r="A83" s="2">
        <f>IFERROR(__xludf.DUMMYFUNCTION("""COMPUTED_VALUE"""),43709.0)</f>
        <v>43709</v>
      </c>
      <c r="B83" s="1" t="str">
        <f>IFERROR(__xludf.DUMMYFUNCTION("""COMPUTED_VALUE"""),"5.760 €/m2")</f>
        <v>5.760 €/m2</v>
      </c>
      <c r="C83" s="1" t="str">
        <f>IFERROR(__xludf.DUMMYFUNCTION("""COMPUTED_VALUE"""),"- 0,2 %")</f>
        <v>- 0,2 %</v>
      </c>
      <c r="D83" s="1" t="str">
        <f>IFERROR(__xludf.DUMMYFUNCTION("""COMPUTED_VALUE"""),"- 1,0 %")</f>
        <v>- 1,0 %</v>
      </c>
      <c r="E83" s="1" t="str">
        <f>IFERROR(__xludf.DUMMYFUNCTION("""COMPUTED_VALUE"""),"+ 3,1 %")</f>
        <v>+ 3,1 %</v>
      </c>
    </row>
    <row r="84">
      <c r="A84" s="2">
        <f>IFERROR(__xludf.DUMMYFUNCTION("""COMPUTED_VALUE"""),43678.0)</f>
        <v>43678</v>
      </c>
      <c r="B84" s="1" t="str">
        <f>IFERROR(__xludf.DUMMYFUNCTION("""COMPUTED_VALUE"""),"5.770 €/m2")</f>
        <v>5.770 €/m2</v>
      </c>
      <c r="C84" s="1" t="str">
        <f>IFERROR(__xludf.DUMMYFUNCTION("""COMPUTED_VALUE"""),"- 0,2 %")</f>
        <v>- 0,2 %</v>
      </c>
      <c r="D84" s="1" t="str">
        <f>IFERROR(__xludf.DUMMYFUNCTION("""COMPUTED_VALUE"""),"- 0,6 %")</f>
        <v>- 0,6 %</v>
      </c>
      <c r="E84" s="1" t="str">
        <f>IFERROR(__xludf.DUMMYFUNCTION("""COMPUTED_VALUE"""),"+ 2,7 %")</f>
        <v>+ 2,7 %</v>
      </c>
    </row>
    <row r="85">
      <c r="A85" s="2">
        <f>IFERROR(__xludf.DUMMYFUNCTION("""COMPUTED_VALUE"""),43647.0)</f>
        <v>43647</v>
      </c>
      <c r="B85" s="1" t="str">
        <f>IFERROR(__xludf.DUMMYFUNCTION("""COMPUTED_VALUE"""),"5.781 €/m2")</f>
        <v>5.781 €/m2</v>
      </c>
      <c r="C85" s="1" t="str">
        <f>IFERROR(__xludf.DUMMYFUNCTION("""COMPUTED_VALUE"""),"- 0,6 %")</f>
        <v>- 0,6 %</v>
      </c>
      <c r="D85" s="1" t="str">
        <f>IFERROR(__xludf.DUMMYFUNCTION("""COMPUTED_VALUE"""),"- 0,3 %")</f>
        <v>- 0,3 %</v>
      </c>
      <c r="E85" s="1" t="str">
        <f>IFERROR(__xludf.DUMMYFUNCTION("""COMPUTED_VALUE"""),"+ 3,8 %")</f>
        <v>+ 3,8 %</v>
      </c>
    </row>
    <row r="86">
      <c r="A86" s="2">
        <f>IFERROR(__xludf.DUMMYFUNCTION("""COMPUTED_VALUE"""),43617.0)</f>
        <v>43617</v>
      </c>
      <c r="B86" s="1" t="str">
        <f>IFERROR(__xludf.DUMMYFUNCTION("""COMPUTED_VALUE"""),"5.817 €/m2")</f>
        <v>5.817 €/m2</v>
      </c>
      <c r="C86" s="1" t="str">
        <f>IFERROR(__xludf.DUMMYFUNCTION("""COMPUTED_VALUE"""),"+ 0,2 %")</f>
        <v>+ 0,2 %</v>
      </c>
      <c r="D86" s="1" t="str">
        <f>IFERROR(__xludf.DUMMYFUNCTION("""COMPUTED_VALUE"""),"+ 1,3 %")</f>
        <v>+ 1,3 %</v>
      </c>
      <c r="E86" s="1" t="str">
        <f>IFERROR(__xludf.DUMMYFUNCTION("""COMPUTED_VALUE"""),"+ 6,6 %")</f>
        <v>+ 6,6 %</v>
      </c>
    </row>
    <row r="87">
      <c r="A87" s="2">
        <f>IFERROR(__xludf.DUMMYFUNCTION("""COMPUTED_VALUE"""),43586.0)</f>
        <v>43586</v>
      </c>
      <c r="B87" s="1" t="str">
        <f>IFERROR(__xludf.DUMMYFUNCTION("""COMPUTED_VALUE"""),"5.805 €/m2")</f>
        <v>5.805 €/m2</v>
      </c>
      <c r="C87" s="1" t="str">
        <f>IFERROR(__xludf.DUMMYFUNCTION("""COMPUTED_VALUE"""),"+ 0,1 %")</f>
        <v>+ 0,1 %</v>
      </c>
      <c r="D87" s="1" t="str">
        <f>IFERROR(__xludf.DUMMYFUNCTION("""COMPUTED_VALUE"""),"+ 1,0 %")</f>
        <v>+ 1,0 %</v>
      </c>
      <c r="E87" s="1" t="str">
        <f>IFERROR(__xludf.DUMMYFUNCTION("""COMPUTED_VALUE"""),"+ 7,8 %")</f>
        <v>+ 7,8 %</v>
      </c>
    </row>
    <row r="88">
      <c r="A88" s="2">
        <f>IFERROR(__xludf.DUMMYFUNCTION("""COMPUTED_VALUE"""),43556.0)</f>
        <v>43556</v>
      </c>
      <c r="B88" s="1" t="str">
        <f>IFERROR(__xludf.DUMMYFUNCTION("""COMPUTED_VALUE"""),"5.800 €/m2")</f>
        <v>5.800 €/m2</v>
      </c>
      <c r="C88" s="1" t="str">
        <f>IFERROR(__xludf.DUMMYFUNCTION("""COMPUTED_VALUE"""),"+ 1,0 %")</f>
        <v>+ 1,0 %</v>
      </c>
      <c r="D88" s="1" t="str">
        <f>IFERROR(__xludf.DUMMYFUNCTION("""COMPUTED_VALUE"""),"+ 1,8 %")</f>
        <v>+ 1,8 %</v>
      </c>
      <c r="E88" s="1" t="str">
        <f>IFERROR(__xludf.DUMMYFUNCTION("""COMPUTED_VALUE"""),"+ 8,4 %")</f>
        <v>+ 8,4 %</v>
      </c>
    </row>
    <row r="89">
      <c r="A89" s="2">
        <f>IFERROR(__xludf.DUMMYFUNCTION("""COMPUTED_VALUE"""),43525.0)</f>
        <v>43525</v>
      </c>
      <c r="B89" s="1" t="str">
        <f>IFERROR(__xludf.DUMMYFUNCTION("""COMPUTED_VALUE"""),"5.742 €/m2")</f>
        <v>5.742 €/m2</v>
      </c>
      <c r="C89" s="1" t="str">
        <f>IFERROR(__xludf.DUMMYFUNCTION("""COMPUTED_VALUE"""),"- 0,1 %")</f>
        <v>- 0,1 %</v>
      </c>
      <c r="D89" s="1" t="str">
        <f>IFERROR(__xludf.DUMMYFUNCTION("""COMPUTED_VALUE"""),"+ 1,0 %")</f>
        <v>+ 1,0 %</v>
      </c>
      <c r="E89" s="1" t="str">
        <f>IFERROR(__xludf.DUMMYFUNCTION("""COMPUTED_VALUE"""),"+ 8,2 %")</f>
        <v>+ 8,2 %</v>
      </c>
    </row>
    <row r="90">
      <c r="A90" s="2">
        <f>IFERROR(__xludf.DUMMYFUNCTION("""COMPUTED_VALUE"""),43497.0)</f>
        <v>43497</v>
      </c>
      <c r="B90" s="1" t="str">
        <f>IFERROR(__xludf.DUMMYFUNCTION("""COMPUTED_VALUE"""),"5.749 €/m2")</f>
        <v>5.749 €/m2</v>
      </c>
      <c r="C90" s="1" t="str">
        <f>IFERROR(__xludf.DUMMYFUNCTION("""COMPUTED_VALUE"""),"+ 0,9 %")</f>
        <v>+ 0,9 %</v>
      </c>
      <c r="D90" s="1" t="str">
        <f>IFERROR(__xludf.DUMMYFUNCTION("""COMPUTED_VALUE"""),"+ 0,8 %")</f>
        <v>+ 0,8 %</v>
      </c>
      <c r="E90" s="1" t="str">
        <f>IFERROR(__xludf.DUMMYFUNCTION("""COMPUTED_VALUE"""),"+ 9,8 %")</f>
        <v>+ 9,8 %</v>
      </c>
    </row>
    <row r="91">
      <c r="A91" s="2">
        <f>IFERROR(__xludf.DUMMYFUNCTION("""COMPUTED_VALUE"""),43466.0)</f>
        <v>43466</v>
      </c>
      <c r="B91" s="1" t="str">
        <f>IFERROR(__xludf.DUMMYFUNCTION("""COMPUTED_VALUE"""),"5.697 €/m2")</f>
        <v>5.697 €/m2</v>
      </c>
      <c r="C91" s="1" t="str">
        <f>IFERROR(__xludf.DUMMYFUNCTION("""COMPUTED_VALUE"""),"+ 0,2 %")</f>
        <v>+ 0,2 %</v>
      </c>
      <c r="D91" s="1" t="str">
        <f>IFERROR(__xludf.DUMMYFUNCTION("""COMPUTED_VALUE"""),"+ 0,8 %")</f>
        <v>+ 0,8 %</v>
      </c>
      <c r="E91" s="1" t="str">
        <f>IFERROR(__xludf.DUMMYFUNCTION("""COMPUTED_VALUE"""),"+ 10,3 %")</f>
        <v>+ 10,3 %</v>
      </c>
    </row>
    <row r="92">
      <c r="A92" s="2">
        <f>IFERROR(__xludf.DUMMYFUNCTION("""COMPUTED_VALUE"""),43435.0)</f>
        <v>43435</v>
      </c>
      <c r="B92" s="1" t="str">
        <f>IFERROR(__xludf.DUMMYFUNCTION("""COMPUTED_VALUE"""),"5.684 €/m2")</f>
        <v>5.684 €/m2</v>
      </c>
      <c r="C92" s="1" t="str">
        <f>IFERROR(__xludf.DUMMYFUNCTION("""COMPUTED_VALUE"""),"- 0,3 %")</f>
        <v>- 0,3 %</v>
      </c>
      <c r="D92" s="1" t="str">
        <f>IFERROR(__xludf.DUMMYFUNCTION("""COMPUTED_VALUE"""),"+ 1,7 %")</f>
        <v>+ 1,7 %</v>
      </c>
      <c r="E92" s="1" t="str">
        <f>IFERROR(__xludf.DUMMYFUNCTION("""COMPUTED_VALUE"""),"+ 11,5 %")</f>
        <v>+ 11,5 %</v>
      </c>
    </row>
    <row r="93">
      <c r="A93" s="2">
        <f>IFERROR(__xludf.DUMMYFUNCTION("""COMPUTED_VALUE"""),43405.0)</f>
        <v>43405</v>
      </c>
      <c r="B93" s="1" t="str">
        <f>IFERROR(__xludf.DUMMYFUNCTION("""COMPUTED_VALUE"""),"5.704 €/m2")</f>
        <v>5.704 €/m2</v>
      </c>
      <c r="C93" s="1" t="str">
        <f>IFERROR(__xludf.DUMMYFUNCTION("""COMPUTED_VALUE"""),"+ 0,9 %")</f>
        <v>+ 0,9 %</v>
      </c>
      <c r="D93" s="1" t="str">
        <f>IFERROR(__xludf.DUMMYFUNCTION("""COMPUTED_VALUE"""),"+ 1,5 %")</f>
        <v>+ 1,5 %</v>
      </c>
      <c r="E93" s="1" t="str">
        <f>IFERROR(__xludf.DUMMYFUNCTION("""COMPUTED_VALUE"""),"+ 14,7 %")</f>
        <v>+ 14,7 %</v>
      </c>
    </row>
    <row r="94">
      <c r="A94" s="2">
        <f>IFERROR(__xludf.DUMMYFUNCTION("""COMPUTED_VALUE"""),43374.0)</f>
        <v>43374</v>
      </c>
      <c r="B94" s="1" t="str">
        <f>IFERROR(__xludf.DUMMYFUNCTION("""COMPUTED_VALUE"""),"5.654 €/m2")</f>
        <v>5.654 €/m2</v>
      </c>
      <c r="C94" s="1" t="str">
        <f>IFERROR(__xludf.DUMMYFUNCTION("""COMPUTED_VALUE"""),"+ 1,2 %")</f>
        <v>+ 1,2 %</v>
      </c>
      <c r="D94" s="1" t="str">
        <f>IFERROR(__xludf.DUMMYFUNCTION("""COMPUTED_VALUE"""),"+ 1,5 %")</f>
        <v>+ 1,5 %</v>
      </c>
      <c r="E94" s="1" t="str">
        <f>IFERROR(__xludf.DUMMYFUNCTION("""COMPUTED_VALUE"""),"+ 15,1 %")</f>
        <v>+ 15,1 %</v>
      </c>
    </row>
    <row r="95">
      <c r="A95" s="2">
        <f>IFERROR(__xludf.DUMMYFUNCTION("""COMPUTED_VALUE"""),43344.0)</f>
        <v>43344</v>
      </c>
      <c r="B95" s="1" t="str">
        <f>IFERROR(__xludf.DUMMYFUNCTION("""COMPUTED_VALUE"""),"5.589 €/m2")</f>
        <v>5.589 €/m2</v>
      </c>
      <c r="C95" s="1" t="str">
        <f>IFERROR(__xludf.DUMMYFUNCTION("""COMPUTED_VALUE"""),"- 0,5 %")</f>
        <v>- 0,5 %</v>
      </c>
      <c r="D95" s="1" t="str">
        <f>IFERROR(__xludf.DUMMYFUNCTION("""COMPUTED_VALUE"""),"+ 2,4 %")</f>
        <v>+ 2,4 %</v>
      </c>
      <c r="E95" s="1" t="str">
        <f>IFERROR(__xludf.DUMMYFUNCTION("""COMPUTED_VALUE"""),"+ 14,5 %")</f>
        <v>+ 14,5 %</v>
      </c>
    </row>
    <row r="96">
      <c r="A96" s="2">
        <f>IFERROR(__xludf.DUMMYFUNCTION("""COMPUTED_VALUE"""),43313.0)</f>
        <v>43313</v>
      </c>
      <c r="B96" s="1" t="str">
        <f>IFERROR(__xludf.DUMMYFUNCTION("""COMPUTED_VALUE"""),"5.620 €/m2")</f>
        <v>5.620 €/m2</v>
      </c>
      <c r="C96" s="1" t="str">
        <f>IFERROR(__xludf.DUMMYFUNCTION("""COMPUTED_VALUE"""),"+ 0,9 %")</f>
        <v>+ 0,9 %</v>
      </c>
      <c r="D96" s="1" t="str">
        <f>IFERROR(__xludf.DUMMYFUNCTION("""COMPUTED_VALUE"""),"+ 4,3 %")</f>
        <v>+ 4,3 %</v>
      </c>
      <c r="E96" s="1" t="str">
        <f>IFERROR(__xludf.DUMMYFUNCTION("""COMPUTED_VALUE"""),"+ 15,4 %")</f>
        <v>+ 15,4 %</v>
      </c>
    </row>
    <row r="97">
      <c r="A97" s="2">
        <f>IFERROR(__xludf.DUMMYFUNCTION("""COMPUTED_VALUE"""),43282.0)</f>
        <v>43282</v>
      </c>
      <c r="B97" s="1" t="str">
        <f>IFERROR(__xludf.DUMMYFUNCTION("""COMPUTED_VALUE"""),"5.570 €/m2")</f>
        <v>5.570 €/m2</v>
      </c>
      <c r="C97" s="1" t="str">
        <f>IFERROR(__xludf.DUMMYFUNCTION("""COMPUTED_VALUE"""),"+ 2,0 %")</f>
        <v>+ 2,0 %</v>
      </c>
      <c r="D97" s="1" t="str">
        <f>IFERROR(__xludf.DUMMYFUNCTION("""COMPUTED_VALUE"""),"+ 4,1 %")</f>
        <v>+ 4,1 %</v>
      </c>
      <c r="E97" s="1" t="str">
        <f>IFERROR(__xludf.DUMMYFUNCTION("""COMPUTED_VALUE"""),"+ 15,5 %")</f>
        <v>+ 15,5 %</v>
      </c>
    </row>
    <row r="98">
      <c r="A98" s="2">
        <f>IFERROR(__xludf.DUMMYFUNCTION("""COMPUTED_VALUE"""),43252.0)</f>
        <v>43252</v>
      </c>
      <c r="B98" s="1" t="str">
        <f>IFERROR(__xludf.DUMMYFUNCTION("""COMPUTED_VALUE"""),"5.459 €/m2")</f>
        <v>5.459 €/m2</v>
      </c>
      <c r="C98" s="1" t="str">
        <f>IFERROR(__xludf.DUMMYFUNCTION("""COMPUTED_VALUE"""),"+ 1,3 %")</f>
        <v>+ 1,3 %</v>
      </c>
      <c r="D98" s="1" t="str">
        <f>IFERROR(__xludf.DUMMYFUNCTION("""COMPUTED_VALUE"""),"+ 2,8 %")</f>
        <v>+ 2,8 %</v>
      </c>
      <c r="E98" s="1" t="str">
        <f>IFERROR(__xludf.DUMMYFUNCTION("""COMPUTED_VALUE"""),"+ 15,8 %")</f>
        <v>+ 15,8 %</v>
      </c>
    </row>
    <row r="99">
      <c r="A99" s="2">
        <f>IFERROR(__xludf.DUMMYFUNCTION("""COMPUTED_VALUE"""),43221.0)</f>
        <v>43221</v>
      </c>
      <c r="B99" s="1" t="str">
        <f>IFERROR(__xludf.DUMMYFUNCTION("""COMPUTED_VALUE"""),"5.388 €/m2")</f>
        <v>5.388 €/m2</v>
      </c>
      <c r="C99" s="1" t="str">
        <f>IFERROR(__xludf.DUMMYFUNCTION("""COMPUTED_VALUE"""),"+ 0,7 %")</f>
        <v>+ 0,7 %</v>
      </c>
      <c r="D99" s="1" t="str">
        <f>IFERROR(__xludf.DUMMYFUNCTION("""COMPUTED_VALUE"""),"+ 2,9 %")</f>
        <v>+ 2,9 %</v>
      </c>
      <c r="E99" s="1" t="str">
        <f>IFERROR(__xludf.DUMMYFUNCTION("""COMPUTED_VALUE"""),"+ 16,7 %")</f>
        <v>+ 16,7 %</v>
      </c>
    </row>
    <row r="100">
      <c r="A100" s="2">
        <f>IFERROR(__xludf.DUMMYFUNCTION("""COMPUTED_VALUE"""),43191.0)</f>
        <v>43191</v>
      </c>
      <c r="B100" s="1" t="str">
        <f>IFERROR(__xludf.DUMMYFUNCTION("""COMPUTED_VALUE"""),"5.348 €/m2")</f>
        <v>5.348 €/m2</v>
      </c>
      <c r="C100" s="1" t="str">
        <f>IFERROR(__xludf.DUMMYFUNCTION("""COMPUTED_VALUE"""),"+ 0,7 %")</f>
        <v>+ 0,7 %</v>
      </c>
      <c r="D100" s="1" t="str">
        <f>IFERROR(__xludf.DUMMYFUNCTION("""COMPUTED_VALUE"""),"+ 3,6 %")</f>
        <v>+ 3,6 %</v>
      </c>
      <c r="E100" s="1" t="str">
        <f>IFERROR(__xludf.DUMMYFUNCTION("""COMPUTED_VALUE"""),"+ 17,3 %")</f>
        <v>+ 17,3 %</v>
      </c>
    </row>
    <row r="101">
      <c r="A101" s="2">
        <f>IFERROR(__xludf.DUMMYFUNCTION("""COMPUTED_VALUE"""),43160.0)</f>
        <v>43160</v>
      </c>
      <c r="B101" s="1" t="str">
        <f>IFERROR(__xludf.DUMMYFUNCTION("""COMPUTED_VALUE"""),"5.309 €/m2")</f>
        <v>5.309 €/m2</v>
      </c>
      <c r="C101" s="1" t="str">
        <f>IFERROR(__xludf.DUMMYFUNCTION("""COMPUTED_VALUE"""),"+ 1,4 %")</f>
        <v>+ 1,4 %</v>
      </c>
      <c r="D101" s="1" t="str">
        <f>IFERROR(__xludf.DUMMYFUNCTION("""COMPUTED_VALUE"""),"+ 4,2 %")</f>
        <v>+ 4,2 %</v>
      </c>
      <c r="E101" s="1" t="str">
        <f>IFERROR(__xludf.DUMMYFUNCTION("""COMPUTED_VALUE"""),"+ 16,4 %")</f>
        <v>+ 16,4 %</v>
      </c>
    </row>
    <row r="102">
      <c r="A102" s="2">
        <f>IFERROR(__xludf.DUMMYFUNCTION("""COMPUTED_VALUE"""),43132.0)</f>
        <v>43132</v>
      </c>
      <c r="B102" s="1" t="str">
        <f>IFERROR(__xludf.DUMMYFUNCTION("""COMPUTED_VALUE"""),"5.236 €/m2")</f>
        <v>5.236 €/m2</v>
      </c>
      <c r="C102" s="1" t="str">
        <f>IFERROR(__xludf.DUMMYFUNCTION("""COMPUTED_VALUE"""),"+ 1,4 %")</f>
        <v>+ 1,4 %</v>
      </c>
      <c r="D102" s="1" t="str">
        <f>IFERROR(__xludf.DUMMYFUNCTION("""COMPUTED_VALUE"""),"+ 5,3 %")</f>
        <v>+ 5,3 %</v>
      </c>
      <c r="E102" s="1" t="str">
        <f>IFERROR(__xludf.DUMMYFUNCTION("""COMPUTED_VALUE"""),"+ 14,1 %")</f>
        <v>+ 14,1 %</v>
      </c>
    </row>
    <row r="103">
      <c r="A103" s="2">
        <f>IFERROR(__xludf.DUMMYFUNCTION("""COMPUTED_VALUE"""),43101.0)</f>
        <v>43101</v>
      </c>
      <c r="B103" s="1" t="str">
        <f>IFERROR(__xludf.DUMMYFUNCTION("""COMPUTED_VALUE"""),"5.163 €/m2")</f>
        <v>5.163 €/m2</v>
      </c>
      <c r="C103" s="1" t="str">
        <f>IFERROR(__xludf.DUMMYFUNCTION("""COMPUTED_VALUE"""),"+ 1,3 %")</f>
        <v>+ 1,3 %</v>
      </c>
      <c r="D103" s="1" t="str">
        <f>IFERROR(__xludf.DUMMYFUNCTION("""COMPUTED_VALUE"""),"+ 5,1 %")</f>
        <v>+ 5,1 %</v>
      </c>
      <c r="E103" s="1" t="str">
        <f>IFERROR(__xludf.DUMMYFUNCTION("""COMPUTED_VALUE"""),"+ 13,6 %")</f>
        <v>+ 13,6 %</v>
      </c>
    </row>
    <row r="104">
      <c r="A104" s="2">
        <f>IFERROR(__xludf.DUMMYFUNCTION("""COMPUTED_VALUE"""),43070.0)</f>
        <v>43070</v>
      </c>
      <c r="B104" s="1" t="str">
        <f>IFERROR(__xludf.DUMMYFUNCTION("""COMPUTED_VALUE"""),"5.098 €/m2")</f>
        <v>5.098 €/m2</v>
      </c>
      <c r="C104" s="1" t="str">
        <f>IFERROR(__xludf.DUMMYFUNCTION("""COMPUTED_VALUE"""),"+ 2,5 %")</f>
        <v>+ 2,5 %</v>
      </c>
      <c r="D104" s="1" t="str">
        <f>IFERROR(__xludf.DUMMYFUNCTION("""COMPUTED_VALUE"""),"+ 4,4 %")</f>
        <v>+ 4,4 %</v>
      </c>
      <c r="E104" s="1" t="str">
        <f>IFERROR(__xludf.DUMMYFUNCTION("""COMPUTED_VALUE"""),"+ 13,0 %")</f>
        <v>+ 13,0 %</v>
      </c>
    </row>
    <row r="105">
      <c r="A105" s="2">
        <f>IFERROR(__xludf.DUMMYFUNCTION("""COMPUTED_VALUE"""),43040.0)</f>
        <v>43040</v>
      </c>
      <c r="B105" s="1" t="str">
        <f>IFERROR(__xludf.DUMMYFUNCTION("""COMPUTED_VALUE"""),"4.974 €/m2")</f>
        <v>4.974 €/m2</v>
      </c>
      <c r="C105" s="1" t="str">
        <f>IFERROR(__xludf.DUMMYFUNCTION("""COMPUTED_VALUE"""),"+ 1,2 %")</f>
        <v>+ 1,2 %</v>
      </c>
      <c r="D105" s="1" t="str">
        <f>IFERROR(__xludf.DUMMYFUNCTION("""COMPUTED_VALUE"""),"+ 2,1 %")</f>
        <v>+ 2,1 %</v>
      </c>
      <c r="E105" s="1" t="str">
        <f>IFERROR(__xludf.DUMMYFUNCTION("""COMPUTED_VALUE"""),"+ 12,8 %")</f>
        <v>+ 12,8 %</v>
      </c>
    </row>
    <row r="106">
      <c r="A106" s="2">
        <f>IFERROR(__xludf.DUMMYFUNCTION("""COMPUTED_VALUE"""),43009.0)</f>
        <v>43009</v>
      </c>
      <c r="B106" s="1" t="str">
        <f>IFERROR(__xludf.DUMMYFUNCTION("""COMPUTED_VALUE"""),"4.915 €/m2")</f>
        <v>4.915 €/m2</v>
      </c>
      <c r="C106" s="1" t="str">
        <f>IFERROR(__xludf.DUMMYFUNCTION("""COMPUTED_VALUE"""),"+ 0,6 %")</f>
        <v>+ 0,6 %</v>
      </c>
      <c r="D106" s="1" t="str">
        <f>IFERROR(__xludf.DUMMYFUNCTION("""COMPUTED_VALUE"""),"+ 1,9 %")</f>
        <v>+ 1,9 %</v>
      </c>
      <c r="E106" s="1" t="str">
        <f>IFERROR(__xludf.DUMMYFUNCTION("""COMPUTED_VALUE"""),"+ 11,8 %")</f>
        <v>+ 11,8 %</v>
      </c>
    </row>
    <row r="107">
      <c r="A107" s="2">
        <f>IFERROR(__xludf.DUMMYFUNCTION("""COMPUTED_VALUE"""),42979.0)</f>
        <v>42979</v>
      </c>
      <c r="B107" s="1" t="str">
        <f>IFERROR(__xludf.DUMMYFUNCTION("""COMPUTED_VALUE"""),"4.883 €/m2")</f>
        <v>4.883 €/m2</v>
      </c>
      <c r="C107" s="1" t="str">
        <f>IFERROR(__xludf.DUMMYFUNCTION("""COMPUTED_VALUE"""),"+ 0,2 %")</f>
        <v>+ 0,2 %</v>
      </c>
      <c r="D107" s="1" t="str">
        <f>IFERROR(__xludf.DUMMYFUNCTION("""COMPUTED_VALUE"""),"+ 3,6 %")</f>
        <v>+ 3,6 %</v>
      </c>
      <c r="E107" s="1" t="str">
        <f>IFERROR(__xludf.DUMMYFUNCTION("""COMPUTED_VALUE"""),"+ 11,4 %")</f>
        <v>+ 11,4 %</v>
      </c>
    </row>
    <row r="108">
      <c r="A108" s="2">
        <f>IFERROR(__xludf.DUMMYFUNCTION("""COMPUTED_VALUE"""),42948.0)</f>
        <v>42948</v>
      </c>
      <c r="B108" s="1" t="str">
        <f>IFERROR(__xludf.DUMMYFUNCTION("""COMPUTED_VALUE"""),"4.872 €/m2")</f>
        <v>4.872 €/m2</v>
      </c>
      <c r="C108" s="1" t="str">
        <f>IFERROR(__xludf.DUMMYFUNCTION("""COMPUTED_VALUE"""),"+ 1,0 %")</f>
        <v>+ 1,0 %</v>
      </c>
      <c r="D108" s="1" t="str">
        <f>IFERROR(__xludf.DUMMYFUNCTION("""COMPUTED_VALUE"""),"+ 5,5 %")</f>
        <v>+ 5,5 %</v>
      </c>
      <c r="E108" s="1" t="str">
        <f>IFERROR(__xludf.DUMMYFUNCTION("""COMPUTED_VALUE"""),"+ 12,3 %")</f>
        <v>+ 12,3 %</v>
      </c>
    </row>
    <row r="109">
      <c r="A109" s="2">
        <f>IFERROR(__xludf.DUMMYFUNCTION("""COMPUTED_VALUE"""),42917.0)</f>
        <v>42917</v>
      </c>
      <c r="B109" s="1" t="str">
        <f>IFERROR(__xludf.DUMMYFUNCTION("""COMPUTED_VALUE"""),"4.822 €/m2")</f>
        <v>4.822 €/m2</v>
      </c>
      <c r="C109" s="1" t="str">
        <f>IFERROR(__xludf.DUMMYFUNCTION("""COMPUTED_VALUE"""),"+ 2,3 %")</f>
        <v>+ 2,3 %</v>
      </c>
      <c r="D109" s="1" t="str">
        <f>IFERROR(__xludf.DUMMYFUNCTION("""COMPUTED_VALUE"""),"+ 5,8 %")</f>
        <v>+ 5,8 %</v>
      </c>
      <c r="E109" s="1" t="str">
        <f>IFERROR(__xludf.DUMMYFUNCTION("""COMPUTED_VALUE"""),"+ 11,6 %")</f>
        <v>+ 11,6 %</v>
      </c>
    </row>
    <row r="110">
      <c r="A110" s="2">
        <f>IFERROR(__xludf.DUMMYFUNCTION("""COMPUTED_VALUE"""),42887.0)</f>
        <v>42887</v>
      </c>
      <c r="B110" s="1" t="str">
        <f>IFERROR(__xludf.DUMMYFUNCTION("""COMPUTED_VALUE"""),"4.713 €/m2")</f>
        <v>4.713 €/m2</v>
      </c>
      <c r="C110" s="1" t="str">
        <f>IFERROR(__xludf.DUMMYFUNCTION("""COMPUTED_VALUE"""),"+ 2,1 %")</f>
        <v>+ 2,1 %</v>
      </c>
      <c r="D110" s="1" t="str">
        <f>IFERROR(__xludf.DUMMYFUNCTION("""COMPUTED_VALUE"""),"+ 3,3 %")</f>
        <v>+ 3,3 %</v>
      </c>
      <c r="E110" s="1" t="str">
        <f>IFERROR(__xludf.DUMMYFUNCTION("""COMPUTED_VALUE"""),"+ 9,2 %")</f>
        <v>+ 9,2 %</v>
      </c>
    </row>
    <row r="111">
      <c r="A111" s="2">
        <f>IFERROR(__xludf.DUMMYFUNCTION("""COMPUTED_VALUE"""),42856.0)</f>
        <v>42856</v>
      </c>
      <c r="B111" s="1" t="str">
        <f>IFERROR(__xludf.DUMMYFUNCTION("""COMPUTED_VALUE"""),"4.616 €/m2")</f>
        <v>4.616 €/m2</v>
      </c>
      <c r="C111" s="1" t="str">
        <f>IFERROR(__xludf.DUMMYFUNCTION("""COMPUTED_VALUE"""),"+ 1,3 %")</f>
        <v>+ 1,3 %</v>
      </c>
      <c r="D111" s="1" t="str">
        <f>IFERROR(__xludf.DUMMYFUNCTION("""COMPUTED_VALUE"""),"+ 0,6 %")</f>
        <v>+ 0,6 %</v>
      </c>
      <c r="E111" s="1" t="str">
        <f>IFERROR(__xludf.DUMMYFUNCTION("""COMPUTED_VALUE"""),"+ 7,7 %")</f>
        <v>+ 7,7 %</v>
      </c>
    </row>
    <row r="112">
      <c r="A112" s="2">
        <f>IFERROR(__xludf.DUMMYFUNCTION("""COMPUTED_VALUE"""),42826.0)</f>
        <v>42826</v>
      </c>
      <c r="B112" s="1" t="str">
        <f>IFERROR(__xludf.DUMMYFUNCTION("""COMPUTED_VALUE"""),"4.559 €/m2")</f>
        <v>4.559 €/m2</v>
      </c>
      <c r="C112" s="1" t="str">
        <f>IFERROR(__xludf.DUMMYFUNCTION("""COMPUTED_VALUE"""),"0,0 %")</f>
        <v>0,0 %</v>
      </c>
      <c r="D112" s="1" t="str">
        <f>IFERROR(__xludf.DUMMYFUNCTION("""COMPUTED_VALUE"""),"+ 0,3 %")</f>
        <v>+ 0,3 %</v>
      </c>
      <c r="E112" s="1" t="str">
        <f>IFERROR(__xludf.DUMMYFUNCTION("""COMPUTED_VALUE"""),"+ 6,0 %")</f>
        <v>+ 6,0 %</v>
      </c>
    </row>
    <row r="113">
      <c r="A113" s="2">
        <f>IFERROR(__xludf.DUMMYFUNCTION("""COMPUTED_VALUE"""),42795.0)</f>
        <v>42795</v>
      </c>
      <c r="B113" s="1" t="str">
        <f>IFERROR(__xludf.DUMMYFUNCTION("""COMPUTED_VALUE"""),"4.561 €/m2")</f>
        <v>4.561 €/m2</v>
      </c>
      <c r="C113" s="1" t="str">
        <f>IFERROR(__xludf.DUMMYFUNCTION("""COMPUTED_VALUE"""),"- 0,6 %")</f>
        <v>- 0,6 %</v>
      </c>
      <c r="D113" s="1" t="str">
        <f>IFERROR(__xludf.DUMMYFUNCTION("""COMPUTED_VALUE"""),"+ 1,1 %")</f>
        <v>+ 1,1 %</v>
      </c>
      <c r="E113" s="1" t="str">
        <f>IFERROR(__xludf.DUMMYFUNCTION("""COMPUTED_VALUE"""),"+ 6,1 %")</f>
        <v>+ 6,1 %</v>
      </c>
    </row>
    <row r="114">
      <c r="A114" s="2">
        <f>IFERROR(__xludf.DUMMYFUNCTION("""COMPUTED_VALUE"""),42767.0)</f>
        <v>42767</v>
      </c>
      <c r="B114" s="1" t="str">
        <f>IFERROR(__xludf.DUMMYFUNCTION("""COMPUTED_VALUE"""),"4.589 €/m2")</f>
        <v>4.589 €/m2</v>
      </c>
      <c r="C114" s="1" t="str">
        <f>IFERROR(__xludf.DUMMYFUNCTION("""COMPUTED_VALUE"""),"+ 0,9 %")</f>
        <v>+ 0,9 %</v>
      </c>
      <c r="D114" s="1" t="str">
        <f>IFERROR(__xludf.DUMMYFUNCTION("""COMPUTED_VALUE"""),"+ 4,1 %")</f>
        <v>+ 4,1 %</v>
      </c>
      <c r="E114" s="1" t="str">
        <f>IFERROR(__xludf.DUMMYFUNCTION("""COMPUTED_VALUE"""),"+ 6,2 %")</f>
        <v>+ 6,2 %</v>
      </c>
    </row>
    <row r="115">
      <c r="A115" s="2">
        <f>IFERROR(__xludf.DUMMYFUNCTION("""COMPUTED_VALUE"""),42736.0)</f>
        <v>42736</v>
      </c>
      <c r="B115" s="1" t="str">
        <f>IFERROR(__xludf.DUMMYFUNCTION("""COMPUTED_VALUE"""),"4.547 €/m2")</f>
        <v>4.547 €/m2</v>
      </c>
      <c r="C115" s="1" t="str">
        <f>IFERROR(__xludf.DUMMYFUNCTION("""COMPUTED_VALUE"""),"+ 0,8 %")</f>
        <v>+ 0,8 %</v>
      </c>
      <c r="D115" s="1" t="str">
        <f>IFERROR(__xludf.DUMMYFUNCTION("""COMPUTED_VALUE"""),"+ 3,5 %")</f>
        <v>+ 3,5 %</v>
      </c>
      <c r="E115" s="1" t="str">
        <f>IFERROR(__xludf.DUMMYFUNCTION("""COMPUTED_VALUE"""),"+ 5,3 %")</f>
        <v>+ 5,3 %</v>
      </c>
    </row>
    <row r="116">
      <c r="A116" s="2">
        <f>IFERROR(__xludf.DUMMYFUNCTION("""COMPUTED_VALUE"""),42705.0)</f>
        <v>42705</v>
      </c>
      <c r="B116" s="1" t="str">
        <f>IFERROR(__xludf.DUMMYFUNCTION("""COMPUTED_VALUE"""),"4.509 €/m2")</f>
        <v>4.509 €/m2</v>
      </c>
      <c r="C116" s="1" t="str">
        <f>IFERROR(__xludf.DUMMYFUNCTION("""COMPUTED_VALUE"""),"+ 2,3 %")</f>
        <v>+ 2,3 %</v>
      </c>
      <c r="D116" s="1" t="str">
        <f>IFERROR(__xludf.DUMMYFUNCTION("""COMPUTED_VALUE"""),"+ 2,9 %")</f>
        <v>+ 2,9 %</v>
      </c>
      <c r="E116" s="1" t="str">
        <f>IFERROR(__xludf.DUMMYFUNCTION("""COMPUTED_VALUE"""),"+ 4,0 %")</f>
        <v>+ 4,0 %</v>
      </c>
    </row>
    <row r="117">
      <c r="A117" s="2">
        <f>IFERROR(__xludf.DUMMYFUNCTION("""COMPUTED_VALUE"""),42675.0)</f>
        <v>42675</v>
      </c>
      <c r="B117" s="1" t="str">
        <f>IFERROR(__xludf.DUMMYFUNCTION("""COMPUTED_VALUE"""),"4.409 €/m2")</f>
        <v>4.409 €/m2</v>
      </c>
      <c r="C117" s="1" t="str">
        <f>IFERROR(__xludf.DUMMYFUNCTION("""COMPUTED_VALUE"""),"+ 0,3 %")</f>
        <v>+ 0,3 %</v>
      </c>
      <c r="D117" s="1" t="str">
        <f>IFERROR(__xludf.DUMMYFUNCTION("""COMPUTED_VALUE"""),"+ 1,7 %")</f>
        <v>+ 1,7 %</v>
      </c>
      <c r="E117" s="1" t="str">
        <f>IFERROR(__xludf.DUMMYFUNCTION("""COMPUTED_VALUE"""),"+ 1,9 %")</f>
        <v>+ 1,9 %</v>
      </c>
    </row>
    <row r="118">
      <c r="A118" s="2">
        <f>IFERROR(__xludf.DUMMYFUNCTION("""COMPUTED_VALUE"""),42644.0)</f>
        <v>42644</v>
      </c>
      <c r="B118" s="1" t="str">
        <f>IFERROR(__xludf.DUMMYFUNCTION("""COMPUTED_VALUE"""),"4.394 €/m2")</f>
        <v>4.394 €/m2</v>
      </c>
      <c r="C118" s="1" t="str">
        <f>IFERROR(__xludf.DUMMYFUNCTION("""COMPUTED_VALUE"""),"+ 0,3 %")</f>
        <v>+ 0,3 %</v>
      </c>
      <c r="D118" s="1" t="str">
        <f>IFERROR(__xludf.DUMMYFUNCTION("""COMPUTED_VALUE"""),"+ 1,7 %")</f>
        <v>+ 1,7 %</v>
      </c>
      <c r="E118" s="1" t="str">
        <f>IFERROR(__xludf.DUMMYFUNCTION("""COMPUTED_VALUE"""),"+ 2,2 %")</f>
        <v>+ 2,2 %</v>
      </c>
    </row>
    <row r="119">
      <c r="A119" s="2">
        <f>IFERROR(__xludf.DUMMYFUNCTION("""COMPUTED_VALUE"""),42614.0)</f>
        <v>42614</v>
      </c>
      <c r="B119" s="1" t="str">
        <f>IFERROR(__xludf.DUMMYFUNCTION("""COMPUTED_VALUE"""),"4.381 €/m2")</f>
        <v>4.381 €/m2</v>
      </c>
      <c r="C119" s="1" t="str">
        <f>IFERROR(__xludf.DUMMYFUNCTION("""COMPUTED_VALUE"""),"+ 1,0 %")</f>
        <v>+ 1,0 %</v>
      </c>
      <c r="D119" s="1" t="str">
        <f>IFERROR(__xludf.DUMMYFUNCTION("""COMPUTED_VALUE"""),"+ 1,5 %")</f>
        <v>+ 1,5 %</v>
      </c>
      <c r="E119" s="1" t="str">
        <f>IFERROR(__xludf.DUMMYFUNCTION("""COMPUTED_VALUE"""),"+ 2,4 %")</f>
        <v>+ 2,4 %</v>
      </c>
    </row>
    <row r="120">
      <c r="A120" s="2">
        <f>IFERROR(__xludf.DUMMYFUNCTION("""COMPUTED_VALUE"""),42583.0)</f>
        <v>42583</v>
      </c>
      <c r="B120" s="1" t="str">
        <f>IFERROR(__xludf.DUMMYFUNCTION("""COMPUTED_VALUE"""),"4.337 €/m2")</f>
        <v>4.337 €/m2</v>
      </c>
      <c r="C120" s="1" t="str">
        <f>IFERROR(__xludf.DUMMYFUNCTION("""COMPUTED_VALUE"""),"+ 0,3 %")</f>
        <v>+ 0,3 %</v>
      </c>
      <c r="D120" s="1" t="str">
        <f>IFERROR(__xludf.DUMMYFUNCTION("""COMPUTED_VALUE"""),"+ 1,2 %")</f>
        <v>+ 1,2 %</v>
      </c>
      <c r="E120" s="1" t="str">
        <f>IFERROR(__xludf.DUMMYFUNCTION("""COMPUTED_VALUE"""),"+ 1,1 %")</f>
        <v>+ 1,1 %</v>
      </c>
    </row>
    <row r="121">
      <c r="A121" s="2">
        <f>IFERROR(__xludf.DUMMYFUNCTION("""COMPUTED_VALUE"""),42552.0)</f>
        <v>42552</v>
      </c>
      <c r="B121" s="1" t="str">
        <f>IFERROR(__xludf.DUMMYFUNCTION("""COMPUTED_VALUE"""),"4.322 €/m2")</f>
        <v>4.322 €/m2</v>
      </c>
      <c r="C121" s="1" t="str">
        <f>IFERROR(__xludf.DUMMYFUNCTION("""COMPUTED_VALUE"""),"+ 0,1 %")</f>
        <v>+ 0,1 %</v>
      </c>
      <c r="D121" s="1" t="str">
        <f>IFERROR(__xludf.DUMMYFUNCTION("""COMPUTED_VALUE"""),"+ 0,5 %")</f>
        <v>+ 0,5 %</v>
      </c>
      <c r="E121" s="1" t="str">
        <f>IFERROR(__xludf.DUMMYFUNCTION("""COMPUTED_VALUE"""),"+ 2,9 %")</f>
        <v>+ 2,9 %</v>
      </c>
    </row>
    <row r="122">
      <c r="A122" s="2">
        <f>IFERROR(__xludf.DUMMYFUNCTION("""COMPUTED_VALUE"""),42522.0)</f>
        <v>42522</v>
      </c>
      <c r="B122" s="1" t="str">
        <f>IFERROR(__xludf.DUMMYFUNCTION("""COMPUTED_VALUE"""),"4.318 €/m2")</f>
        <v>4.318 €/m2</v>
      </c>
      <c r="C122" s="1" t="str">
        <f>IFERROR(__xludf.DUMMYFUNCTION("""COMPUTED_VALUE"""),"+ 0,7 %")</f>
        <v>+ 0,7 %</v>
      </c>
      <c r="D122" s="1" t="str">
        <f>IFERROR(__xludf.DUMMYFUNCTION("""COMPUTED_VALUE"""),"+ 0,4 %")</f>
        <v>+ 0,4 %</v>
      </c>
      <c r="E122" s="1" t="str">
        <f>IFERROR(__xludf.DUMMYFUNCTION("""COMPUTED_VALUE"""),"+ 2,5 %")</f>
        <v>+ 2,5 %</v>
      </c>
    </row>
    <row r="123">
      <c r="A123" s="2">
        <f>IFERROR(__xludf.DUMMYFUNCTION("""COMPUTED_VALUE"""),42491.0)</f>
        <v>42491</v>
      </c>
      <c r="B123" s="1" t="str">
        <f>IFERROR(__xludf.DUMMYFUNCTION("""COMPUTED_VALUE"""),"4.287 €/m2")</f>
        <v>4.287 €/m2</v>
      </c>
      <c r="C123" s="1" t="str">
        <f>IFERROR(__xludf.DUMMYFUNCTION("""COMPUTED_VALUE"""),"- 0,3 %")</f>
        <v>- 0,3 %</v>
      </c>
      <c r="D123" s="1" t="str">
        <f>IFERROR(__xludf.DUMMYFUNCTION("""COMPUTED_VALUE"""),"- 0,8 %")</f>
        <v>- 0,8 %</v>
      </c>
      <c r="E123" s="1" t="str">
        <f>IFERROR(__xludf.DUMMYFUNCTION("""COMPUTED_VALUE"""),"+ 2,1 %")</f>
        <v>+ 2,1 %</v>
      </c>
    </row>
    <row r="124">
      <c r="A124" s="2">
        <f>IFERROR(__xludf.DUMMYFUNCTION("""COMPUTED_VALUE"""),42461.0)</f>
        <v>42461</v>
      </c>
      <c r="B124" s="1" t="str">
        <f>IFERROR(__xludf.DUMMYFUNCTION("""COMPUTED_VALUE"""),"4.302 €/m2")</f>
        <v>4.302 €/m2</v>
      </c>
      <c r="C124" s="1" t="str">
        <f>IFERROR(__xludf.DUMMYFUNCTION("""COMPUTED_VALUE"""),"0,0 %")</f>
        <v>0,0 %</v>
      </c>
      <c r="D124" s="1" t="str">
        <f>IFERROR(__xludf.DUMMYFUNCTION("""COMPUTED_VALUE"""),"- 0,4 %")</f>
        <v>- 0,4 %</v>
      </c>
      <c r="E124" s="1" t="str">
        <f>IFERROR(__xludf.DUMMYFUNCTION("""COMPUTED_VALUE"""),"+ 3,0 %")</f>
        <v>+ 3,0 %</v>
      </c>
    </row>
    <row r="125">
      <c r="A125" s="2">
        <f>IFERROR(__xludf.DUMMYFUNCTION("""COMPUTED_VALUE"""),42430.0)</f>
        <v>42430</v>
      </c>
      <c r="B125" s="1" t="str">
        <f>IFERROR(__xludf.DUMMYFUNCTION("""COMPUTED_VALUE"""),"4.300 €/m2")</f>
        <v>4.300 €/m2</v>
      </c>
      <c r="C125" s="1" t="str">
        <f>IFERROR(__xludf.DUMMYFUNCTION("""COMPUTED_VALUE"""),"- 0,5 %")</f>
        <v>- 0,5 %</v>
      </c>
      <c r="D125" s="1" t="str">
        <f>IFERROR(__xludf.DUMMYFUNCTION("""COMPUTED_VALUE"""),"- 0,8 %")</f>
        <v>- 0,8 %</v>
      </c>
      <c r="E125" s="1" t="str">
        <f>IFERROR(__xludf.DUMMYFUNCTION("""COMPUTED_VALUE"""),"+ 4,5 %")</f>
        <v>+ 4,5 %</v>
      </c>
    </row>
    <row r="126">
      <c r="A126" s="2">
        <f>IFERROR(__xludf.DUMMYFUNCTION("""COMPUTED_VALUE"""),42401.0)</f>
        <v>42401</v>
      </c>
      <c r="B126" s="1" t="str">
        <f>IFERROR(__xludf.DUMMYFUNCTION("""COMPUTED_VALUE"""),"4.322 €/m2")</f>
        <v>4.322 €/m2</v>
      </c>
      <c r="C126" s="1" t="str">
        <f>IFERROR(__xludf.DUMMYFUNCTION("""COMPUTED_VALUE"""),"+ 0,1 %")</f>
        <v>+ 0,1 %</v>
      </c>
      <c r="D126" s="1" t="str">
        <f>IFERROR(__xludf.DUMMYFUNCTION("""COMPUTED_VALUE"""),"- 0,1 %")</f>
        <v>- 0,1 %</v>
      </c>
      <c r="E126" s="1" t="str">
        <f>IFERROR(__xludf.DUMMYFUNCTION("""COMPUTED_VALUE"""),"+ 5,3 %")</f>
        <v>+ 5,3 %</v>
      </c>
    </row>
    <row r="127">
      <c r="A127" s="2">
        <f>IFERROR(__xludf.DUMMYFUNCTION("""COMPUTED_VALUE"""),42370.0)</f>
        <v>42370</v>
      </c>
      <c r="B127" s="1" t="str">
        <f>IFERROR(__xludf.DUMMYFUNCTION("""COMPUTED_VALUE"""),"4.319 €/m2")</f>
        <v>4.319 €/m2</v>
      </c>
      <c r="C127" s="1" t="str">
        <f>IFERROR(__xludf.DUMMYFUNCTION("""COMPUTED_VALUE"""),"- 0,4 %")</f>
        <v>- 0,4 %</v>
      </c>
      <c r="D127" s="1" t="str">
        <f>IFERROR(__xludf.DUMMYFUNCTION("""COMPUTED_VALUE"""),"+ 0,5 %")</f>
        <v>+ 0,5 %</v>
      </c>
      <c r="E127" s="1" t="str">
        <f>IFERROR(__xludf.DUMMYFUNCTION("""COMPUTED_VALUE"""),"+ 4,5 %")</f>
        <v>+ 4,5 %</v>
      </c>
    </row>
    <row r="128">
      <c r="A128" s="2">
        <f>IFERROR(__xludf.DUMMYFUNCTION("""COMPUTED_VALUE"""),42339.0)</f>
        <v>42339</v>
      </c>
      <c r="B128" s="1" t="str">
        <f>IFERROR(__xludf.DUMMYFUNCTION("""COMPUTED_VALUE"""),"4.335 €/m2")</f>
        <v>4.335 €/m2</v>
      </c>
      <c r="C128" s="1" t="str">
        <f>IFERROR(__xludf.DUMMYFUNCTION("""COMPUTED_VALUE"""),"+ 0,2 %")</f>
        <v>+ 0,2 %</v>
      </c>
      <c r="D128" s="1" t="str">
        <f>IFERROR(__xludf.DUMMYFUNCTION("""COMPUTED_VALUE"""),"+ 1,4 %")</f>
        <v>+ 1,4 %</v>
      </c>
      <c r="E128" s="1" t="str">
        <f>IFERROR(__xludf.DUMMYFUNCTION("""COMPUTED_VALUE"""),"+ 5,0 %")</f>
        <v>+ 5,0 %</v>
      </c>
    </row>
    <row r="129">
      <c r="A129" s="2">
        <f>IFERROR(__xludf.DUMMYFUNCTION("""COMPUTED_VALUE"""),42309.0)</f>
        <v>42309</v>
      </c>
      <c r="B129" s="1" t="str">
        <f>IFERROR(__xludf.DUMMYFUNCTION("""COMPUTED_VALUE"""),"4.327 €/m2")</f>
        <v>4.327 €/m2</v>
      </c>
      <c r="C129" s="1" t="str">
        <f>IFERROR(__xludf.DUMMYFUNCTION("""COMPUTED_VALUE"""),"+ 0,7 %")</f>
        <v>+ 0,7 %</v>
      </c>
      <c r="D129" s="1" t="str">
        <f>IFERROR(__xludf.DUMMYFUNCTION("""COMPUTED_VALUE"""),"+ 0,9 %")</f>
        <v>+ 0,9 %</v>
      </c>
      <c r="E129" s="1" t="str">
        <f>IFERROR(__xludf.DUMMYFUNCTION("""COMPUTED_VALUE"""),"+ 4,7 %")</f>
        <v>+ 4,7 %</v>
      </c>
    </row>
    <row r="130">
      <c r="A130" s="2">
        <f>IFERROR(__xludf.DUMMYFUNCTION("""COMPUTED_VALUE"""),42278.0)</f>
        <v>42278</v>
      </c>
      <c r="B130" s="1" t="str">
        <f>IFERROR(__xludf.DUMMYFUNCTION("""COMPUTED_VALUE"""),"4.299 €/m2")</f>
        <v>4.299 €/m2</v>
      </c>
      <c r="C130" s="1" t="str">
        <f>IFERROR(__xludf.DUMMYFUNCTION("""COMPUTED_VALUE"""),"+ 0,5 %")</f>
        <v>+ 0,5 %</v>
      </c>
      <c r="D130" s="1" t="str">
        <f>IFERROR(__xludf.DUMMYFUNCTION("""COMPUTED_VALUE"""),"+ 2,4 %")</f>
        <v>+ 2,4 %</v>
      </c>
      <c r="E130" s="1" t="str">
        <f>IFERROR(__xludf.DUMMYFUNCTION("""COMPUTED_VALUE"""),"+ 4,3 %")</f>
        <v>+ 4,3 %</v>
      </c>
    </row>
    <row r="131">
      <c r="A131" s="2">
        <f>IFERROR(__xludf.DUMMYFUNCTION("""COMPUTED_VALUE"""),42248.0)</f>
        <v>42248</v>
      </c>
      <c r="B131" s="1" t="str">
        <f>IFERROR(__xludf.DUMMYFUNCTION("""COMPUTED_VALUE"""),"4.277 €/m2")</f>
        <v>4.277 €/m2</v>
      </c>
      <c r="C131" s="1" t="str">
        <f>IFERROR(__xludf.DUMMYFUNCTION("""COMPUTED_VALUE"""),"- 0,2 %")</f>
        <v>- 0,2 %</v>
      </c>
      <c r="D131" s="1" t="str">
        <f>IFERROR(__xludf.DUMMYFUNCTION("""COMPUTED_VALUE"""),"+ 1,5 %")</f>
        <v>+ 1,5 %</v>
      </c>
      <c r="E131" s="1" t="str">
        <f>IFERROR(__xludf.DUMMYFUNCTION("""COMPUTED_VALUE"""),"+ 3,7 %")</f>
        <v>+ 3,7 %</v>
      </c>
    </row>
    <row r="132">
      <c r="A132" s="2">
        <f>IFERROR(__xludf.DUMMYFUNCTION("""COMPUTED_VALUE"""),42217.0)</f>
        <v>42217</v>
      </c>
      <c r="B132" s="1" t="str">
        <f>IFERROR(__xludf.DUMMYFUNCTION("""COMPUTED_VALUE"""),"4.288 €/m2")</f>
        <v>4.288 €/m2</v>
      </c>
      <c r="C132" s="1" t="str">
        <f>IFERROR(__xludf.DUMMYFUNCTION("""COMPUTED_VALUE"""),"+ 2,1 %")</f>
        <v>+ 2,1 %</v>
      </c>
      <c r="D132" s="1" t="str">
        <f>IFERROR(__xludf.DUMMYFUNCTION("""COMPUTED_VALUE"""),"+ 2,1 %")</f>
        <v>+ 2,1 %</v>
      </c>
      <c r="E132" s="1" t="str">
        <f>IFERROR(__xludf.DUMMYFUNCTION("""COMPUTED_VALUE"""),"+ 5,2 %")</f>
        <v>+ 5,2 %</v>
      </c>
    </row>
    <row r="133">
      <c r="A133" s="2">
        <f>IFERROR(__xludf.DUMMYFUNCTION("""COMPUTED_VALUE"""),42186.0)</f>
        <v>42186</v>
      </c>
      <c r="B133" s="1" t="str">
        <f>IFERROR(__xludf.DUMMYFUNCTION("""COMPUTED_VALUE"""),"4.200 €/m2")</f>
        <v>4.200 €/m2</v>
      </c>
      <c r="C133" s="1" t="str">
        <f>IFERROR(__xludf.DUMMYFUNCTION("""COMPUTED_VALUE"""),"- 0,3 %")</f>
        <v>- 0,3 %</v>
      </c>
      <c r="D133" s="1" t="str">
        <f>IFERROR(__xludf.DUMMYFUNCTION("""COMPUTED_VALUE"""),"+ 0,5 %")</f>
        <v>+ 0,5 %</v>
      </c>
      <c r="E133" s="1" t="str">
        <f>IFERROR(__xludf.DUMMYFUNCTION("""COMPUTED_VALUE"""),"+ 3,0 %")</f>
        <v>+ 3,0 %</v>
      </c>
    </row>
    <row r="134">
      <c r="A134" s="2">
        <f>IFERROR(__xludf.DUMMYFUNCTION("""COMPUTED_VALUE"""),42156.0)</f>
        <v>42156</v>
      </c>
      <c r="B134" s="1" t="str">
        <f>IFERROR(__xludf.DUMMYFUNCTION("""COMPUTED_VALUE"""),"4.213 €/m2")</f>
        <v>4.213 €/m2</v>
      </c>
      <c r="C134" s="1" t="str">
        <f>IFERROR(__xludf.DUMMYFUNCTION("""COMPUTED_VALUE"""),"+ 0,3 %")</f>
        <v>+ 0,3 %</v>
      </c>
      <c r="D134" s="1" t="str">
        <f>IFERROR(__xludf.DUMMYFUNCTION("""COMPUTED_VALUE"""),"+ 2,4 %")</f>
        <v>+ 2,4 %</v>
      </c>
      <c r="E134" s="1" t="str">
        <f>IFERROR(__xludf.DUMMYFUNCTION("""COMPUTED_VALUE"""),"+ 3,7 %")</f>
        <v>+ 3,7 %</v>
      </c>
    </row>
    <row r="135">
      <c r="A135" s="2">
        <f>IFERROR(__xludf.DUMMYFUNCTION("""COMPUTED_VALUE"""),42125.0)</f>
        <v>42125</v>
      </c>
      <c r="B135" s="1" t="str">
        <f>IFERROR(__xludf.DUMMYFUNCTION("""COMPUTED_VALUE"""),"4.199 €/m2")</f>
        <v>4.199 €/m2</v>
      </c>
      <c r="C135" s="1" t="str">
        <f>IFERROR(__xludf.DUMMYFUNCTION("""COMPUTED_VALUE"""),"+ 0,5 %")</f>
        <v>+ 0,5 %</v>
      </c>
      <c r="D135" s="1" t="str">
        <f>IFERROR(__xludf.DUMMYFUNCTION("""COMPUTED_VALUE"""),"+ 2,3 %")</f>
        <v>+ 2,3 %</v>
      </c>
      <c r="E135" s="1" t="str">
        <f>IFERROR(__xludf.DUMMYFUNCTION("""COMPUTED_VALUE"""),"+ 4,3 %")</f>
        <v>+ 4,3 %</v>
      </c>
    </row>
    <row r="136">
      <c r="A136" s="2">
        <f>IFERROR(__xludf.DUMMYFUNCTION("""COMPUTED_VALUE"""),42095.0)</f>
        <v>42095</v>
      </c>
      <c r="B136" s="1" t="str">
        <f>IFERROR(__xludf.DUMMYFUNCTION("""COMPUTED_VALUE"""),"4.178 €/m2")</f>
        <v>4.178 €/m2</v>
      </c>
      <c r="C136" s="1" t="str">
        <f>IFERROR(__xludf.DUMMYFUNCTION("""COMPUTED_VALUE"""),"+ 1,6 %")</f>
        <v>+ 1,6 %</v>
      </c>
      <c r="D136" s="1" t="str">
        <f>IFERROR(__xludf.DUMMYFUNCTION("""COMPUTED_VALUE"""),"+ 1,1 %")</f>
        <v>+ 1,1 %</v>
      </c>
      <c r="E136" s="1" t="str">
        <f>IFERROR(__xludf.DUMMYFUNCTION("""COMPUTED_VALUE"""),"+ 3,1 %")</f>
        <v>+ 3,1 %</v>
      </c>
    </row>
    <row r="137">
      <c r="A137" s="2">
        <f>IFERROR(__xludf.DUMMYFUNCTION("""COMPUTED_VALUE"""),42064.0)</f>
        <v>42064</v>
      </c>
      <c r="B137" s="1" t="str">
        <f>IFERROR(__xludf.DUMMYFUNCTION("""COMPUTED_VALUE"""),"4.113 €/m2")</f>
        <v>4.113 €/m2</v>
      </c>
      <c r="C137" s="1" t="str">
        <f>IFERROR(__xludf.DUMMYFUNCTION("""COMPUTED_VALUE"""),"+ 0,2 %")</f>
        <v>+ 0,2 %</v>
      </c>
      <c r="D137" s="1" t="str">
        <f>IFERROR(__xludf.DUMMYFUNCTION("""COMPUTED_VALUE"""),"- 0,4 %")</f>
        <v>- 0,4 %</v>
      </c>
      <c r="E137" s="1" t="str">
        <f>IFERROR(__xludf.DUMMYFUNCTION("""COMPUTED_VALUE"""),"+ 1,3 %")</f>
        <v>+ 1,3 %</v>
      </c>
    </row>
    <row r="138">
      <c r="A138" s="2">
        <f>IFERROR(__xludf.DUMMYFUNCTION("""COMPUTED_VALUE"""),42036.0)</f>
        <v>42036</v>
      </c>
      <c r="B138" s="1" t="str">
        <f>IFERROR(__xludf.DUMMYFUNCTION("""COMPUTED_VALUE"""),"4.105 €/m2")</f>
        <v>4.105 €/m2</v>
      </c>
      <c r="C138" s="1" t="str">
        <f>IFERROR(__xludf.DUMMYFUNCTION("""COMPUTED_VALUE"""),"- 0,6 %")</f>
        <v>- 0,6 %</v>
      </c>
      <c r="D138" s="1" t="str">
        <f>IFERROR(__xludf.DUMMYFUNCTION("""COMPUTED_VALUE"""),"- 0,7 %")</f>
        <v>- 0,7 %</v>
      </c>
      <c r="E138" s="1" t="str">
        <f>IFERROR(__xludf.DUMMYFUNCTION("""COMPUTED_VALUE"""),"+ 1,6 %")</f>
        <v>+ 1,6 %</v>
      </c>
    </row>
    <row r="139">
      <c r="A139" s="2">
        <f>IFERROR(__xludf.DUMMYFUNCTION("""COMPUTED_VALUE"""),42005.0)</f>
        <v>42005</v>
      </c>
      <c r="B139" s="1" t="str">
        <f>IFERROR(__xludf.DUMMYFUNCTION("""COMPUTED_VALUE"""),"4.132 €/m2")</f>
        <v>4.132 €/m2</v>
      </c>
      <c r="C139" s="1" t="str">
        <f>IFERROR(__xludf.DUMMYFUNCTION("""COMPUTED_VALUE"""),"0,0 %")</f>
        <v>0,0 %</v>
      </c>
      <c r="D139" s="1" t="str">
        <f>IFERROR(__xludf.DUMMYFUNCTION("""COMPUTED_VALUE"""),"+ 0,2 %")</f>
        <v>+ 0,2 %</v>
      </c>
      <c r="E139" s="1" t="str">
        <f>IFERROR(__xludf.DUMMYFUNCTION("""COMPUTED_VALUE"""),"+ 1,8 %")</f>
        <v>+ 1,8 %</v>
      </c>
    </row>
    <row r="140">
      <c r="A140" s="2">
        <f>IFERROR(__xludf.DUMMYFUNCTION("""COMPUTED_VALUE"""),41974.0)</f>
        <v>41974</v>
      </c>
      <c r="B140" s="1" t="str">
        <f>IFERROR(__xludf.DUMMYFUNCTION("""COMPUTED_VALUE"""),"4.131 €/m2")</f>
        <v>4.131 €/m2</v>
      </c>
      <c r="C140" s="1" t="str">
        <f>IFERROR(__xludf.DUMMYFUNCTION("""COMPUTED_VALUE"""),"0,0 %")</f>
        <v>0,0 %</v>
      </c>
      <c r="D140" s="1" t="str">
        <f>IFERROR(__xludf.DUMMYFUNCTION("""COMPUTED_VALUE"""),"+ 0,1 %")</f>
        <v>+ 0,1 %</v>
      </c>
      <c r="E140" s="1" t="str">
        <f>IFERROR(__xludf.DUMMYFUNCTION("""COMPUTED_VALUE"""),"+ 2,4 %")</f>
        <v>+ 2,4 %</v>
      </c>
    </row>
    <row r="141">
      <c r="A141" s="2">
        <f>IFERROR(__xludf.DUMMYFUNCTION("""COMPUTED_VALUE"""),41944.0)</f>
        <v>41944</v>
      </c>
      <c r="B141" s="1" t="str">
        <f>IFERROR(__xludf.DUMMYFUNCTION("""COMPUTED_VALUE"""),"4.133 €/m2")</f>
        <v>4.133 €/m2</v>
      </c>
      <c r="C141" s="1" t="str">
        <f>IFERROR(__xludf.DUMMYFUNCTION("""COMPUTED_VALUE"""),"+ 0,2 %")</f>
        <v>+ 0,2 %</v>
      </c>
      <c r="D141" s="1" t="str">
        <f>IFERROR(__xludf.DUMMYFUNCTION("""COMPUTED_VALUE"""),"+ 1,4 %")</f>
        <v>+ 1,4 %</v>
      </c>
      <c r="E141" s="1" t="str">
        <f>IFERROR(__xludf.DUMMYFUNCTION("""COMPUTED_VALUE"""),"+ 2,6 %")</f>
        <v>+ 2,6 %</v>
      </c>
    </row>
    <row r="142">
      <c r="A142" s="2">
        <f>IFERROR(__xludf.DUMMYFUNCTION("""COMPUTED_VALUE"""),41913.0)</f>
        <v>41913</v>
      </c>
      <c r="B142" s="1" t="str">
        <f>IFERROR(__xludf.DUMMYFUNCTION("""COMPUTED_VALUE"""),"4.123 €/m2")</f>
        <v>4.123 €/m2</v>
      </c>
      <c r="C142" s="1" t="str">
        <f>IFERROR(__xludf.DUMMYFUNCTION("""COMPUTED_VALUE"""),"- 0,1 %")</f>
        <v>- 0,1 %</v>
      </c>
      <c r="D142" s="1" t="str">
        <f>IFERROR(__xludf.DUMMYFUNCTION("""COMPUTED_VALUE"""),"+ 1,1 %")</f>
        <v>+ 1,1 %</v>
      </c>
      <c r="E142" s="1" t="str">
        <f>IFERROR(__xludf.DUMMYFUNCTION("""COMPUTED_VALUE"""),"+ 3,3 %")</f>
        <v>+ 3,3 %</v>
      </c>
    </row>
    <row r="143">
      <c r="A143" s="2">
        <f>IFERROR(__xludf.DUMMYFUNCTION("""COMPUTED_VALUE"""),41883.0)</f>
        <v>41883</v>
      </c>
      <c r="B143" s="1" t="str">
        <f>IFERROR(__xludf.DUMMYFUNCTION("""COMPUTED_VALUE"""),"4.126 €/m2")</f>
        <v>4.126 €/m2</v>
      </c>
      <c r="C143" s="1" t="str">
        <f>IFERROR(__xludf.DUMMYFUNCTION("""COMPUTED_VALUE"""),"+ 1,2 %")</f>
        <v>+ 1,2 %</v>
      </c>
      <c r="D143" s="1" t="str">
        <f>IFERROR(__xludf.DUMMYFUNCTION("""COMPUTED_VALUE"""),"+ 1,5 %")</f>
        <v>+ 1,5 %</v>
      </c>
      <c r="E143" s="1" t="str">
        <f>IFERROR(__xludf.DUMMYFUNCTION("""COMPUTED_VALUE"""),"+ 2,6 %")</f>
        <v>+ 2,6 %</v>
      </c>
    </row>
    <row r="144">
      <c r="A144" s="2">
        <f>IFERROR(__xludf.DUMMYFUNCTION("""COMPUTED_VALUE"""),41852.0)</f>
        <v>41852</v>
      </c>
      <c r="B144" s="1" t="str">
        <f>IFERROR(__xludf.DUMMYFUNCTION("""COMPUTED_VALUE"""),"4.077 €/m2")</f>
        <v>4.077 €/m2</v>
      </c>
      <c r="C144" s="1" t="str">
        <f>IFERROR(__xludf.DUMMYFUNCTION("""COMPUTED_VALUE"""),"0,0 %")</f>
        <v>0,0 %</v>
      </c>
      <c r="D144" s="1" t="str">
        <f>IFERROR(__xludf.DUMMYFUNCTION("""COMPUTED_VALUE"""),"+ 1,3 %")</f>
        <v>+ 1,3 %</v>
      </c>
      <c r="E144" s="1" t="str">
        <f>IFERROR(__xludf.DUMMYFUNCTION("""COMPUTED_VALUE"""),"+ 2,1 %")</f>
        <v>+ 2,1 %</v>
      </c>
    </row>
    <row r="145">
      <c r="A145" s="2">
        <f>IFERROR(__xludf.DUMMYFUNCTION("""COMPUTED_VALUE"""),41821.0)</f>
        <v>41821</v>
      </c>
      <c r="B145" s="1" t="str">
        <f>IFERROR(__xludf.DUMMYFUNCTION("""COMPUTED_VALUE"""),"4.078 €/m2")</f>
        <v>4.078 €/m2</v>
      </c>
      <c r="C145" s="1" t="str">
        <f>IFERROR(__xludf.DUMMYFUNCTION("""COMPUTED_VALUE"""),"+ 0,4 %")</f>
        <v>+ 0,4 %</v>
      </c>
      <c r="D145" s="1" t="str">
        <f>IFERROR(__xludf.DUMMYFUNCTION("""COMPUTED_VALUE"""),"+ 0,7 %")</f>
        <v>+ 0,7 %</v>
      </c>
      <c r="E145" s="1" t="str">
        <f>IFERROR(__xludf.DUMMYFUNCTION("""COMPUTED_VALUE"""),"+ 1,1 %")</f>
        <v>+ 1,1 %</v>
      </c>
    </row>
    <row r="146">
      <c r="A146" s="2">
        <f>IFERROR(__xludf.DUMMYFUNCTION("""COMPUTED_VALUE"""),41791.0)</f>
        <v>41791</v>
      </c>
      <c r="B146" s="1" t="str">
        <f>IFERROR(__xludf.DUMMYFUNCTION("""COMPUTED_VALUE"""),"4.063 €/m2")</f>
        <v>4.063 €/m2</v>
      </c>
      <c r="C146" s="1" t="str">
        <f>IFERROR(__xludf.DUMMYFUNCTION("""COMPUTED_VALUE"""),"+ 1,0 %")</f>
        <v>+ 1,0 %</v>
      </c>
      <c r="D146" s="1" t="str">
        <f>IFERROR(__xludf.DUMMYFUNCTION("""COMPUTED_VALUE"""),"+ 0,1 %")</f>
        <v>+ 0,1 %</v>
      </c>
      <c r="E146" s="1" t="str">
        <f>IFERROR(__xludf.DUMMYFUNCTION("""COMPUTED_VALUE"""),"0,0 %")</f>
        <v>0,0 %</v>
      </c>
    </row>
    <row r="147">
      <c r="A147" s="2">
        <f>IFERROR(__xludf.DUMMYFUNCTION("""COMPUTED_VALUE"""),41760.0)</f>
        <v>41760</v>
      </c>
      <c r="B147" s="1" t="str">
        <f>IFERROR(__xludf.DUMMYFUNCTION("""COMPUTED_VALUE"""),"4.024 €/m2")</f>
        <v>4.024 €/m2</v>
      </c>
      <c r="C147" s="1" t="str">
        <f>IFERROR(__xludf.DUMMYFUNCTION("""COMPUTED_VALUE"""),"- 0,7 %")</f>
        <v>- 0,7 %</v>
      </c>
      <c r="D147" s="1" t="str">
        <f>IFERROR(__xludf.DUMMYFUNCTION("""COMPUTED_VALUE"""),"- 0,4 %")</f>
        <v>- 0,4 %</v>
      </c>
      <c r="E147" s="1" t="str">
        <f>IFERROR(__xludf.DUMMYFUNCTION("""COMPUTED_VALUE"""),"- 1,6 %")</f>
        <v>- 1,6 %</v>
      </c>
    </row>
    <row r="148">
      <c r="A148" s="2">
        <f>IFERROR(__xludf.DUMMYFUNCTION("""COMPUTED_VALUE"""),41730.0)</f>
        <v>41730</v>
      </c>
      <c r="B148" s="1" t="str">
        <f>IFERROR(__xludf.DUMMYFUNCTION("""COMPUTED_VALUE"""),"4.052 €/m2")</f>
        <v>4.052 €/m2</v>
      </c>
      <c r="C148" s="1" t="str">
        <f>IFERROR(__xludf.DUMMYFUNCTION("""COMPUTED_VALUE"""),"- 0,2 %")</f>
        <v>- 0,2 %</v>
      </c>
      <c r="D148" s="1" t="str">
        <f>IFERROR(__xludf.DUMMYFUNCTION("""COMPUTED_VALUE"""),"- 0,2 %")</f>
        <v>- 0,2 %</v>
      </c>
      <c r="E148" s="1" t="str">
        <f>IFERROR(__xludf.DUMMYFUNCTION("""COMPUTED_VALUE"""),"- 1,6 %")</f>
        <v>- 1,6 %</v>
      </c>
    </row>
    <row r="149">
      <c r="A149" s="2">
        <f>IFERROR(__xludf.DUMMYFUNCTION("""COMPUTED_VALUE"""),41699.0)</f>
        <v>41699</v>
      </c>
      <c r="B149" s="1" t="str">
        <f>IFERROR(__xludf.DUMMYFUNCTION("""COMPUTED_VALUE"""),"4.061 €/m2")</f>
        <v>4.061 €/m2</v>
      </c>
      <c r="C149" s="1" t="str">
        <f>IFERROR(__xludf.DUMMYFUNCTION("""COMPUTED_VALUE"""),"+ 0,5 %")</f>
        <v>+ 0,5 %</v>
      </c>
      <c r="D149" s="1" t="str">
        <f>IFERROR(__xludf.DUMMYFUNCTION("""COMPUTED_VALUE"""),"+ 0,6 %")</f>
        <v>+ 0,6 %</v>
      </c>
      <c r="E149" s="1" t="str">
        <f>IFERROR(__xludf.DUMMYFUNCTION("""COMPUTED_VALUE"""),"- 2,0 %")</f>
        <v>- 2,0 %</v>
      </c>
    </row>
    <row r="150">
      <c r="A150" s="2">
        <f>IFERROR(__xludf.DUMMYFUNCTION("""COMPUTED_VALUE"""),41671.0)</f>
        <v>41671</v>
      </c>
      <c r="B150" s="1" t="str">
        <f>IFERROR(__xludf.DUMMYFUNCTION("""COMPUTED_VALUE"""),"4.040 €/m2")</f>
        <v>4.040 €/m2</v>
      </c>
      <c r="C150" s="1" t="str">
        <f>IFERROR(__xludf.DUMMYFUNCTION("""COMPUTED_VALUE"""),"- 0,5 %")</f>
        <v>- 0,5 %</v>
      </c>
      <c r="D150" s="1" t="str">
        <f>IFERROR(__xludf.DUMMYFUNCTION("""COMPUTED_VALUE"""),"+ 0,3 %")</f>
        <v>+ 0,3 %</v>
      </c>
      <c r="E150" s="1" t="str">
        <f>IFERROR(__xludf.DUMMYFUNCTION("""COMPUTED_VALUE"""),"- 3,1 %")</f>
        <v>- 3,1 %</v>
      </c>
    </row>
    <row r="151">
      <c r="A151" s="2">
        <f>IFERROR(__xludf.DUMMYFUNCTION("""COMPUTED_VALUE"""),41640.0)</f>
        <v>41640</v>
      </c>
      <c r="B151" s="1" t="str">
        <f>IFERROR(__xludf.DUMMYFUNCTION("""COMPUTED_VALUE"""),"4.059 €/m2")</f>
        <v>4.059 €/m2</v>
      </c>
      <c r="C151" s="1" t="str">
        <f>IFERROR(__xludf.DUMMYFUNCTION("""COMPUTED_VALUE"""),"+ 0,6 %")</f>
        <v>+ 0,6 %</v>
      </c>
      <c r="D151" s="1" t="str">
        <f>IFERROR(__xludf.DUMMYFUNCTION("""COMPUTED_VALUE"""),"+ 1,7 %")</f>
        <v>+ 1,7 %</v>
      </c>
      <c r="E151" s="1" t="str">
        <f>IFERROR(__xludf.DUMMYFUNCTION("""COMPUTED_VALUE"""),"- 2,6 %")</f>
        <v>- 2,6 %</v>
      </c>
    </row>
    <row r="152">
      <c r="A152" s="2">
        <f>IFERROR(__xludf.DUMMYFUNCTION("""COMPUTED_VALUE"""),41609.0)</f>
        <v>41609</v>
      </c>
      <c r="B152" s="1" t="str">
        <f>IFERROR(__xludf.DUMMYFUNCTION("""COMPUTED_VALUE"""),"4.036 €/m2")</f>
        <v>4.036 €/m2</v>
      </c>
      <c r="C152" s="1" t="str">
        <f>IFERROR(__xludf.DUMMYFUNCTION("""COMPUTED_VALUE"""),"+ 0,2 %")</f>
        <v>+ 0,2 %</v>
      </c>
      <c r="D152" s="1" t="str">
        <f>IFERROR(__xludf.DUMMYFUNCTION("""COMPUTED_VALUE"""),"+ 0,3 %")</f>
        <v>+ 0,3 %</v>
      </c>
      <c r="E152" s="1" t="str">
        <f>IFERROR(__xludf.DUMMYFUNCTION("""COMPUTED_VALUE"""),"- 3,3 %")</f>
        <v>- 3,3 %</v>
      </c>
    </row>
    <row r="153">
      <c r="A153" s="2">
        <f>IFERROR(__xludf.DUMMYFUNCTION("""COMPUTED_VALUE"""),41579.0)</f>
        <v>41579</v>
      </c>
      <c r="B153" s="1" t="str">
        <f>IFERROR(__xludf.DUMMYFUNCTION("""COMPUTED_VALUE"""),"4.029 €/m2")</f>
        <v>4.029 €/m2</v>
      </c>
      <c r="C153" s="1" t="str">
        <f>IFERROR(__xludf.DUMMYFUNCTION("""COMPUTED_VALUE"""),"+ 1,0 %")</f>
        <v>+ 1,0 %</v>
      </c>
      <c r="D153" s="1" t="str">
        <f>IFERROR(__xludf.DUMMYFUNCTION("""COMPUTED_VALUE"""),"+ 0,9 %")</f>
        <v>+ 0,9 %</v>
      </c>
      <c r="E153" s="1" t="str">
        <f>IFERROR(__xludf.DUMMYFUNCTION("""COMPUTED_VALUE"""),"- 3,1 %")</f>
        <v>- 3,1 %</v>
      </c>
    </row>
    <row r="154">
      <c r="A154" s="2">
        <f>IFERROR(__xludf.DUMMYFUNCTION("""COMPUTED_VALUE"""),41548.0)</f>
        <v>41548</v>
      </c>
      <c r="B154" s="1" t="str">
        <f>IFERROR(__xludf.DUMMYFUNCTION("""COMPUTED_VALUE"""),"3.991 €/m2")</f>
        <v>3.991 €/m2</v>
      </c>
      <c r="C154" s="1" t="str">
        <f>IFERROR(__xludf.DUMMYFUNCTION("""COMPUTED_VALUE"""),"- 0,8 %")</f>
        <v>- 0,8 %</v>
      </c>
      <c r="D154" s="1" t="str">
        <f>IFERROR(__xludf.DUMMYFUNCTION("""COMPUTED_VALUE"""),"- 1,1 %")</f>
        <v>- 1,1 %</v>
      </c>
      <c r="E154" s="1" t="str">
        <f>IFERROR(__xludf.DUMMYFUNCTION("""COMPUTED_VALUE"""),"- 3,8 %")</f>
        <v>- 3,8 %</v>
      </c>
    </row>
    <row r="155">
      <c r="A155" s="2">
        <f>IFERROR(__xludf.DUMMYFUNCTION("""COMPUTED_VALUE"""),41518.0)</f>
        <v>41518</v>
      </c>
      <c r="B155" s="1" t="str">
        <f>IFERROR(__xludf.DUMMYFUNCTION("""COMPUTED_VALUE"""),"4.022 €/m2")</f>
        <v>4.022 €/m2</v>
      </c>
      <c r="C155" s="1" t="str">
        <f>IFERROR(__xludf.DUMMYFUNCTION("""COMPUTED_VALUE"""),"+ 0,7 %")</f>
        <v>+ 0,7 %</v>
      </c>
      <c r="D155" s="1" t="str">
        <f>IFERROR(__xludf.DUMMYFUNCTION("""COMPUTED_VALUE"""),"- 1,0 %")</f>
        <v>- 1,0 %</v>
      </c>
      <c r="E155" s="1" t="str">
        <f>IFERROR(__xludf.DUMMYFUNCTION("""COMPUTED_VALUE"""),"- 3,2 %")</f>
        <v>- 3,2 %</v>
      </c>
    </row>
    <row r="156">
      <c r="A156" s="2">
        <f>IFERROR(__xludf.DUMMYFUNCTION("""COMPUTED_VALUE"""),41487.0)</f>
        <v>41487</v>
      </c>
      <c r="B156" s="1" t="str">
        <f>IFERROR(__xludf.DUMMYFUNCTION("""COMPUTED_VALUE"""),"3.994 €/m2")</f>
        <v>3.994 €/m2</v>
      </c>
      <c r="C156" s="1" t="str">
        <f>IFERROR(__xludf.DUMMYFUNCTION("""COMPUTED_VALUE"""),"- 1,0 %")</f>
        <v>- 1,0 %</v>
      </c>
      <c r="D156" s="1" t="str">
        <f>IFERROR(__xludf.DUMMYFUNCTION("""COMPUTED_VALUE"""),"- 2,3 %")</f>
        <v>- 2,3 %</v>
      </c>
      <c r="E156" s="1" t="str">
        <f>IFERROR(__xludf.DUMMYFUNCTION("""COMPUTED_VALUE"""),"- 4,4 %")</f>
        <v>- 4,4 %</v>
      </c>
    </row>
    <row r="157">
      <c r="A157" s="2">
        <f>IFERROR(__xludf.DUMMYFUNCTION("""COMPUTED_VALUE"""),41456.0)</f>
        <v>41456</v>
      </c>
      <c r="B157" s="1" t="str">
        <f>IFERROR(__xludf.DUMMYFUNCTION("""COMPUTED_VALUE"""),"4.035 €/m2")</f>
        <v>4.035 €/m2</v>
      </c>
      <c r="C157" s="1" t="str">
        <f>IFERROR(__xludf.DUMMYFUNCTION("""COMPUTED_VALUE"""),"- 0,7 %")</f>
        <v>- 0,7 %</v>
      </c>
      <c r="D157" s="1" t="str">
        <f>IFERROR(__xludf.DUMMYFUNCTION("""COMPUTED_VALUE"""),"- 2,0 %")</f>
        <v>- 2,0 %</v>
      </c>
      <c r="E157" s="1" t="str">
        <f>IFERROR(__xludf.DUMMYFUNCTION("""COMPUTED_VALUE"""),"- 3,7 %")</f>
        <v>- 3,7 %</v>
      </c>
    </row>
    <row r="158">
      <c r="A158" s="2">
        <f>IFERROR(__xludf.DUMMYFUNCTION("""COMPUTED_VALUE"""),41426.0)</f>
        <v>41426</v>
      </c>
      <c r="B158" s="1" t="str">
        <f>IFERROR(__xludf.DUMMYFUNCTION("""COMPUTED_VALUE"""),"4.062 €/m2")</f>
        <v>4.062 €/m2</v>
      </c>
      <c r="C158" s="1" t="str">
        <f>IFERROR(__xludf.DUMMYFUNCTION("""COMPUTED_VALUE"""),"- 0,6 %")</f>
        <v>- 0,6 %</v>
      </c>
      <c r="D158" s="1" t="str">
        <f>IFERROR(__xludf.DUMMYFUNCTION("""COMPUTED_VALUE"""),"- 2,0 %")</f>
        <v>- 2,0 %</v>
      </c>
      <c r="E158" s="1" t="str">
        <f>IFERROR(__xludf.DUMMYFUNCTION("""COMPUTED_VALUE"""),"- 2,8 %")</f>
        <v>- 2,8 %</v>
      </c>
    </row>
    <row r="159">
      <c r="A159" s="2">
        <f>IFERROR(__xludf.DUMMYFUNCTION("""COMPUTED_VALUE"""),41395.0)</f>
        <v>41395</v>
      </c>
      <c r="B159" s="1" t="str">
        <f>IFERROR(__xludf.DUMMYFUNCTION("""COMPUTED_VALUE"""),"4.088 €/m2")</f>
        <v>4.088 €/m2</v>
      </c>
      <c r="C159" s="1" t="str">
        <f>IFERROR(__xludf.DUMMYFUNCTION("""COMPUTED_VALUE"""),"- 0,8 %")</f>
        <v>- 0,8 %</v>
      </c>
      <c r="D159" s="1" t="str">
        <f>IFERROR(__xludf.DUMMYFUNCTION("""COMPUTED_VALUE"""),"- 2,0 %")</f>
        <v>- 2,0 %</v>
      </c>
      <c r="E159" s="1" t="str">
        <f>IFERROR(__xludf.DUMMYFUNCTION("""COMPUTED_VALUE"""),"- 2,9 %")</f>
        <v>- 2,9 %</v>
      </c>
    </row>
    <row r="160">
      <c r="A160" s="2">
        <f>IFERROR(__xludf.DUMMYFUNCTION("""COMPUTED_VALUE"""),41365.0)</f>
        <v>41365</v>
      </c>
      <c r="B160" s="1" t="str">
        <f>IFERROR(__xludf.DUMMYFUNCTION("""COMPUTED_VALUE"""),"4.119 €/m2")</f>
        <v>4.119 €/m2</v>
      </c>
      <c r="C160" s="1" t="str">
        <f>IFERROR(__xludf.DUMMYFUNCTION("""COMPUTED_VALUE"""),"- 0,7 %")</f>
        <v>- 0,7 %</v>
      </c>
      <c r="D160" s="1" t="str">
        <f>IFERROR(__xludf.DUMMYFUNCTION("""COMPUTED_VALUE"""),"- 1,2 %")</f>
        <v>- 1,2 %</v>
      </c>
      <c r="E160" s="1" t="str">
        <f>IFERROR(__xludf.DUMMYFUNCTION("""COMPUTED_VALUE"""),"- 4,5 %")</f>
        <v>- 4,5 %</v>
      </c>
    </row>
    <row r="161">
      <c r="A161" s="2">
        <f>IFERROR(__xludf.DUMMYFUNCTION("""COMPUTED_VALUE"""),41334.0)</f>
        <v>41334</v>
      </c>
      <c r="B161" s="1" t="str">
        <f>IFERROR(__xludf.DUMMYFUNCTION("""COMPUTED_VALUE"""),"4.146 €/m2")</f>
        <v>4.146 €/m2</v>
      </c>
      <c r="C161" s="1" t="str">
        <f>IFERROR(__xludf.DUMMYFUNCTION("""COMPUTED_VALUE"""),"- 0,6 %")</f>
        <v>- 0,6 %</v>
      </c>
      <c r="D161" s="1" t="str">
        <f>IFERROR(__xludf.DUMMYFUNCTION("""COMPUTED_VALUE"""),"- 0,7 %")</f>
        <v>- 0,7 %</v>
      </c>
      <c r="E161" s="1" t="str">
        <f>IFERROR(__xludf.DUMMYFUNCTION("""COMPUTED_VALUE"""),"- 4,9 %")</f>
        <v>- 4,9 %</v>
      </c>
    </row>
    <row r="162">
      <c r="A162" s="2">
        <f>IFERROR(__xludf.DUMMYFUNCTION("""COMPUTED_VALUE"""),41306.0)</f>
        <v>41306</v>
      </c>
      <c r="B162" s="1" t="str">
        <f>IFERROR(__xludf.DUMMYFUNCTION("""COMPUTED_VALUE"""),"4.171 €/m2")</f>
        <v>4.171 €/m2</v>
      </c>
      <c r="C162" s="1" t="str">
        <f>IFERROR(__xludf.DUMMYFUNCTION("""COMPUTED_VALUE"""),"+ 0,1 %")</f>
        <v>+ 0,1 %</v>
      </c>
      <c r="D162" s="1" t="str">
        <f>IFERROR(__xludf.DUMMYFUNCTION("""COMPUTED_VALUE"""),"+ 0,3 %")</f>
        <v>+ 0,3 %</v>
      </c>
      <c r="E162" s="1" t="str">
        <f>IFERROR(__xludf.DUMMYFUNCTION("""COMPUTED_VALUE"""),"- 5,0 %")</f>
        <v>- 5,0 %</v>
      </c>
    </row>
    <row r="163">
      <c r="A163" s="2">
        <f>IFERROR(__xludf.DUMMYFUNCTION("""COMPUTED_VALUE"""),41275.0)</f>
        <v>41275</v>
      </c>
      <c r="B163" s="1" t="str">
        <f>IFERROR(__xludf.DUMMYFUNCTION("""COMPUTED_VALUE"""),"4.168 €/m2")</f>
        <v>4.168 €/m2</v>
      </c>
      <c r="C163" s="1" t="str">
        <f>IFERROR(__xludf.DUMMYFUNCTION("""COMPUTED_VALUE"""),"- 0,2 %")</f>
        <v>- 0,2 %</v>
      </c>
      <c r="D163" s="1" t="str">
        <f>IFERROR(__xludf.DUMMYFUNCTION("""COMPUTED_VALUE"""),"+ 0,4 %")</f>
        <v>+ 0,4 %</v>
      </c>
      <c r="E163" s="1" t="str">
        <f>IFERROR(__xludf.DUMMYFUNCTION("""COMPUTED_VALUE"""),"- 5,6 %")</f>
        <v>- 5,6 %</v>
      </c>
    </row>
    <row r="164">
      <c r="A164" s="2">
        <f>IFERROR(__xludf.DUMMYFUNCTION("""COMPUTED_VALUE"""),41244.0)</f>
        <v>41244</v>
      </c>
      <c r="B164" s="1" t="str">
        <f>IFERROR(__xludf.DUMMYFUNCTION("""COMPUTED_VALUE"""),"4.175 €/m2")</f>
        <v>4.175 €/m2</v>
      </c>
      <c r="C164" s="1" t="str">
        <f>IFERROR(__xludf.DUMMYFUNCTION("""COMPUTED_VALUE"""),"+ 0,4 %")</f>
        <v>+ 0,4 %</v>
      </c>
      <c r="D164" s="1" t="str">
        <f>IFERROR(__xludf.DUMMYFUNCTION("""COMPUTED_VALUE"""),"+ 0,5 %")</f>
        <v>+ 0,5 %</v>
      </c>
      <c r="E164" s="1" t="str">
        <f>IFERROR(__xludf.DUMMYFUNCTION("""COMPUTED_VALUE"""),"- 5,8 %")</f>
        <v>- 5,8 %</v>
      </c>
    </row>
    <row r="165">
      <c r="A165" s="2">
        <f>IFERROR(__xludf.DUMMYFUNCTION("""COMPUTED_VALUE"""),41214.0)</f>
        <v>41214</v>
      </c>
      <c r="B165" s="1" t="str">
        <f>IFERROR(__xludf.DUMMYFUNCTION("""COMPUTED_VALUE"""),"4.159 €/m2")</f>
        <v>4.159 €/m2</v>
      </c>
      <c r="C165" s="1" t="str">
        <f>IFERROR(__xludf.DUMMYFUNCTION("""COMPUTED_VALUE"""),"+ 0,2 %")</f>
        <v>+ 0,2 %</v>
      </c>
      <c r="D165" s="1" t="str">
        <f>IFERROR(__xludf.DUMMYFUNCTION("""COMPUTED_VALUE"""),"- 0,5 %")</f>
        <v>- 0,5 %</v>
      </c>
      <c r="E165" s="1" t="str">
        <f>IFERROR(__xludf.DUMMYFUNCTION("""COMPUTED_VALUE"""),"- 6,9 %")</f>
        <v>- 6,9 %</v>
      </c>
    </row>
    <row r="166">
      <c r="A166" s="2">
        <f>IFERROR(__xludf.DUMMYFUNCTION("""COMPUTED_VALUE"""),41183.0)</f>
        <v>41183</v>
      </c>
      <c r="B166" s="1" t="str">
        <f>IFERROR(__xludf.DUMMYFUNCTION("""COMPUTED_VALUE"""),"4.150 €/m2")</f>
        <v>4.150 €/m2</v>
      </c>
      <c r="C166" s="1" t="str">
        <f>IFERROR(__xludf.DUMMYFUNCTION("""COMPUTED_VALUE"""),"- 0,1 %")</f>
        <v>- 0,1 %</v>
      </c>
      <c r="D166" s="1" t="str">
        <f>IFERROR(__xludf.DUMMYFUNCTION("""COMPUTED_VALUE"""),"- 0,9 %")</f>
        <v>- 0,9 %</v>
      </c>
      <c r="E166" s="1" t="str">
        <f>IFERROR(__xludf.DUMMYFUNCTION("""COMPUTED_VALUE"""),"- 6,7 %")</f>
        <v>- 6,7 %</v>
      </c>
    </row>
    <row r="167">
      <c r="A167" s="2">
        <f>IFERROR(__xludf.DUMMYFUNCTION("""COMPUTED_VALUE"""),41153.0)</f>
        <v>41153</v>
      </c>
      <c r="B167" s="1" t="str">
        <f>IFERROR(__xludf.DUMMYFUNCTION("""COMPUTED_VALUE"""),"4.154 €/m2")</f>
        <v>4.154 €/m2</v>
      </c>
      <c r="C167" s="1" t="str">
        <f>IFERROR(__xludf.DUMMYFUNCTION("""COMPUTED_VALUE"""),"- 0,6 %")</f>
        <v>- 0,6 %</v>
      </c>
      <c r="D167" s="1" t="str">
        <f>IFERROR(__xludf.DUMMYFUNCTION("""COMPUTED_VALUE"""),"- 0,6 %")</f>
        <v>- 0,6 %</v>
      </c>
      <c r="E167" s="1" t="str">
        <f>IFERROR(__xludf.DUMMYFUNCTION("""COMPUTED_VALUE"""),"- 6,6 %")</f>
        <v>- 6,6 %</v>
      </c>
    </row>
    <row r="168">
      <c r="A168" s="2">
        <f>IFERROR(__xludf.DUMMYFUNCTION("""COMPUTED_VALUE"""),41122.0)</f>
        <v>41122</v>
      </c>
      <c r="B168" s="1" t="str">
        <f>IFERROR(__xludf.DUMMYFUNCTION("""COMPUTED_VALUE"""),"4.178 €/m2")</f>
        <v>4.178 €/m2</v>
      </c>
      <c r="C168" s="1" t="str">
        <f>IFERROR(__xludf.DUMMYFUNCTION("""COMPUTED_VALUE"""),"- 0,3 %")</f>
        <v>- 0,3 %</v>
      </c>
      <c r="D168" s="1" t="str">
        <f>IFERROR(__xludf.DUMMYFUNCTION("""COMPUTED_VALUE"""),"- 0,7 %")</f>
        <v>- 0,7 %</v>
      </c>
      <c r="E168" s="1" t="str">
        <f>IFERROR(__xludf.DUMMYFUNCTION("""COMPUTED_VALUE"""),"- 7,1 %")</f>
        <v>- 7,1 %</v>
      </c>
    </row>
    <row r="169">
      <c r="A169" s="2">
        <f>IFERROR(__xludf.DUMMYFUNCTION("""COMPUTED_VALUE"""),41091.0)</f>
        <v>41091</v>
      </c>
      <c r="B169" s="1" t="str">
        <f>IFERROR(__xludf.DUMMYFUNCTION("""COMPUTED_VALUE"""),"4.189 €/m2")</f>
        <v>4.189 €/m2</v>
      </c>
      <c r="C169" s="1" t="str">
        <f>IFERROR(__xludf.DUMMYFUNCTION("""COMPUTED_VALUE"""),"+ 0,2 %")</f>
        <v>+ 0,2 %</v>
      </c>
      <c r="D169" s="1" t="str">
        <f>IFERROR(__xludf.DUMMYFUNCTION("""COMPUTED_VALUE"""),"- 2,9 %")</f>
        <v>- 2,9 %</v>
      </c>
      <c r="E169" s="1" t="str">
        <f>IFERROR(__xludf.DUMMYFUNCTION("""COMPUTED_VALUE"""),"- 8,8 %")</f>
        <v>- 8,8 %</v>
      </c>
    </row>
    <row r="170">
      <c r="A170" s="2">
        <f>IFERROR(__xludf.DUMMYFUNCTION("""COMPUTED_VALUE"""),41061.0)</f>
        <v>41061</v>
      </c>
      <c r="B170" s="1" t="str">
        <f>IFERROR(__xludf.DUMMYFUNCTION("""COMPUTED_VALUE"""),"4.180 €/m2")</f>
        <v>4.180 €/m2</v>
      </c>
      <c r="C170" s="1" t="str">
        <f>IFERROR(__xludf.DUMMYFUNCTION("""COMPUTED_VALUE"""),"- 0,7 %")</f>
        <v>- 0,7 %</v>
      </c>
      <c r="D170" s="1" t="str">
        <f>IFERROR(__xludf.DUMMYFUNCTION("""COMPUTED_VALUE"""),"- 4,1 %")</f>
        <v>- 4,1 %</v>
      </c>
      <c r="E170" s="1" t="str">
        <f>IFERROR(__xludf.DUMMYFUNCTION("""COMPUTED_VALUE"""),"- 9,1 %")</f>
        <v>- 9,1 %</v>
      </c>
    </row>
    <row r="171">
      <c r="A171" s="2">
        <f>IFERROR(__xludf.DUMMYFUNCTION("""COMPUTED_VALUE"""),41030.0)</f>
        <v>41030</v>
      </c>
      <c r="B171" s="1" t="str">
        <f>IFERROR(__xludf.DUMMYFUNCTION("""COMPUTED_VALUE"""),"4.208 €/m2")</f>
        <v>4.208 €/m2</v>
      </c>
      <c r="C171" s="1" t="str">
        <f>IFERROR(__xludf.DUMMYFUNCTION("""COMPUTED_VALUE"""),"- 2,5 %")</f>
        <v>- 2,5 %</v>
      </c>
      <c r="D171" s="1" t="str">
        <f>IFERROR(__xludf.DUMMYFUNCTION("""COMPUTED_VALUE"""),"- 4,1 %")</f>
        <v>- 4,1 %</v>
      </c>
      <c r="E171" s="1" t="str">
        <f>IFERROR(__xludf.DUMMYFUNCTION("""COMPUTED_VALUE"""),"- 8,5 %")</f>
        <v>- 8,5 %</v>
      </c>
    </row>
    <row r="172">
      <c r="A172" s="2">
        <f>IFERROR(__xludf.DUMMYFUNCTION("""COMPUTED_VALUE"""),41000.0)</f>
        <v>41000</v>
      </c>
      <c r="B172" s="1" t="str">
        <f>IFERROR(__xludf.DUMMYFUNCTION("""COMPUTED_VALUE"""),"4.315 €/m2")</f>
        <v>4.315 €/m2</v>
      </c>
      <c r="C172" s="1" t="str">
        <f>IFERROR(__xludf.DUMMYFUNCTION("""COMPUTED_VALUE"""),"- 1,0 %")</f>
        <v>- 1,0 %</v>
      </c>
      <c r="D172" s="1" t="str">
        <f>IFERROR(__xludf.DUMMYFUNCTION("""COMPUTED_VALUE"""),"- 2,3 %")</f>
        <v>- 2,3 %</v>
      </c>
      <c r="E172" s="1" t="str">
        <f>IFERROR(__xludf.DUMMYFUNCTION("""COMPUTED_VALUE"""),"- 6,6 %")</f>
        <v>- 6,6 %</v>
      </c>
    </row>
    <row r="173">
      <c r="A173" s="2">
        <f>IFERROR(__xludf.DUMMYFUNCTION("""COMPUTED_VALUE"""),40969.0)</f>
        <v>40969</v>
      </c>
      <c r="B173" s="1" t="str">
        <f>IFERROR(__xludf.DUMMYFUNCTION("""COMPUTED_VALUE"""),"4.359 €/m2")</f>
        <v>4.359 €/m2</v>
      </c>
      <c r="C173" s="1" t="str">
        <f>IFERROR(__xludf.DUMMYFUNCTION("""COMPUTED_VALUE"""),"- 0,7 %")</f>
        <v>- 0,7 %</v>
      </c>
      <c r="D173" s="1" t="str">
        <f>IFERROR(__xludf.DUMMYFUNCTION("""COMPUTED_VALUE"""),"- 1,6 %")</f>
        <v>- 1,6 %</v>
      </c>
      <c r="E173" s="1" t="str">
        <f>IFERROR(__xludf.DUMMYFUNCTION("""COMPUTED_VALUE"""),"- 6,1 %")</f>
        <v>- 6,1 %</v>
      </c>
    </row>
    <row r="174">
      <c r="A174" s="2">
        <f>IFERROR(__xludf.DUMMYFUNCTION("""COMPUTED_VALUE"""),40940.0)</f>
        <v>40940</v>
      </c>
      <c r="B174" s="1" t="str">
        <f>IFERROR(__xludf.DUMMYFUNCTION("""COMPUTED_VALUE"""),"4.389 €/m2")</f>
        <v>4.389 €/m2</v>
      </c>
      <c r="C174" s="1" t="str">
        <f>IFERROR(__xludf.DUMMYFUNCTION("""COMPUTED_VALUE"""),"- 0,6 %")</f>
        <v>- 0,6 %</v>
      </c>
      <c r="D174" s="1" t="str">
        <f>IFERROR(__xludf.DUMMYFUNCTION("""COMPUTED_VALUE"""),"- 1,8 %")</f>
        <v>- 1,8 %</v>
      </c>
      <c r="E174" s="1" t="str">
        <f>IFERROR(__xludf.DUMMYFUNCTION("""COMPUTED_VALUE"""),"- 5,3 %")</f>
        <v>- 5,3 %</v>
      </c>
    </row>
    <row r="175">
      <c r="A175" s="2">
        <f>IFERROR(__xludf.DUMMYFUNCTION("""COMPUTED_VALUE"""),40909.0)</f>
        <v>40909</v>
      </c>
      <c r="B175" s="1" t="str">
        <f>IFERROR(__xludf.DUMMYFUNCTION("""COMPUTED_VALUE"""),"4.416 €/m2")</f>
        <v>4.416 €/m2</v>
      </c>
      <c r="C175" s="1" t="str">
        <f>IFERROR(__xludf.DUMMYFUNCTION("""COMPUTED_VALUE"""),"- 0,4 %")</f>
        <v>- 0,4 %</v>
      </c>
      <c r="D175" s="1" t="str">
        <f>IFERROR(__xludf.DUMMYFUNCTION("""COMPUTED_VALUE"""),"- 0,7 %")</f>
        <v>- 0,7 %</v>
      </c>
      <c r="E175" s="1" t="str">
        <f>IFERROR(__xludf.DUMMYFUNCTION("""COMPUTED_VALUE"""),"- 5,1 %")</f>
        <v>- 5,1 %</v>
      </c>
    </row>
    <row r="176">
      <c r="A176" s="2">
        <f>IFERROR(__xludf.DUMMYFUNCTION("""COMPUTED_VALUE"""),40878.0)</f>
        <v>40878</v>
      </c>
      <c r="B176" s="1" t="str">
        <f>IFERROR(__xludf.DUMMYFUNCTION("""COMPUTED_VALUE"""),"4.432 €/m2")</f>
        <v>4.432 €/m2</v>
      </c>
      <c r="C176" s="1" t="str">
        <f>IFERROR(__xludf.DUMMYFUNCTION("""COMPUTED_VALUE"""),"- 0,8 %")</f>
        <v>- 0,8 %</v>
      </c>
      <c r="D176" s="1" t="str">
        <f>IFERROR(__xludf.DUMMYFUNCTION("""COMPUTED_VALUE"""),"- 0,4 %")</f>
        <v>- 0,4 %</v>
      </c>
      <c r="E176" s="1" t="str">
        <f>IFERROR(__xludf.DUMMYFUNCTION("""COMPUTED_VALUE"""),"- 4,8 %")</f>
        <v>- 4,8 %</v>
      </c>
    </row>
    <row r="177">
      <c r="A177" s="2">
        <f>IFERROR(__xludf.DUMMYFUNCTION("""COMPUTED_VALUE"""),40848.0)</f>
        <v>40848</v>
      </c>
      <c r="B177" s="1" t="str">
        <f>IFERROR(__xludf.DUMMYFUNCTION("""COMPUTED_VALUE"""),"4.470 €/m2")</f>
        <v>4.470 €/m2</v>
      </c>
      <c r="C177" s="1" t="str">
        <f>IFERROR(__xludf.DUMMYFUNCTION("""COMPUTED_VALUE"""),"+ 0,5 %")</f>
        <v>+ 0,5 %</v>
      </c>
      <c r="D177" s="1" t="str">
        <f>IFERROR(__xludf.DUMMYFUNCTION("""COMPUTED_VALUE"""),"- 0,6 %")</f>
        <v>- 0,6 %</v>
      </c>
      <c r="E177" s="1" t="str">
        <f>IFERROR(__xludf.DUMMYFUNCTION("""COMPUTED_VALUE"""),"- 5,4 %")</f>
        <v>- 5,4 %</v>
      </c>
    </row>
    <row r="178">
      <c r="A178" s="2">
        <f>IFERROR(__xludf.DUMMYFUNCTION("""COMPUTED_VALUE"""),40817.0)</f>
        <v>40817</v>
      </c>
      <c r="B178" s="1" t="str">
        <f>IFERROR(__xludf.DUMMYFUNCTION("""COMPUTED_VALUE"""),"4.449 €/m2")</f>
        <v>4.449 €/m2</v>
      </c>
      <c r="C178" s="1" t="str">
        <f>IFERROR(__xludf.DUMMYFUNCTION("""COMPUTED_VALUE"""),"0,0 %")</f>
        <v>0,0 %</v>
      </c>
      <c r="D178" s="1" t="str">
        <f>IFERROR(__xludf.DUMMYFUNCTION("""COMPUTED_VALUE"""),"- 3,2 %")</f>
        <v>- 3,2 %</v>
      </c>
      <c r="E178" s="1" t="str">
        <f>IFERROR(__xludf.DUMMYFUNCTION("""COMPUTED_VALUE"""),"- 4,7 %")</f>
        <v>- 4,7 %</v>
      </c>
    </row>
    <row r="179">
      <c r="A179" s="2">
        <f>IFERROR(__xludf.DUMMYFUNCTION("""COMPUTED_VALUE"""),40787.0)</f>
        <v>40787</v>
      </c>
      <c r="B179" s="1" t="str">
        <f>IFERROR(__xludf.DUMMYFUNCTION("""COMPUTED_VALUE"""),"4.449 €/m2")</f>
        <v>4.449 €/m2</v>
      </c>
      <c r="C179" s="1" t="str">
        <f>IFERROR(__xludf.DUMMYFUNCTION("""COMPUTED_VALUE"""),"- 1,0 %")</f>
        <v>- 1,0 %</v>
      </c>
      <c r="D179" s="1" t="str">
        <f>IFERROR(__xludf.DUMMYFUNCTION("""COMPUTED_VALUE"""),"- 3,2 %")</f>
        <v>- 3,2 %</v>
      </c>
      <c r="E179" s="1" t="str">
        <f>IFERROR(__xludf.DUMMYFUNCTION("""COMPUTED_VALUE"""),"- 5,5 %")</f>
        <v>- 5,5 %</v>
      </c>
    </row>
    <row r="180">
      <c r="A180" s="2">
        <f>IFERROR(__xludf.DUMMYFUNCTION("""COMPUTED_VALUE"""),40756.0)</f>
        <v>40756</v>
      </c>
      <c r="B180" s="1" t="str">
        <f>IFERROR(__xludf.DUMMYFUNCTION("""COMPUTED_VALUE"""),"4.496 €/m2")</f>
        <v>4.496 €/m2</v>
      </c>
      <c r="C180" s="1" t="str">
        <f>IFERROR(__xludf.DUMMYFUNCTION("""COMPUTED_VALUE"""),"- 2,1 %")</f>
        <v>- 2,1 %</v>
      </c>
      <c r="D180" s="1" t="str">
        <f>IFERROR(__xludf.DUMMYFUNCTION("""COMPUTED_VALUE"""),"- 2,2 %")</f>
        <v>- 2,2 %</v>
      </c>
      <c r="E180" s="1" t="str">
        <f>IFERROR(__xludf.DUMMYFUNCTION("""COMPUTED_VALUE"""),"- 5,2 %")</f>
        <v>- 5,2 %</v>
      </c>
    </row>
    <row r="181">
      <c r="A181" s="2">
        <f>IFERROR(__xludf.DUMMYFUNCTION("""COMPUTED_VALUE"""),40725.0)</f>
        <v>40725</v>
      </c>
      <c r="B181" s="1" t="str">
        <f>IFERROR(__xludf.DUMMYFUNCTION("""COMPUTED_VALUE"""),"4.594 €/m2")</f>
        <v>4.594 €/m2</v>
      </c>
      <c r="C181" s="1" t="str">
        <f>IFERROR(__xludf.DUMMYFUNCTION("""COMPUTED_VALUE"""),"- 0,1 %")</f>
        <v>- 0,1 %</v>
      </c>
      <c r="D181" s="1" t="str">
        <f>IFERROR(__xludf.DUMMYFUNCTION("""COMPUTED_VALUE"""),"- 0,6 %")</f>
        <v>- 0,6 %</v>
      </c>
      <c r="E181" s="1" t="str">
        <f>IFERROR(__xludf.DUMMYFUNCTION("""COMPUTED_VALUE"""),"- 3,3 %")</f>
        <v>- 3,3 %</v>
      </c>
    </row>
    <row r="182">
      <c r="A182" s="2">
        <f>IFERROR(__xludf.DUMMYFUNCTION("""COMPUTED_VALUE"""),40695.0)</f>
        <v>40695</v>
      </c>
      <c r="B182" s="1" t="str">
        <f>IFERROR(__xludf.DUMMYFUNCTION("""COMPUTED_VALUE"""),"4.598 €/m2")</f>
        <v>4.598 €/m2</v>
      </c>
      <c r="C182" s="1" t="str">
        <f>IFERROR(__xludf.DUMMYFUNCTION("""COMPUTED_VALUE"""),"0,0 %")</f>
        <v>0,0 %</v>
      </c>
      <c r="D182" s="1" t="str">
        <f>IFERROR(__xludf.DUMMYFUNCTION("""COMPUTED_VALUE"""),"- 0,9 %")</f>
        <v>- 0,9 %</v>
      </c>
      <c r="E182" s="1" t="str">
        <f>IFERROR(__xludf.DUMMYFUNCTION("""COMPUTED_VALUE"""),"- 2,9 %")</f>
        <v>- 2,9 %</v>
      </c>
    </row>
    <row r="183">
      <c r="A183" s="2">
        <f>IFERROR(__xludf.DUMMYFUNCTION("""COMPUTED_VALUE"""),40664.0)</f>
        <v>40664</v>
      </c>
      <c r="B183" s="1" t="str">
        <f>IFERROR(__xludf.DUMMYFUNCTION("""COMPUTED_VALUE"""),"4.598 €/m2")</f>
        <v>4.598 €/m2</v>
      </c>
      <c r="C183" s="1" t="str">
        <f>IFERROR(__xludf.DUMMYFUNCTION("""COMPUTED_VALUE"""),"- 0,5 %")</f>
        <v>- 0,5 %</v>
      </c>
      <c r="D183" s="1" t="str">
        <f>IFERROR(__xludf.DUMMYFUNCTION("""COMPUTED_VALUE"""),"- 0,8 %")</f>
        <v>- 0,8 %</v>
      </c>
      <c r="E183" s="1" t="str">
        <f>IFERROR(__xludf.DUMMYFUNCTION("""COMPUTED_VALUE"""),"- 2,7 %")</f>
        <v>- 2,7 %</v>
      </c>
    </row>
    <row r="184">
      <c r="A184" s="2">
        <f>IFERROR(__xludf.DUMMYFUNCTION("""COMPUTED_VALUE"""),40634.0)</f>
        <v>40634</v>
      </c>
      <c r="B184" s="1" t="str">
        <f>IFERROR(__xludf.DUMMYFUNCTION("""COMPUTED_VALUE"""),"4.622 €/m2")</f>
        <v>4.622 €/m2</v>
      </c>
      <c r="C184" s="1" t="str">
        <f>IFERROR(__xludf.DUMMYFUNCTION("""COMPUTED_VALUE"""),"- 0,4 %")</f>
        <v>- 0,4 %</v>
      </c>
      <c r="D184" s="1" t="str">
        <f>IFERROR(__xludf.DUMMYFUNCTION("""COMPUTED_VALUE"""),"- 0,7 %")</f>
        <v>- 0,7 %</v>
      </c>
      <c r="E184" s="1" t="str">
        <f>IFERROR(__xludf.DUMMYFUNCTION("""COMPUTED_VALUE"""),"- 1,4 %")</f>
        <v>- 1,4 %</v>
      </c>
    </row>
    <row r="185">
      <c r="A185" s="2">
        <f>IFERROR(__xludf.DUMMYFUNCTION("""COMPUTED_VALUE"""),40603.0)</f>
        <v>40603</v>
      </c>
      <c r="B185" s="1" t="str">
        <f>IFERROR(__xludf.DUMMYFUNCTION("""COMPUTED_VALUE"""),"4.641 €/m2")</f>
        <v>4.641 €/m2</v>
      </c>
      <c r="C185" s="1" t="str">
        <f>IFERROR(__xludf.DUMMYFUNCTION("""COMPUTED_VALUE"""),"+ 0,1 %")</f>
        <v>+ 0,1 %</v>
      </c>
      <c r="D185" s="1" t="str">
        <f>IFERROR(__xludf.DUMMYFUNCTION("""COMPUTED_VALUE"""),"- 0,3 %")</f>
        <v>- 0,3 %</v>
      </c>
      <c r="E185" s="1" t="str">
        <f>IFERROR(__xludf.DUMMYFUNCTION("""COMPUTED_VALUE"""),"- 1,4 %")</f>
        <v>- 1,4 %</v>
      </c>
    </row>
    <row r="186">
      <c r="A186" s="2">
        <f>IFERROR(__xludf.DUMMYFUNCTION("""COMPUTED_VALUE"""),40575.0)</f>
        <v>40575</v>
      </c>
      <c r="B186" s="1" t="str">
        <f>IFERROR(__xludf.DUMMYFUNCTION("""COMPUTED_VALUE"""),"4.634 €/m2")</f>
        <v>4.634 €/m2</v>
      </c>
      <c r="C186" s="1" t="str">
        <f>IFERROR(__xludf.DUMMYFUNCTION("""COMPUTED_VALUE"""),"- 0,4 %")</f>
        <v>- 0,4 %</v>
      </c>
      <c r="D186" s="1" t="str">
        <f>IFERROR(__xludf.DUMMYFUNCTION("""COMPUTED_VALUE"""),"- 1,9 %")</f>
        <v>- 1,9 %</v>
      </c>
      <c r="E186" s="1" t="str">
        <f>IFERROR(__xludf.DUMMYFUNCTION("""COMPUTED_VALUE"""),"- 1,5 %")</f>
        <v>- 1,5 %</v>
      </c>
    </row>
    <row r="187">
      <c r="A187" s="2">
        <f>IFERROR(__xludf.DUMMYFUNCTION("""COMPUTED_VALUE"""),40544.0)</f>
        <v>40544</v>
      </c>
      <c r="B187" s="1" t="str">
        <f>IFERROR(__xludf.DUMMYFUNCTION("""COMPUTED_VALUE"""),"4.654 €/m2")</f>
        <v>4.654 €/m2</v>
      </c>
      <c r="C187" s="1" t="str">
        <f>IFERROR(__xludf.DUMMYFUNCTION("""COMPUTED_VALUE"""),"0,0 %")</f>
        <v>0,0 %</v>
      </c>
      <c r="D187" s="1" t="str">
        <f>IFERROR(__xludf.DUMMYFUNCTION("""COMPUTED_VALUE"""),"- 0,3 %")</f>
        <v>- 0,3 %</v>
      </c>
      <c r="E187" s="1" t="str">
        <f>IFERROR(__xludf.DUMMYFUNCTION("""COMPUTED_VALUE"""),"- 1,3 %")</f>
        <v>- 1,3 %</v>
      </c>
    </row>
    <row r="188">
      <c r="A188" s="2">
        <f>IFERROR(__xludf.DUMMYFUNCTION("""COMPUTED_VALUE"""),40513.0)</f>
        <v>40513</v>
      </c>
      <c r="B188" s="1" t="str">
        <f>IFERROR(__xludf.DUMMYFUNCTION("""COMPUTED_VALUE"""),"4.654 €/m2")</f>
        <v>4.654 €/m2</v>
      </c>
      <c r="C188" s="1" t="str">
        <f>IFERROR(__xludf.DUMMYFUNCTION("""COMPUTED_VALUE"""),"- 1,5 %")</f>
        <v>- 1,5 %</v>
      </c>
      <c r="D188" s="1" t="str">
        <f>IFERROR(__xludf.DUMMYFUNCTION("""COMPUTED_VALUE"""),"- 1,2 %")</f>
        <v>- 1,2 %</v>
      </c>
      <c r="E188" s="1" t="str">
        <f>IFERROR(__xludf.DUMMYFUNCTION("""COMPUTED_VALUE"""),"- 1,5 %")</f>
        <v>- 1,5 %</v>
      </c>
    </row>
    <row r="189">
      <c r="A189" s="2">
        <f>IFERROR(__xludf.DUMMYFUNCTION("""COMPUTED_VALUE"""),40483.0)</f>
        <v>40483</v>
      </c>
      <c r="B189" s="1" t="str">
        <f>IFERROR(__xludf.DUMMYFUNCTION("""COMPUTED_VALUE"""),"4.723 €/m2")</f>
        <v>4.723 €/m2</v>
      </c>
      <c r="C189" s="1" t="str">
        <f>IFERROR(__xludf.DUMMYFUNCTION("""COMPUTED_VALUE"""),"+ 1,2 %")</f>
        <v>+ 1,2 %</v>
      </c>
      <c r="D189" s="1" t="str">
        <f>IFERROR(__xludf.DUMMYFUNCTION("""COMPUTED_VALUE"""),"- 0,4 %")</f>
        <v>- 0,4 %</v>
      </c>
      <c r="E189" s="1" t="str">
        <f>IFERROR(__xludf.DUMMYFUNCTION("""COMPUTED_VALUE"""),"- 1,2 %")</f>
        <v>- 1,2 %</v>
      </c>
    </row>
    <row r="190">
      <c r="A190" s="2">
        <f>IFERROR(__xludf.DUMMYFUNCTION("""COMPUTED_VALUE"""),40452.0)</f>
        <v>40452</v>
      </c>
      <c r="B190" s="1" t="str">
        <f>IFERROR(__xludf.DUMMYFUNCTION("""COMPUTED_VALUE"""),"4.669 €/m2")</f>
        <v>4.669 €/m2</v>
      </c>
      <c r="C190" s="1" t="str">
        <f>IFERROR(__xludf.DUMMYFUNCTION("""COMPUTED_VALUE"""),"- 0,9 %")</f>
        <v>- 0,9 %</v>
      </c>
      <c r="D190" s="1" t="str">
        <f>IFERROR(__xludf.DUMMYFUNCTION("""COMPUTED_VALUE"""),"- 1,7 %")</f>
        <v>- 1,7 %</v>
      </c>
      <c r="E190" s="1" t="str">
        <f>IFERROR(__xludf.DUMMYFUNCTION("""COMPUTED_VALUE"""),"- 2,5 %")</f>
        <v>- 2,5 %</v>
      </c>
    </row>
    <row r="191">
      <c r="A191" s="2">
        <f>IFERROR(__xludf.DUMMYFUNCTION("""COMPUTED_VALUE"""),40422.0)</f>
        <v>40422</v>
      </c>
      <c r="B191" s="1" t="str">
        <f>IFERROR(__xludf.DUMMYFUNCTION("""COMPUTED_VALUE"""),"4.709 €/m2")</f>
        <v>4.709 €/m2</v>
      </c>
      <c r="C191" s="1" t="str">
        <f>IFERROR(__xludf.DUMMYFUNCTION("""COMPUTED_VALUE"""),"- 0,7 %")</f>
        <v>- 0,7 %</v>
      </c>
      <c r="D191" s="1" t="str">
        <f>IFERROR(__xludf.DUMMYFUNCTION("""COMPUTED_VALUE"""),"- 0,6 %")</f>
        <v>- 0,6 %</v>
      </c>
      <c r="E191" s="1" t="str">
        <f>IFERROR(__xludf.DUMMYFUNCTION("""COMPUTED_VALUE"""),"- 0,6 %")</f>
        <v>- 0,6 %</v>
      </c>
    </row>
    <row r="192">
      <c r="A192" s="2">
        <f>IFERROR(__xludf.DUMMYFUNCTION("""COMPUTED_VALUE"""),40391.0)</f>
        <v>40391</v>
      </c>
      <c r="B192" s="1" t="str">
        <f>IFERROR(__xludf.DUMMYFUNCTION("""COMPUTED_VALUE"""),"4.744 €/m2")</f>
        <v>4.744 €/m2</v>
      </c>
      <c r="C192" s="1" t="str">
        <f>IFERROR(__xludf.DUMMYFUNCTION("""COMPUTED_VALUE"""),"- 0,2 %")</f>
        <v>- 0,2 %</v>
      </c>
      <c r="D192" s="1" t="str">
        <f>IFERROR(__xludf.DUMMYFUNCTION("""COMPUTED_VALUE"""),"+ 0,3 %")</f>
        <v>+ 0,3 %</v>
      </c>
      <c r="E192" s="1" t="str">
        <f>IFERROR(__xludf.DUMMYFUNCTION("""COMPUTED_VALUE"""),"+ 0,8 %")</f>
        <v>+ 0,8 %</v>
      </c>
    </row>
    <row r="193">
      <c r="A193" s="2">
        <f>IFERROR(__xludf.DUMMYFUNCTION("""COMPUTED_VALUE"""),40360.0)</f>
        <v>40360</v>
      </c>
      <c r="B193" s="1" t="str">
        <f>IFERROR(__xludf.DUMMYFUNCTION("""COMPUTED_VALUE"""),"4.751 €/m2")</f>
        <v>4.751 €/m2</v>
      </c>
      <c r="C193" s="1" t="str">
        <f>IFERROR(__xludf.DUMMYFUNCTION("""COMPUTED_VALUE"""),"+ 0,3 %")</f>
        <v>+ 0,3 %</v>
      </c>
      <c r="D193" s="1" t="str">
        <f>IFERROR(__xludf.DUMMYFUNCTION("""COMPUTED_VALUE"""),"+ 1,4 %")</f>
        <v>+ 1,4 %</v>
      </c>
      <c r="E193" s="1" t="str">
        <f>IFERROR(__xludf.DUMMYFUNCTION("""COMPUTED_VALUE"""),"+ 0,7 %")</f>
        <v>+ 0,7 %</v>
      </c>
    </row>
    <row r="194">
      <c r="A194" s="2">
        <f>IFERROR(__xludf.DUMMYFUNCTION("""COMPUTED_VALUE"""),40330.0)</f>
        <v>40330</v>
      </c>
      <c r="B194" s="1" t="str">
        <f>IFERROR(__xludf.DUMMYFUNCTION("""COMPUTED_VALUE"""),"4.735 €/m2")</f>
        <v>4.735 €/m2</v>
      </c>
      <c r="C194" s="1" t="str">
        <f>IFERROR(__xludf.DUMMYFUNCTION("""COMPUTED_VALUE"""),"+ 0,2 %")</f>
        <v>+ 0,2 %</v>
      </c>
      <c r="D194" s="1" t="str">
        <f>IFERROR(__xludf.DUMMYFUNCTION("""COMPUTED_VALUE"""),"+ 0,7 %")</f>
        <v>+ 0,7 %</v>
      </c>
      <c r="E194" s="1" t="str">
        <f>IFERROR(__xludf.DUMMYFUNCTION("""COMPUTED_VALUE"""),"- 3,1 %")</f>
        <v>- 3,1 %</v>
      </c>
    </row>
    <row r="195">
      <c r="A195" s="2">
        <f>IFERROR(__xludf.DUMMYFUNCTION("""COMPUTED_VALUE"""),40299.0)</f>
        <v>40299</v>
      </c>
      <c r="B195" s="1" t="str">
        <f>IFERROR(__xludf.DUMMYFUNCTION("""COMPUTED_VALUE"""),"4.728 €/m2")</f>
        <v>4.728 €/m2</v>
      </c>
      <c r="C195" s="1" t="str">
        <f>IFERROR(__xludf.DUMMYFUNCTION("""COMPUTED_VALUE"""),"+ 0,9 %")</f>
        <v>+ 0,9 %</v>
      </c>
      <c r="D195" s="1" t="str">
        <f>IFERROR(__xludf.DUMMYFUNCTION("""COMPUTED_VALUE"""),"+ 0,5 %")</f>
        <v>+ 0,5 %</v>
      </c>
      <c r="E195" s="1" t="str">
        <f>IFERROR(__xludf.DUMMYFUNCTION("""COMPUTED_VALUE"""),"- 3,9 %")</f>
        <v>- 3,9 %</v>
      </c>
    </row>
    <row r="196">
      <c r="A196" s="2">
        <f>IFERROR(__xludf.DUMMYFUNCTION("""COMPUTED_VALUE"""),40269.0)</f>
        <v>40269</v>
      </c>
      <c r="B196" s="1" t="str">
        <f>IFERROR(__xludf.DUMMYFUNCTION("""COMPUTED_VALUE"""),"4.686 €/m2")</f>
        <v>4.686 €/m2</v>
      </c>
      <c r="C196" s="1" t="str">
        <f>IFERROR(__xludf.DUMMYFUNCTION("""COMPUTED_VALUE"""),"- 0,4 %")</f>
        <v>- 0,4 %</v>
      </c>
      <c r="D196" s="1" t="str">
        <f>IFERROR(__xludf.DUMMYFUNCTION("""COMPUTED_VALUE"""),"- 0,6 %")</f>
        <v>- 0,6 %</v>
      </c>
      <c r="E196" s="1" t="str">
        <f>IFERROR(__xludf.DUMMYFUNCTION("""COMPUTED_VALUE"""),"- 6,6 %")</f>
        <v>- 6,6 %</v>
      </c>
    </row>
    <row r="197">
      <c r="A197" s="2">
        <f>IFERROR(__xludf.DUMMYFUNCTION("""COMPUTED_VALUE"""),40238.0)</f>
        <v>40238</v>
      </c>
      <c r="B197" s="1" t="str">
        <f>IFERROR(__xludf.DUMMYFUNCTION("""COMPUTED_VALUE"""),"4.704 €/m2")</f>
        <v>4.704 €/m2</v>
      </c>
      <c r="C197" s="1" t="str">
        <f>IFERROR(__xludf.DUMMYFUNCTION("""COMPUTED_VALUE"""),"0,0 %")</f>
        <v>0,0 %</v>
      </c>
      <c r="D197" s="1" t="str">
        <f>IFERROR(__xludf.DUMMYFUNCTION("""COMPUTED_VALUE"""),"- 0,4 %")</f>
        <v>- 0,4 %</v>
      </c>
      <c r="E197" s="1" t="str">
        <f>IFERROR(__xludf.DUMMYFUNCTION("""COMPUTED_VALUE"""),"- 5,8 %")</f>
        <v>- 5,8 %</v>
      </c>
    </row>
    <row r="198">
      <c r="A198" s="2">
        <f>IFERROR(__xludf.DUMMYFUNCTION("""COMPUTED_VALUE"""),40210.0)</f>
        <v>40210</v>
      </c>
      <c r="B198" s="1" t="str">
        <f>IFERROR(__xludf.DUMMYFUNCTION("""COMPUTED_VALUE"""),"4.706 €/m2")</f>
        <v>4.706 €/m2</v>
      </c>
      <c r="C198" s="1" t="str">
        <f>IFERROR(__xludf.DUMMYFUNCTION("""COMPUTED_VALUE"""),"- 0,2 %")</f>
        <v>- 0,2 %</v>
      </c>
      <c r="D198" s="1" t="str">
        <f>IFERROR(__xludf.DUMMYFUNCTION("""COMPUTED_VALUE"""),"- 1,6 %")</f>
        <v>- 1,6 %</v>
      </c>
      <c r="E198" s="1" t="str">
        <f>IFERROR(__xludf.DUMMYFUNCTION("""COMPUTED_VALUE"""),"- 4,0 %")</f>
        <v>- 4,0 %</v>
      </c>
    </row>
    <row r="199">
      <c r="A199" s="2">
        <f>IFERROR(__xludf.DUMMYFUNCTION("""COMPUTED_VALUE"""),40179.0)</f>
        <v>40179</v>
      </c>
      <c r="B199" s="1" t="str">
        <f>IFERROR(__xludf.DUMMYFUNCTION("""COMPUTED_VALUE"""),"4.714 €/m2")</f>
        <v>4.714 €/m2</v>
      </c>
      <c r="C199" s="1" t="str">
        <f>IFERROR(__xludf.DUMMYFUNCTION("""COMPUTED_VALUE"""),"- 0,2 %")</f>
        <v>- 0,2 %</v>
      </c>
      <c r="D199" s="1" t="str">
        <f>IFERROR(__xludf.DUMMYFUNCTION("""COMPUTED_VALUE"""),"- 1,5 %")</f>
        <v>- 1,5 %</v>
      </c>
      <c r="E199" s="1" t="str">
        <f>IFERROR(__xludf.DUMMYFUNCTION("""COMPUTED_VALUE"""),"- 3,0 %")</f>
        <v>- 3,0 %</v>
      </c>
    </row>
    <row r="200">
      <c r="A200" s="2">
        <f>IFERROR(__xludf.DUMMYFUNCTION("""COMPUTED_VALUE"""),40148.0)</f>
        <v>40148</v>
      </c>
      <c r="B200" s="1" t="str">
        <f>IFERROR(__xludf.DUMMYFUNCTION("""COMPUTED_VALUE"""),"4.725 €/m2")</f>
        <v>4.725 €/m2</v>
      </c>
      <c r="C200" s="1" t="str">
        <f>IFERROR(__xludf.DUMMYFUNCTION("""COMPUTED_VALUE"""),"- 1,2 %")</f>
        <v>- 1,2 %</v>
      </c>
      <c r="D200" s="1" t="str">
        <f>IFERROR(__xludf.DUMMYFUNCTION("""COMPUTED_VALUE"""),"- 0,3 %")</f>
        <v>- 0,3 %</v>
      </c>
      <c r="E200" s="1" t="str">
        <f>IFERROR(__xludf.DUMMYFUNCTION("""COMPUTED_VALUE"""),"- 1,6 %")</f>
        <v>- 1,6 %</v>
      </c>
    </row>
    <row r="201">
      <c r="A201" s="2">
        <f>IFERROR(__xludf.DUMMYFUNCTION("""COMPUTED_VALUE"""),40118.0)</f>
        <v>40118</v>
      </c>
      <c r="B201" s="1" t="str">
        <f>IFERROR(__xludf.DUMMYFUNCTION("""COMPUTED_VALUE"""),"4.781 €/m2")</f>
        <v>4.781 €/m2</v>
      </c>
      <c r="C201" s="1" t="str">
        <f>IFERROR(__xludf.DUMMYFUNCTION("""COMPUTED_VALUE"""),"- 0,1 %")</f>
        <v>- 0,1 %</v>
      </c>
      <c r="D201" s="1" t="str">
        <f>IFERROR(__xludf.DUMMYFUNCTION("""COMPUTED_VALUE"""),"+ 1,5 %")</f>
        <v>+ 1,5 %</v>
      </c>
      <c r="E201" s="1" t="str">
        <f>IFERROR(__xludf.DUMMYFUNCTION("""COMPUTED_VALUE"""),"- 0,5 %")</f>
        <v>- 0,5 %</v>
      </c>
    </row>
    <row r="202">
      <c r="A202" s="2">
        <f>IFERROR(__xludf.DUMMYFUNCTION("""COMPUTED_VALUE"""),40087.0)</f>
        <v>40087</v>
      </c>
      <c r="B202" s="1" t="str">
        <f>IFERROR(__xludf.DUMMYFUNCTION("""COMPUTED_VALUE"""),"4.786 €/m2")</f>
        <v>4.786 €/m2</v>
      </c>
      <c r="C202" s="1" t="str">
        <f>IFERROR(__xludf.DUMMYFUNCTION("""COMPUTED_VALUE"""),"+ 1,0 %")</f>
        <v>+ 1,0 %</v>
      </c>
      <c r="D202" s="1" t="str">
        <f>IFERROR(__xludf.DUMMYFUNCTION("""COMPUTED_VALUE"""),"+ 1,4 %")</f>
        <v>+ 1,4 %</v>
      </c>
      <c r="E202" s="1" t="str">
        <f>IFERROR(__xludf.DUMMYFUNCTION("""COMPUTED_VALUE"""),"- 2,2 %")</f>
        <v>- 2,2 %</v>
      </c>
    </row>
    <row r="203">
      <c r="A203" s="2">
        <f>IFERROR(__xludf.DUMMYFUNCTION("""COMPUTED_VALUE"""),40057.0)</f>
        <v>40057</v>
      </c>
      <c r="B203" s="1" t="str">
        <f>IFERROR(__xludf.DUMMYFUNCTION("""COMPUTED_VALUE"""),"4.738 €/m2")</f>
        <v>4.738 €/m2</v>
      </c>
      <c r="C203" s="1" t="str">
        <f>IFERROR(__xludf.DUMMYFUNCTION("""COMPUTED_VALUE"""),"+ 0,6 %")</f>
        <v>+ 0,6 %</v>
      </c>
      <c r="D203" s="1" t="str">
        <f>IFERROR(__xludf.DUMMYFUNCTION("""COMPUTED_VALUE"""),"- 3,0 %")</f>
        <v>- 3,0 %</v>
      </c>
      <c r="E203" s="1" t="str">
        <f>IFERROR(__xludf.DUMMYFUNCTION("""COMPUTED_VALUE"""),"- 1,4 %")</f>
        <v>- 1,4 %</v>
      </c>
    </row>
    <row r="204">
      <c r="A204" s="2">
        <f>IFERROR(__xludf.DUMMYFUNCTION("""COMPUTED_VALUE"""),40026.0)</f>
        <v>40026</v>
      </c>
      <c r="B204" s="1" t="str">
        <f>IFERROR(__xludf.DUMMYFUNCTION("""COMPUTED_VALUE"""),"4.708 €/m2")</f>
        <v>4.708 €/m2</v>
      </c>
      <c r="C204" s="1" t="str">
        <f>IFERROR(__xludf.DUMMYFUNCTION("""COMPUTED_VALUE"""),"- 0,2 %")</f>
        <v>- 0,2 %</v>
      </c>
      <c r="D204" s="1" t="str">
        <f>IFERROR(__xludf.DUMMYFUNCTION("""COMPUTED_VALUE"""),"- 4,3 %")</f>
        <v>- 4,3 %</v>
      </c>
      <c r="E204" s="1" t="str">
        <f>IFERROR(__xludf.DUMMYFUNCTION("""COMPUTED_VALUE"""),"- 4,1 %")</f>
        <v>- 4,1 %</v>
      </c>
    </row>
    <row r="205">
      <c r="A205" s="2">
        <f>IFERROR(__xludf.DUMMYFUNCTION("""COMPUTED_VALUE"""),39995.0)</f>
        <v>39995</v>
      </c>
      <c r="B205" s="1" t="str">
        <f>IFERROR(__xludf.DUMMYFUNCTION("""COMPUTED_VALUE"""),"4.718 €/m2")</f>
        <v>4.718 €/m2</v>
      </c>
      <c r="C205" s="1" t="str">
        <f>IFERROR(__xludf.DUMMYFUNCTION("""COMPUTED_VALUE"""),"- 3,4 %")</f>
        <v>- 3,4 %</v>
      </c>
      <c r="D205" s="1" t="str">
        <f>IFERROR(__xludf.DUMMYFUNCTION("""COMPUTED_VALUE"""),"- 6,0 %")</f>
        <v>- 6,0 %</v>
      </c>
      <c r="E205" s="1" t="str">
        <f>IFERROR(__xludf.DUMMYFUNCTION("""COMPUTED_VALUE"""),"- 2,6 %")</f>
        <v>- 2,6 %</v>
      </c>
    </row>
    <row r="206">
      <c r="A206" s="2">
        <f>IFERROR(__xludf.DUMMYFUNCTION("""COMPUTED_VALUE"""),39965.0)</f>
        <v>39965</v>
      </c>
      <c r="B206" s="1" t="str">
        <f>IFERROR(__xludf.DUMMYFUNCTION("""COMPUTED_VALUE"""),"4.884 €/m2")</f>
        <v>4.884 €/m2</v>
      </c>
      <c r="C206" s="1" t="str">
        <f>IFERROR(__xludf.DUMMYFUNCTION("""COMPUTED_VALUE"""),"- 0,7 %")</f>
        <v>- 0,7 %</v>
      </c>
      <c r="D206" s="1" t="str">
        <f>IFERROR(__xludf.DUMMYFUNCTION("""COMPUTED_VALUE"""),"- 2,2 %")</f>
        <v>- 2,2 %</v>
      </c>
      <c r="E206" s="1" t="str">
        <f>IFERROR(__xludf.DUMMYFUNCTION("""COMPUTED_VALUE"""),"+ 0,8 %")</f>
        <v>+ 0,8 %</v>
      </c>
    </row>
    <row r="207">
      <c r="A207" s="2">
        <f>IFERROR(__xludf.DUMMYFUNCTION("""COMPUTED_VALUE"""),39934.0)</f>
        <v>39934</v>
      </c>
      <c r="B207" s="1" t="str">
        <f>IFERROR(__xludf.DUMMYFUNCTION("""COMPUTED_VALUE"""),"4.918 €/m2")</f>
        <v>4.918 €/m2</v>
      </c>
      <c r="C207" s="1" t="str">
        <f>IFERROR(__xludf.DUMMYFUNCTION("""COMPUTED_VALUE"""),"- 2,0 %")</f>
        <v>- 2,0 %</v>
      </c>
      <c r="D207" s="1" t="str">
        <f>IFERROR(__xludf.DUMMYFUNCTION("""COMPUTED_VALUE"""),"+ 0,3 %")</f>
        <v>+ 0,3 %</v>
      </c>
      <c r="E207" s="1" t="str">
        <f>IFERROR(__xludf.DUMMYFUNCTION("""COMPUTED_VALUE"""),"+ 5,9 %")</f>
        <v>+ 5,9 %</v>
      </c>
    </row>
    <row r="208">
      <c r="A208" s="2">
        <f>IFERROR(__xludf.DUMMYFUNCTION("""COMPUTED_VALUE"""),39904.0)</f>
        <v>39904</v>
      </c>
      <c r="B208" s="1" t="str">
        <f>IFERROR(__xludf.DUMMYFUNCTION("""COMPUTED_VALUE"""),"5.018 €/m2")</f>
        <v>5.018 €/m2</v>
      </c>
      <c r="C208" s="1" t="str">
        <f>IFERROR(__xludf.DUMMYFUNCTION("""COMPUTED_VALUE"""),"+ 0,4 %")</f>
        <v>+ 0,4 %</v>
      </c>
      <c r="D208" s="1" t="str">
        <f>IFERROR(__xludf.DUMMYFUNCTION("""COMPUTED_VALUE"""),"+ 3,2 %")</f>
        <v>+ 3,2 %</v>
      </c>
      <c r="E208" s="1" t="str">
        <f>IFERROR(__xludf.DUMMYFUNCTION("""COMPUTED_VALUE"""),"+ 6,6 %")</f>
        <v>+ 6,6 %</v>
      </c>
    </row>
    <row r="209">
      <c r="A209" s="2">
        <f>IFERROR(__xludf.DUMMYFUNCTION("""COMPUTED_VALUE"""),39873.0)</f>
        <v>39873</v>
      </c>
      <c r="B209" s="1" t="str">
        <f>IFERROR(__xludf.DUMMYFUNCTION("""COMPUTED_VALUE"""),"4.996 €/m2")</f>
        <v>4.996 €/m2</v>
      </c>
      <c r="C209" s="1" t="str">
        <f>IFERROR(__xludf.DUMMYFUNCTION("""COMPUTED_VALUE"""),"+ 1,9 %")</f>
        <v>+ 1,9 %</v>
      </c>
      <c r="D209" s="1" t="str">
        <f>IFERROR(__xludf.DUMMYFUNCTION("""COMPUTED_VALUE"""),"+ 4,0 %")</f>
        <v>+ 4,0 %</v>
      </c>
      <c r="E209" s="1" t="str">
        <f>IFERROR(__xludf.DUMMYFUNCTION("""COMPUTED_VALUE"""),"+ 1,8 %")</f>
        <v>+ 1,8 %</v>
      </c>
    </row>
    <row r="210">
      <c r="A210" s="2">
        <f>IFERROR(__xludf.DUMMYFUNCTION("""COMPUTED_VALUE"""),39845.0)</f>
        <v>39845</v>
      </c>
      <c r="B210" s="1" t="str">
        <f>IFERROR(__xludf.DUMMYFUNCTION("""COMPUTED_VALUE"""),"4.903 €/m2")</f>
        <v>4.903 €/m2</v>
      </c>
      <c r="C210" s="1" t="str">
        <f>IFERROR(__xludf.DUMMYFUNCTION("""COMPUTED_VALUE"""),"+ 0,9 %")</f>
        <v>+ 0,9 %</v>
      </c>
      <c r="D210" s="1" t="str">
        <f>IFERROR(__xludf.DUMMYFUNCTION("""COMPUTED_VALUE"""),"+ 2,0 %")</f>
        <v>+ 2,0 %</v>
      </c>
      <c r="E210" s="1" t="str">
        <f>IFERROR(__xludf.DUMMYFUNCTION("""COMPUTED_VALUE"""),"+ 4,3 %")</f>
        <v>+ 4,3 %</v>
      </c>
    </row>
    <row r="211">
      <c r="A211" s="2">
        <f>IFERROR(__xludf.DUMMYFUNCTION("""COMPUTED_VALUE"""),39814.0)</f>
        <v>39814</v>
      </c>
      <c r="B211" s="1" t="str">
        <f>IFERROR(__xludf.DUMMYFUNCTION("""COMPUTED_VALUE"""),"4.861 €/m2")</f>
        <v>4.861 €/m2</v>
      </c>
      <c r="C211" s="1" t="str">
        <f>IFERROR(__xludf.DUMMYFUNCTION("""COMPUTED_VALUE"""),"+ 1,2 %")</f>
        <v>+ 1,2 %</v>
      </c>
      <c r="D211" s="1" t="str">
        <f>IFERROR(__xludf.DUMMYFUNCTION("""COMPUTED_VALUE"""),"- 0,7 %")</f>
        <v>- 0,7 %</v>
      </c>
      <c r="E211" s="1" t="str">
        <f>IFERROR(__xludf.DUMMYFUNCTION("""COMPUTED_VALUE"""),"+ 1,5 %")</f>
        <v>+ 1,5 %</v>
      </c>
    </row>
    <row r="212">
      <c r="A212" s="2">
        <f>IFERROR(__xludf.DUMMYFUNCTION("""COMPUTED_VALUE"""),39783.0)</f>
        <v>39783</v>
      </c>
      <c r="B212" s="1" t="str">
        <f>IFERROR(__xludf.DUMMYFUNCTION("""COMPUTED_VALUE"""),"4.803 €/m2")</f>
        <v>4.803 €/m2</v>
      </c>
      <c r="C212" s="1" t="str">
        <f>IFERROR(__xludf.DUMMYFUNCTION("""COMPUTED_VALUE"""),"0,0 %")</f>
        <v>0,0 %</v>
      </c>
      <c r="D212" s="1" t="str">
        <f>IFERROR(__xludf.DUMMYFUNCTION("""COMPUTED_VALUE"""),"- 0,1 %")</f>
        <v>- 0,1 %</v>
      </c>
      <c r="E212" s="1" t="str">
        <f>IFERROR(__xludf.DUMMYFUNCTION("""COMPUTED_VALUE"""),"+ 2,2 %")</f>
        <v>+ 2,2 %</v>
      </c>
    </row>
    <row r="213">
      <c r="A213" s="2">
        <f>IFERROR(__xludf.DUMMYFUNCTION("""COMPUTED_VALUE"""),39753.0)</f>
        <v>39753</v>
      </c>
      <c r="B213" s="1" t="str">
        <f>IFERROR(__xludf.DUMMYFUNCTION("""COMPUTED_VALUE"""),"4.806 €/m2")</f>
        <v>4.806 €/m2</v>
      </c>
      <c r="C213" s="1" t="str">
        <f>IFERROR(__xludf.DUMMYFUNCTION("""COMPUTED_VALUE"""),"- 1,8 %")</f>
        <v>- 1,8 %</v>
      </c>
      <c r="D213" s="1" t="str">
        <f>IFERROR(__xludf.DUMMYFUNCTION("""COMPUTED_VALUE"""),"- 2,1 %")</f>
        <v>- 2,1 %</v>
      </c>
      <c r="E213" s="1" t="str">
        <f>IFERROR(__xludf.DUMMYFUNCTION("""COMPUTED_VALUE"""),"- 2,1 %")</f>
        <v>- 2,1 %</v>
      </c>
    </row>
    <row r="214">
      <c r="A214" s="2">
        <f>IFERROR(__xludf.DUMMYFUNCTION("""COMPUTED_VALUE"""),39722.0)</f>
        <v>39722</v>
      </c>
      <c r="B214" s="1" t="str">
        <f>IFERROR(__xludf.DUMMYFUNCTION("""COMPUTED_VALUE"""),"4.894 €/m2")</f>
        <v>4.894 €/m2</v>
      </c>
      <c r="C214" s="1" t="str">
        <f>IFERROR(__xludf.DUMMYFUNCTION("""COMPUTED_VALUE"""),"+ 1,8 %")</f>
        <v>+ 1,8 %</v>
      </c>
      <c r="D214" s="1" t="str">
        <f>IFERROR(__xludf.DUMMYFUNCTION("""COMPUTED_VALUE"""),"+ 1,0 %")</f>
        <v>+ 1,0 %</v>
      </c>
      <c r="E214" s="1" t="str">
        <f>IFERROR(__xludf.DUMMYFUNCTION("""COMPUTED_VALUE"""),"n.d.")</f>
        <v>n.d.</v>
      </c>
    </row>
    <row r="215">
      <c r="A215" s="2">
        <f>IFERROR(__xludf.DUMMYFUNCTION("""COMPUTED_VALUE"""),39692.0)</f>
        <v>39692</v>
      </c>
      <c r="B215" s="1" t="str">
        <f>IFERROR(__xludf.DUMMYFUNCTION("""COMPUTED_VALUE"""),"4.806 €/m2")</f>
        <v>4.806 €/m2</v>
      </c>
      <c r="C215" s="1" t="str">
        <f>IFERROR(__xludf.DUMMYFUNCTION("""COMPUTED_VALUE"""),"- 2,1 %")</f>
        <v>- 2,1 %</v>
      </c>
      <c r="D215" s="1" t="str">
        <f>IFERROR(__xludf.DUMMYFUNCTION("""COMPUTED_VALUE"""),"- 0,8 %")</f>
        <v>- 0,8 %</v>
      </c>
      <c r="E215" s="1" t="str">
        <f>IFERROR(__xludf.DUMMYFUNCTION("""COMPUTED_VALUE"""),"n.d.")</f>
        <v>n.d.</v>
      </c>
    </row>
    <row r="216">
      <c r="A216" s="2">
        <f>IFERROR(__xludf.DUMMYFUNCTION("""COMPUTED_VALUE"""),39661.0)</f>
        <v>39661</v>
      </c>
      <c r="B216" s="1" t="str">
        <f>IFERROR(__xludf.DUMMYFUNCTION("""COMPUTED_VALUE"""),"4.910 €/m2")</f>
        <v>4.910 €/m2</v>
      </c>
      <c r="C216" s="1" t="str">
        <f>IFERROR(__xludf.DUMMYFUNCTION("""COMPUTED_VALUE"""),"+ 1,3 %")</f>
        <v>+ 1,3 %</v>
      </c>
      <c r="D216" s="1" t="str">
        <f>IFERROR(__xludf.DUMMYFUNCTION("""COMPUTED_VALUE"""),"+ 5,8 %")</f>
        <v>+ 5,8 %</v>
      </c>
      <c r="E216" s="1" t="str">
        <f>IFERROR(__xludf.DUMMYFUNCTION("""COMPUTED_VALUE"""),"n.d.")</f>
        <v>n.d.</v>
      </c>
    </row>
    <row r="217">
      <c r="A217" s="2">
        <f>IFERROR(__xludf.DUMMYFUNCTION("""COMPUTED_VALUE"""),39630.0)</f>
        <v>39630</v>
      </c>
      <c r="B217" s="1" t="str">
        <f>IFERROR(__xludf.DUMMYFUNCTION("""COMPUTED_VALUE"""),"4.845 €/m2")</f>
        <v>4.845 €/m2</v>
      </c>
      <c r="C217" s="1" t="str">
        <f>IFERROR(__xludf.DUMMYFUNCTION("""COMPUTED_VALUE"""),"n.d.")</f>
        <v>n.d.</v>
      </c>
      <c r="D217" s="1" t="str">
        <f>IFERROR(__xludf.DUMMYFUNCTION("""COMPUTED_VALUE"""),"+ 3,0 %")</f>
        <v>+ 3,0 %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IFERROR(__xludf.DUMMYFUNCTION("""COMPUTED_VALUE"""),"4.845 €/m2")</f>
        <v>4.845 €/m2</v>
      </c>
      <c r="C218" s="1" t="str">
        <f>IFERROR(__xludf.DUMMYFUNCTION("""COMPUTED_VALUE"""),"+ 4,4 %")</f>
        <v>+ 4,4 %</v>
      </c>
      <c r="D218" s="1" t="str">
        <f>IFERROR(__xludf.DUMMYFUNCTION("""COMPUTED_VALUE"""),"- 1,2 %")</f>
        <v>- 1,2 %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IFERROR(__xludf.DUMMYFUNCTION("""COMPUTED_VALUE"""),"4.643 €/m2")</f>
        <v>4.643 €/m2</v>
      </c>
      <c r="C219" s="1" t="str">
        <f>IFERROR(__xludf.DUMMYFUNCTION("""COMPUTED_VALUE"""),"- 1,3 %")</f>
        <v>- 1,3 %</v>
      </c>
      <c r="D219" s="1" t="str">
        <f>IFERROR(__xludf.DUMMYFUNCTION("""COMPUTED_VALUE"""),"- 1,2 %")</f>
        <v>- 1,2 %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IFERROR(__xludf.DUMMYFUNCTION("""COMPUTED_VALUE"""),"4.706 €/m2")</f>
        <v>4.706 €/m2</v>
      </c>
      <c r="C220" s="1" t="str">
        <f>IFERROR(__xludf.DUMMYFUNCTION("""COMPUTED_VALUE"""),"- 4,1 %")</f>
        <v>- 4,1 %</v>
      </c>
      <c r="D220" s="1" t="str">
        <f>IFERROR(__xludf.DUMMYFUNCTION("""COMPUTED_VALUE"""),"- 1,8 %")</f>
        <v>- 1,8 %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IFERROR(__xludf.DUMMYFUNCTION("""COMPUTED_VALUE"""),"4.906 €/m2")</f>
        <v>4.906 €/m2</v>
      </c>
      <c r="C221" s="1" t="str">
        <f>IFERROR(__xludf.DUMMYFUNCTION("""COMPUTED_VALUE"""),"+ 4,4 %")</f>
        <v>+ 4,4 %</v>
      </c>
      <c r="D221" s="1" t="str">
        <f>IFERROR(__xludf.DUMMYFUNCTION("""COMPUTED_VALUE"""),"+ 4,4 %")</f>
        <v>+ 4,4 %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IFERROR(__xludf.DUMMYFUNCTION("""COMPUTED_VALUE"""),"4.701 €/m2")</f>
        <v>4.701 €/m2</v>
      </c>
      <c r="C222" s="1" t="str">
        <f>IFERROR(__xludf.DUMMYFUNCTION("""COMPUTED_VALUE"""),"- 1,9 %")</f>
        <v>- 1,9 %</v>
      </c>
      <c r="D222" s="1" t="str">
        <f>IFERROR(__xludf.DUMMYFUNCTION("""COMPUTED_VALUE"""),"- 4,2 %")</f>
        <v>- 4,2 %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IFERROR(__xludf.DUMMYFUNCTION("""COMPUTED_VALUE"""),"4.792 €/m2")</f>
        <v>4.792 €/m2</v>
      </c>
      <c r="C223" s="1" t="str">
        <f>IFERROR(__xludf.DUMMYFUNCTION("""COMPUTED_VALUE"""),"+ 1,9 %")</f>
        <v>+ 1,9 %</v>
      </c>
      <c r="D223" s="1" t="str">
        <f>IFERROR(__xludf.DUMMYFUNCTION("""COMPUTED_VALUE"""),"n.d.")</f>
        <v>n.d.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IFERROR(__xludf.DUMMYFUNCTION("""COMPUTED_VALUE"""),"4.701 €/m2")</f>
        <v>4.701 €/m2</v>
      </c>
      <c r="C224" s="1" t="str">
        <f>IFERROR(__xludf.DUMMYFUNCTION("""COMPUTED_VALUE"""),"- 4,2 %")</f>
        <v>- 4,2 %</v>
      </c>
      <c r="D224" s="1" t="str">
        <f>IFERROR(__xludf.DUMMYFUNCTION("""COMPUTED_VALUE"""),"n.d.")</f>
        <v>n.d.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IFERROR(__xludf.DUMMYFUNCTION("""COMPUTED_VALUE"""),"4.906 €/m2")</f>
        <v>4.906 €/m2</v>
      </c>
      <c r="C225" s="1" t="str">
        <f>IFERROR(__xludf.DUMMYFUNCTION("""COMPUTED_VALUE"""),"n.d.")</f>
        <v>n.d.</v>
      </c>
      <c r="D225" s="1" t="str">
        <f>IFERROR(__xludf.DUMMYFUNCTION("""COMPUTED_VALUE"""),"n.d.")</f>
        <v>n.d.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IFERROR(__xludf.DUMMYFUNCTION("""COMPUTED_VALUE"""),"n.d.")</f>
        <v>n.d.</v>
      </c>
      <c r="C226" s="1" t="str">
        <f>IFERROR(__xludf.DUMMYFUNCTION("""COMPUTED_VALUE"""),"n.d.")</f>
        <v>n.d.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IFERROR(__xludf.DUMMYFUNCTION("""COMPUTED_VALUE"""),"n.d.")</f>
        <v>n.d.</v>
      </c>
      <c r="C227" s="1" t="str">
        <f>IFERROR(__xludf.DUMMYFUNCTION("""COMPUTED_VALUE"""),"n.d.")</f>
        <v>n.d.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IFERROR(__xludf.DUMMYFUNCTION("""COMPUTED_VALUE"""),"n.d.")</f>
        <v>n.d.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IFERROR(__xludf.DUMMYFUNCTION("IMPORTHTML(""https://www.idealista.com/sala-de-prensa/informes-precio-vivienda/venta/madrid-comunidad/madrid-provincia/madrid/san-blas/historico/"",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IFERROR(__xludf.DUMMYFUNCTION("""COMPUTED_VALUE"""),"4.030 €/m2")</f>
        <v>4.030 €/m2</v>
      </c>
      <c r="C2" s="1" t="str">
        <f>IFERROR(__xludf.DUMMYFUNCTION("""COMPUTED_VALUE"""),"- 0,3 %")</f>
        <v>- 0,3 %</v>
      </c>
      <c r="D2" s="1" t="str">
        <f>IFERROR(__xludf.DUMMYFUNCTION("""COMPUTED_VALUE"""),"+ 1,8 %")</f>
        <v>+ 1,8 %</v>
      </c>
      <c r="E2" s="1" t="str">
        <f>IFERROR(__xludf.DUMMYFUNCTION("""COMPUTED_VALUE"""),"+ 11,6 %")</f>
        <v>+ 11,6 %</v>
      </c>
    </row>
    <row r="3">
      <c r="A3" s="2">
        <f>IFERROR(__xludf.DUMMYFUNCTION("""COMPUTED_VALUE"""),46143.0)</f>
        <v>46143</v>
      </c>
      <c r="B3" s="1" t="str">
        <f>IFERROR(__xludf.DUMMYFUNCTION("""COMPUTED_VALUE"""),"4.041 €/m2")</f>
        <v>4.041 €/m2</v>
      </c>
      <c r="C3" s="1" t="str">
        <f>IFERROR(__xludf.DUMMYFUNCTION("""COMPUTED_VALUE"""),"- 0,2 %")</f>
        <v>- 0,2 %</v>
      </c>
      <c r="D3" s="1" t="str">
        <f>IFERROR(__xludf.DUMMYFUNCTION("""COMPUTED_VALUE"""),"+ 3,6 %")</f>
        <v>+ 3,6 %</v>
      </c>
      <c r="E3" s="1" t="str">
        <f>IFERROR(__xludf.DUMMYFUNCTION("""COMPUTED_VALUE"""),"+ 15,0 %")</f>
        <v>+ 15,0 %</v>
      </c>
    </row>
    <row r="4">
      <c r="A4" s="2">
        <f>IFERROR(__xludf.DUMMYFUNCTION("""COMPUTED_VALUE"""),46113.0)</f>
        <v>46113</v>
      </c>
      <c r="B4" s="1" t="str">
        <f>IFERROR(__xludf.DUMMYFUNCTION("""COMPUTED_VALUE"""),"4.051 €/m2")</f>
        <v>4.051 €/m2</v>
      </c>
      <c r="C4" s="1" t="str">
        <f>IFERROR(__xludf.DUMMYFUNCTION("""COMPUTED_VALUE"""),"+ 2,3 %")</f>
        <v>+ 2,3 %</v>
      </c>
      <c r="D4" s="1" t="str">
        <f>IFERROR(__xludf.DUMMYFUNCTION("""COMPUTED_VALUE"""),"+ 3,8 %")</f>
        <v>+ 3,8 %</v>
      </c>
      <c r="E4" s="1" t="str">
        <f>IFERROR(__xludf.DUMMYFUNCTION("""COMPUTED_VALUE"""),"+ 17,6 %")</f>
        <v>+ 17,6 %</v>
      </c>
    </row>
    <row r="5">
      <c r="A5" s="2">
        <f>IFERROR(__xludf.DUMMYFUNCTION("""COMPUTED_VALUE"""),46082.0)</f>
        <v>46082</v>
      </c>
      <c r="B5" s="1" t="str">
        <f>IFERROR(__xludf.DUMMYFUNCTION("""COMPUTED_VALUE"""),"3.959 €/m2")</f>
        <v>3.959 €/m2</v>
      </c>
      <c r="C5" s="1" t="str">
        <f>IFERROR(__xludf.DUMMYFUNCTION("""COMPUTED_VALUE"""),"+ 1,5 %")</f>
        <v>+ 1,5 %</v>
      </c>
      <c r="D5" s="1" t="str">
        <f>IFERROR(__xludf.DUMMYFUNCTION("""COMPUTED_VALUE"""),"+ 0,9 %")</f>
        <v>+ 0,9 %</v>
      </c>
      <c r="E5" s="1" t="str">
        <f>IFERROR(__xludf.DUMMYFUNCTION("""COMPUTED_VALUE"""),"+ 17,8 %")</f>
        <v>+ 17,8 %</v>
      </c>
    </row>
    <row r="6">
      <c r="A6" s="2">
        <f>IFERROR(__xludf.DUMMYFUNCTION("""COMPUTED_VALUE"""),46054.0)</f>
        <v>46054</v>
      </c>
      <c r="B6" s="1" t="str">
        <f>IFERROR(__xludf.DUMMYFUNCTION("""COMPUTED_VALUE"""),"3.900 €/m2")</f>
        <v>3.900 €/m2</v>
      </c>
      <c r="C6" s="1" t="str">
        <f>IFERROR(__xludf.DUMMYFUNCTION("""COMPUTED_VALUE"""),"- 0,1 %")</f>
        <v>- 0,1 %</v>
      </c>
      <c r="D6" s="1" t="str">
        <f>IFERROR(__xludf.DUMMYFUNCTION("""COMPUTED_VALUE"""),"- 0,5 %")</f>
        <v>- 0,5 %</v>
      </c>
      <c r="E6" s="1" t="str">
        <f>IFERROR(__xludf.DUMMYFUNCTION("""COMPUTED_VALUE"""),"+ 18,6 %")</f>
        <v>+ 18,6 %</v>
      </c>
    </row>
    <row r="7">
      <c r="A7" s="2">
        <f>IFERROR(__xludf.DUMMYFUNCTION("""COMPUTED_VALUE"""),46023.0)</f>
        <v>46023</v>
      </c>
      <c r="B7" s="1" t="str">
        <f>IFERROR(__xludf.DUMMYFUNCTION("""COMPUTED_VALUE"""),"3.905 €/m2")</f>
        <v>3.905 €/m2</v>
      </c>
      <c r="C7" s="1" t="str">
        <f>IFERROR(__xludf.DUMMYFUNCTION("""COMPUTED_VALUE"""),"- 0,5 %")</f>
        <v>- 0,5 %</v>
      </c>
      <c r="D7" s="1" t="str">
        <f>IFERROR(__xludf.DUMMYFUNCTION("""COMPUTED_VALUE"""),"+ 3,0 %")</f>
        <v>+ 3,0 %</v>
      </c>
      <c r="E7" s="1" t="str">
        <f>IFERROR(__xludf.DUMMYFUNCTION("""COMPUTED_VALUE"""),"+ 20,2 %")</f>
        <v>+ 20,2 %</v>
      </c>
    </row>
    <row r="8">
      <c r="A8" s="2">
        <f>IFERROR(__xludf.DUMMYFUNCTION("""COMPUTED_VALUE"""),45992.0)</f>
        <v>45992</v>
      </c>
      <c r="B8" s="1" t="str">
        <f>IFERROR(__xludf.DUMMYFUNCTION("""COMPUTED_VALUE"""),"3.925 €/m2")</f>
        <v>3.925 €/m2</v>
      </c>
      <c r="C8" s="1" t="str">
        <f>IFERROR(__xludf.DUMMYFUNCTION("""COMPUTED_VALUE"""),"+ 0,2 %")</f>
        <v>+ 0,2 %</v>
      </c>
      <c r="D8" s="1" t="str">
        <f>IFERROR(__xludf.DUMMYFUNCTION("""COMPUTED_VALUE"""),"+ 5,8 %")</f>
        <v>+ 5,8 %</v>
      </c>
      <c r="E8" s="1" t="str">
        <f>IFERROR(__xludf.DUMMYFUNCTION("""COMPUTED_VALUE"""),"+ 19,7 %")</f>
        <v>+ 19,7 %</v>
      </c>
    </row>
    <row r="9">
      <c r="A9" s="2">
        <f>IFERROR(__xludf.DUMMYFUNCTION("""COMPUTED_VALUE"""),45962.0)</f>
        <v>45962</v>
      </c>
      <c r="B9" s="1" t="str">
        <f>IFERROR(__xludf.DUMMYFUNCTION("""COMPUTED_VALUE"""),"3.918 €/m2")</f>
        <v>3.918 €/m2</v>
      </c>
      <c r="C9" s="1" t="str">
        <f>IFERROR(__xludf.DUMMYFUNCTION("""COMPUTED_VALUE"""),"+ 3,3 %")</f>
        <v>+ 3,3 %</v>
      </c>
      <c r="D9" s="1" t="str">
        <f>IFERROR(__xludf.DUMMYFUNCTION("""COMPUTED_VALUE"""),"+ 5,4 %")</f>
        <v>+ 5,4 %</v>
      </c>
      <c r="E9" s="1" t="str">
        <f>IFERROR(__xludf.DUMMYFUNCTION("""COMPUTED_VALUE"""),"+ 22,7 %")</f>
        <v>+ 22,7 %</v>
      </c>
    </row>
    <row r="10">
      <c r="A10" s="2">
        <f>IFERROR(__xludf.DUMMYFUNCTION("""COMPUTED_VALUE"""),45931.0)</f>
        <v>45931</v>
      </c>
      <c r="B10" s="1" t="str">
        <f>IFERROR(__xludf.DUMMYFUNCTION("""COMPUTED_VALUE"""),"3.792 €/m2")</f>
        <v>3.792 €/m2</v>
      </c>
      <c r="C10" s="1" t="str">
        <f>IFERROR(__xludf.DUMMYFUNCTION("""COMPUTED_VALUE"""),"+ 2,2 %")</f>
        <v>+ 2,2 %</v>
      </c>
      <c r="D10" s="1" t="str">
        <f>IFERROR(__xludf.DUMMYFUNCTION("""COMPUTED_VALUE"""),"+ 2,0 %")</f>
        <v>+ 2,0 %</v>
      </c>
      <c r="E10" s="1" t="str">
        <f>IFERROR(__xludf.DUMMYFUNCTION("""COMPUTED_VALUE"""),"+ 21,4 %")</f>
        <v>+ 21,4 %</v>
      </c>
    </row>
    <row r="11">
      <c r="A11" s="2">
        <f>IFERROR(__xludf.DUMMYFUNCTION("""COMPUTED_VALUE"""),45901.0)</f>
        <v>45901</v>
      </c>
      <c r="B11" s="1" t="str">
        <f>IFERROR(__xludf.DUMMYFUNCTION("""COMPUTED_VALUE"""),"3.709 €/m2")</f>
        <v>3.709 €/m2</v>
      </c>
      <c r="C11" s="1" t="str">
        <f>IFERROR(__xludf.DUMMYFUNCTION("""COMPUTED_VALUE"""),"- 0,3 %")</f>
        <v>- 0,3 %</v>
      </c>
      <c r="D11" s="1" t="str">
        <f>IFERROR(__xludf.DUMMYFUNCTION("""COMPUTED_VALUE"""),"+ 2,7 %")</f>
        <v>+ 2,7 %</v>
      </c>
      <c r="E11" s="1" t="str">
        <f>IFERROR(__xludf.DUMMYFUNCTION("""COMPUTED_VALUE"""),"+ 22,6 %")</f>
        <v>+ 22,6 %</v>
      </c>
    </row>
    <row r="12">
      <c r="A12" s="2">
        <f>IFERROR(__xludf.DUMMYFUNCTION("""COMPUTED_VALUE"""),45870.0)</f>
        <v>45870</v>
      </c>
      <c r="B12" s="1" t="str">
        <f>IFERROR(__xludf.DUMMYFUNCTION("""COMPUTED_VALUE"""),"3.719 €/m2")</f>
        <v>3.719 €/m2</v>
      </c>
      <c r="C12" s="1" t="str">
        <f>IFERROR(__xludf.DUMMYFUNCTION("""COMPUTED_VALUE"""),"+ 0,1 %")</f>
        <v>+ 0,1 %</v>
      </c>
      <c r="D12" s="1" t="str">
        <f>IFERROR(__xludf.DUMMYFUNCTION("""COMPUTED_VALUE"""),"+ 5,9 %")</f>
        <v>+ 5,9 %</v>
      </c>
      <c r="E12" s="1" t="str">
        <f>IFERROR(__xludf.DUMMYFUNCTION("""COMPUTED_VALUE"""),"+ 20,9 %")</f>
        <v>+ 20,9 %</v>
      </c>
    </row>
    <row r="13">
      <c r="A13" s="2">
        <f>IFERROR(__xludf.DUMMYFUNCTION("""COMPUTED_VALUE"""),45839.0)</f>
        <v>45839</v>
      </c>
      <c r="B13" s="1" t="str">
        <f>IFERROR(__xludf.DUMMYFUNCTION("""COMPUTED_VALUE"""),"3.717 €/m2")</f>
        <v>3.717 €/m2</v>
      </c>
      <c r="C13" s="1" t="str">
        <f>IFERROR(__xludf.DUMMYFUNCTION("""COMPUTED_VALUE"""),"+ 2,9 %")</f>
        <v>+ 2,9 %</v>
      </c>
      <c r="D13" s="1" t="str">
        <f>IFERROR(__xludf.DUMMYFUNCTION("""COMPUTED_VALUE"""),"+ 7,9 %")</f>
        <v>+ 7,9 %</v>
      </c>
      <c r="E13" s="1" t="str">
        <f>IFERROR(__xludf.DUMMYFUNCTION("""COMPUTED_VALUE"""),"+ 22,8 %")</f>
        <v>+ 22,8 %</v>
      </c>
    </row>
    <row r="14">
      <c r="A14" s="2">
        <f>IFERROR(__xludf.DUMMYFUNCTION("""COMPUTED_VALUE"""),45809.0)</f>
        <v>45809</v>
      </c>
      <c r="B14" s="1" t="str">
        <f>IFERROR(__xludf.DUMMYFUNCTION("""COMPUTED_VALUE"""),"3.611 €/m2")</f>
        <v>3.611 €/m2</v>
      </c>
      <c r="C14" s="1" t="str">
        <f>IFERROR(__xludf.DUMMYFUNCTION("""COMPUTED_VALUE"""),"+ 2,8 %")</f>
        <v>+ 2,8 %</v>
      </c>
      <c r="D14" s="1" t="str">
        <f>IFERROR(__xludf.DUMMYFUNCTION("""COMPUTED_VALUE"""),"+ 7,4 %")</f>
        <v>+ 7,4 %</v>
      </c>
      <c r="E14" s="1" t="str">
        <f>IFERROR(__xludf.DUMMYFUNCTION("""COMPUTED_VALUE"""),"+ 20,5 %")</f>
        <v>+ 20,5 %</v>
      </c>
    </row>
    <row r="15">
      <c r="A15" s="2">
        <f>IFERROR(__xludf.DUMMYFUNCTION("""COMPUTED_VALUE"""),45778.0)</f>
        <v>45778</v>
      </c>
      <c r="B15" s="1" t="str">
        <f>IFERROR(__xludf.DUMMYFUNCTION("""COMPUTED_VALUE"""),"3.513 €/m2")</f>
        <v>3.513 €/m2</v>
      </c>
      <c r="C15" s="1" t="str">
        <f>IFERROR(__xludf.DUMMYFUNCTION("""COMPUTED_VALUE"""),"+ 2,0 %")</f>
        <v>+ 2,0 %</v>
      </c>
      <c r="D15" s="1" t="str">
        <f>IFERROR(__xludf.DUMMYFUNCTION("""COMPUTED_VALUE"""),"+ 6,9 %")</f>
        <v>+ 6,9 %</v>
      </c>
      <c r="E15" s="1" t="str">
        <f>IFERROR(__xludf.DUMMYFUNCTION("""COMPUTED_VALUE"""),"+ 19,2 %")</f>
        <v>+ 19,2 %</v>
      </c>
    </row>
    <row r="16">
      <c r="A16" s="2">
        <f>IFERROR(__xludf.DUMMYFUNCTION("""COMPUTED_VALUE"""),45748.0)</f>
        <v>45748</v>
      </c>
      <c r="B16" s="1" t="str">
        <f>IFERROR(__xludf.DUMMYFUNCTION("""COMPUTED_VALUE"""),"3.445 €/m2")</f>
        <v>3.445 €/m2</v>
      </c>
      <c r="C16" s="1" t="str">
        <f>IFERROR(__xludf.DUMMYFUNCTION("""COMPUTED_VALUE"""),"+ 2,5 %")</f>
        <v>+ 2,5 %</v>
      </c>
      <c r="D16" s="1" t="str">
        <f>IFERROR(__xludf.DUMMYFUNCTION("""COMPUTED_VALUE"""),"+ 6,1 %")</f>
        <v>+ 6,1 %</v>
      </c>
      <c r="E16" s="1" t="str">
        <f>IFERROR(__xludf.DUMMYFUNCTION("""COMPUTED_VALUE"""),"+ 17,4 %")</f>
        <v>+ 17,4 %</v>
      </c>
    </row>
    <row r="17">
      <c r="A17" s="2">
        <f>IFERROR(__xludf.DUMMYFUNCTION("""COMPUTED_VALUE"""),45717.0)</f>
        <v>45717</v>
      </c>
      <c r="B17" s="1" t="str">
        <f>IFERROR(__xludf.DUMMYFUNCTION("""COMPUTED_VALUE"""),"3.362 €/m2")</f>
        <v>3.362 €/m2</v>
      </c>
      <c r="C17" s="1" t="str">
        <f>IFERROR(__xludf.DUMMYFUNCTION("""COMPUTED_VALUE"""),"+ 2,3 %")</f>
        <v>+ 2,3 %</v>
      </c>
      <c r="D17" s="1" t="str">
        <f>IFERROR(__xludf.DUMMYFUNCTION("""COMPUTED_VALUE"""),"+ 2,5 %")</f>
        <v>+ 2,5 %</v>
      </c>
      <c r="E17" s="1" t="str">
        <f>IFERROR(__xludf.DUMMYFUNCTION("""COMPUTED_VALUE"""),"+ 17,4 %")</f>
        <v>+ 17,4 %</v>
      </c>
    </row>
    <row r="18">
      <c r="A18" s="2">
        <f>IFERROR(__xludf.DUMMYFUNCTION("""COMPUTED_VALUE"""),45689.0)</f>
        <v>45689</v>
      </c>
      <c r="B18" s="1" t="str">
        <f>IFERROR(__xludf.DUMMYFUNCTION("""COMPUTED_VALUE"""),"3.288 €/m2")</f>
        <v>3.288 €/m2</v>
      </c>
      <c r="C18" s="1" t="str">
        <f>IFERROR(__xludf.DUMMYFUNCTION("""COMPUTED_VALUE"""),"+ 1,3 %")</f>
        <v>+ 1,3 %</v>
      </c>
      <c r="D18" s="1" t="str">
        <f>IFERROR(__xludf.DUMMYFUNCTION("""COMPUTED_VALUE"""),"+ 3,0 %")</f>
        <v>+ 3,0 %</v>
      </c>
      <c r="E18" s="1" t="str">
        <f>IFERROR(__xludf.DUMMYFUNCTION("""COMPUTED_VALUE"""),"+ 15,0 %")</f>
        <v>+ 15,0 %</v>
      </c>
    </row>
    <row r="19">
      <c r="A19" s="2">
        <f>IFERROR(__xludf.DUMMYFUNCTION("""COMPUTED_VALUE"""),45658.0)</f>
        <v>45658</v>
      </c>
      <c r="B19" s="1" t="str">
        <f>IFERROR(__xludf.DUMMYFUNCTION("""COMPUTED_VALUE"""),"3.247 €/m2")</f>
        <v>3.247 €/m2</v>
      </c>
      <c r="C19" s="1" t="str">
        <f>IFERROR(__xludf.DUMMYFUNCTION("""COMPUTED_VALUE"""),"- 1,0 %")</f>
        <v>- 1,0 %</v>
      </c>
      <c r="D19" s="1" t="str">
        <f>IFERROR(__xludf.DUMMYFUNCTION("""COMPUTED_VALUE"""),"+ 4,0 %")</f>
        <v>+ 4,0 %</v>
      </c>
      <c r="E19" s="1" t="str">
        <f>IFERROR(__xludf.DUMMYFUNCTION("""COMPUTED_VALUE"""),"+ 12,4 %")</f>
        <v>+ 12,4 %</v>
      </c>
    </row>
    <row r="20">
      <c r="A20" s="2">
        <f>IFERROR(__xludf.DUMMYFUNCTION("""COMPUTED_VALUE"""),45627.0)</f>
        <v>45627</v>
      </c>
      <c r="B20" s="1" t="str">
        <f>IFERROR(__xludf.DUMMYFUNCTION("""COMPUTED_VALUE"""),"3.280 €/m2")</f>
        <v>3.280 €/m2</v>
      </c>
      <c r="C20" s="1" t="str">
        <f>IFERROR(__xludf.DUMMYFUNCTION("""COMPUTED_VALUE"""),"+ 2,7 %")</f>
        <v>+ 2,7 %</v>
      </c>
      <c r="D20" s="1" t="str">
        <f>IFERROR(__xludf.DUMMYFUNCTION("""COMPUTED_VALUE"""),"+ 8,4 %")</f>
        <v>+ 8,4 %</v>
      </c>
      <c r="E20" s="1" t="str">
        <f>IFERROR(__xludf.DUMMYFUNCTION("""COMPUTED_VALUE"""),"+ 15,0 %")</f>
        <v>+ 15,0 %</v>
      </c>
    </row>
    <row r="21">
      <c r="A21" s="2">
        <f>IFERROR(__xludf.DUMMYFUNCTION("""COMPUTED_VALUE"""),45597.0)</f>
        <v>45597</v>
      </c>
      <c r="B21" s="1" t="str">
        <f>IFERROR(__xludf.DUMMYFUNCTION("""COMPUTED_VALUE"""),"3.194 €/m2")</f>
        <v>3.194 €/m2</v>
      </c>
      <c r="C21" s="1" t="str">
        <f>IFERROR(__xludf.DUMMYFUNCTION("""COMPUTED_VALUE"""),"+ 2,3 %")</f>
        <v>+ 2,3 %</v>
      </c>
      <c r="D21" s="1" t="str">
        <f>IFERROR(__xludf.DUMMYFUNCTION("""COMPUTED_VALUE"""),"+ 3,8 %")</f>
        <v>+ 3,8 %</v>
      </c>
      <c r="E21" s="1" t="str">
        <f>IFERROR(__xludf.DUMMYFUNCTION("""COMPUTED_VALUE"""),"+ 13,9 %")</f>
        <v>+ 13,9 %</v>
      </c>
    </row>
    <row r="22">
      <c r="A22" s="2">
        <f>IFERROR(__xludf.DUMMYFUNCTION("""COMPUTED_VALUE"""),45566.0)</f>
        <v>45566</v>
      </c>
      <c r="B22" s="1" t="str">
        <f>IFERROR(__xludf.DUMMYFUNCTION("""COMPUTED_VALUE"""),"3.123 €/m2")</f>
        <v>3.123 €/m2</v>
      </c>
      <c r="C22" s="1" t="str">
        <f>IFERROR(__xludf.DUMMYFUNCTION("""COMPUTED_VALUE"""),"+ 3,2 %")</f>
        <v>+ 3,2 %</v>
      </c>
      <c r="D22" s="1" t="str">
        <f>IFERROR(__xludf.DUMMYFUNCTION("""COMPUTED_VALUE"""),"+ 3,2 %")</f>
        <v>+ 3,2 %</v>
      </c>
      <c r="E22" s="1" t="str">
        <f>IFERROR(__xludf.DUMMYFUNCTION("""COMPUTED_VALUE"""),"+ 11,9 %")</f>
        <v>+ 11,9 %</v>
      </c>
    </row>
    <row r="23">
      <c r="A23" s="2">
        <f>IFERROR(__xludf.DUMMYFUNCTION("""COMPUTED_VALUE"""),45536.0)</f>
        <v>45536</v>
      </c>
      <c r="B23" s="1" t="str">
        <f>IFERROR(__xludf.DUMMYFUNCTION("""COMPUTED_VALUE"""),"3.025 €/m2")</f>
        <v>3.025 €/m2</v>
      </c>
      <c r="C23" s="1" t="str">
        <f>IFERROR(__xludf.DUMMYFUNCTION("""COMPUTED_VALUE"""),"- 1,6 %")</f>
        <v>- 1,6 %</v>
      </c>
      <c r="D23" s="1" t="str">
        <f>IFERROR(__xludf.DUMMYFUNCTION("""COMPUTED_VALUE"""),"+ 1,0 %")</f>
        <v>+ 1,0 %</v>
      </c>
      <c r="E23" s="1" t="str">
        <f>IFERROR(__xludf.DUMMYFUNCTION("""COMPUTED_VALUE"""),"+ 7,9 %")</f>
        <v>+ 7,9 %</v>
      </c>
    </row>
    <row r="24">
      <c r="A24" s="2">
        <f>IFERROR(__xludf.DUMMYFUNCTION("""COMPUTED_VALUE"""),45505.0)</f>
        <v>45505</v>
      </c>
      <c r="B24" s="1" t="str">
        <f>IFERROR(__xludf.DUMMYFUNCTION("""COMPUTED_VALUE"""),"3.076 €/m2")</f>
        <v>3.076 €/m2</v>
      </c>
      <c r="C24" s="1" t="str">
        <f>IFERROR(__xludf.DUMMYFUNCTION("""COMPUTED_VALUE"""),"+ 1,6 %")</f>
        <v>+ 1,6 %</v>
      </c>
      <c r="D24" s="1" t="str">
        <f>IFERROR(__xludf.DUMMYFUNCTION("""COMPUTED_VALUE"""),"+ 4,4 %")</f>
        <v>+ 4,4 %</v>
      </c>
      <c r="E24" s="1" t="str">
        <f>IFERROR(__xludf.DUMMYFUNCTION("""COMPUTED_VALUE"""),"+ 10,3 %")</f>
        <v>+ 10,3 %</v>
      </c>
    </row>
    <row r="25">
      <c r="A25" s="2">
        <f>IFERROR(__xludf.DUMMYFUNCTION("""COMPUTED_VALUE"""),45474.0)</f>
        <v>45474</v>
      </c>
      <c r="B25" s="1" t="str">
        <f>IFERROR(__xludf.DUMMYFUNCTION("""COMPUTED_VALUE"""),"3.027 €/m2")</f>
        <v>3.027 €/m2</v>
      </c>
      <c r="C25" s="1" t="str">
        <f>IFERROR(__xludf.DUMMYFUNCTION("""COMPUTED_VALUE"""),"+ 1,1 %")</f>
        <v>+ 1,1 %</v>
      </c>
      <c r="D25" s="1" t="str">
        <f>IFERROR(__xludf.DUMMYFUNCTION("""COMPUTED_VALUE"""),"+ 3,1 %")</f>
        <v>+ 3,1 %</v>
      </c>
      <c r="E25" s="1" t="str">
        <f>IFERROR(__xludf.DUMMYFUNCTION("""COMPUTED_VALUE"""),"+ 8,6 %")</f>
        <v>+ 8,6 %</v>
      </c>
    </row>
    <row r="26">
      <c r="A26" s="2">
        <f>IFERROR(__xludf.DUMMYFUNCTION("""COMPUTED_VALUE"""),45444.0)</f>
        <v>45444</v>
      </c>
      <c r="B26" s="1" t="str">
        <f>IFERROR(__xludf.DUMMYFUNCTION("""COMPUTED_VALUE"""),"2.996 €/m2")</f>
        <v>2.996 €/m2</v>
      </c>
      <c r="C26" s="1" t="str">
        <f>IFERROR(__xludf.DUMMYFUNCTION("""COMPUTED_VALUE"""),"+ 1,7 %")</f>
        <v>+ 1,7 %</v>
      </c>
      <c r="D26" s="1" t="str">
        <f>IFERROR(__xludf.DUMMYFUNCTION("""COMPUTED_VALUE"""),"+ 4,6 %")</f>
        <v>+ 4,6 %</v>
      </c>
      <c r="E26" s="1" t="str">
        <f>IFERROR(__xludf.DUMMYFUNCTION("""COMPUTED_VALUE"""),"+ 7,8 %")</f>
        <v>+ 7,8 %</v>
      </c>
    </row>
    <row r="27">
      <c r="A27" s="2">
        <f>IFERROR(__xludf.DUMMYFUNCTION("""COMPUTED_VALUE"""),45413.0)</f>
        <v>45413</v>
      </c>
      <c r="B27" s="1" t="str">
        <f>IFERROR(__xludf.DUMMYFUNCTION("""COMPUTED_VALUE"""),"2.947 €/m2")</f>
        <v>2.947 €/m2</v>
      </c>
      <c r="C27" s="1" t="str">
        <f>IFERROR(__xludf.DUMMYFUNCTION("""COMPUTED_VALUE"""),"+ 0,4 %")</f>
        <v>+ 0,4 %</v>
      </c>
      <c r="D27" s="1" t="str">
        <f>IFERROR(__xludf.DUMMYFUNCTION("""COMPUTED_VALUE"""),"+ 3,1 %")</f>
        <v>+ 3,1 %</v>
      </c>
      <c r="E27" s="1" t="str">
        <f>IFERROR(__xludf.DUMMYFUNCTION("""COMPUTED_VALUE"""),"+ 6,8 %")</f>
        <v>+ 6,8 %</v>
      </c>
    </row>
    <row r="28">
      <c r="A28" s="2">
        <f>IFERROR(__xludf.DUMMYFUNCTION("""COMPUTED_VALUE"""),45383.0)</f>
        <v>45383</v>
      </c>
      <c r="B28" s="1" t="str">
        <f>IFERROR(__xludf.DUMMYFUNCTION("""COMPUTED_VALUE"""),"2.935 €/m2")</f>
        <v>2.935 €/m2</v>
      </c>
      <c r="C28" s="1" t="str">
        <f>IFERROR(__xludf.DUMMYFUNCTION("""COMPUTED_VALUE"""),"+ 2,5 %")</f>
        <v>+ 2,5 %</v>
      </c>
      <c r="D28" s="1" t="str">
        <f>IFERROR(__xludf.DUMMYFUNCTION("""COMPUTED_VALUE"""),"+ 1,7 %")</f>
        <v>+ 1,7 %</v>
      </c>
      <c r="E28" s="1" t="str">
        <f>IFERROR(__xludf.DUMMYFUNCTION("""COMPUTED_VALUE"""),"+ 5,1 %")</f>
        <v>+ 5,1 %</v>
      </c>
    </row>
    <row r="29">
      <c r="A29" s="2">
        <f>IFERROR(__xludf.DUMMYFUNCTION("""COMPUTED_VALUE"""),45352.0)</f>
        <v>45352</v>
      </c>
      <c r="B29" s="1" t="str">
        <f>IFERROR(__xludf.DUMMYFUNCTION("""COMPUTED_VALUE"""),"2.863 €/m2")</f>
        <v>2.863 €/m2</v>
      </c>
      <c r="C29" s="1" t="str">
        <f>IFERROR(__xludf.DUMMYFUNCTION("""COMPUTED_VALUE"""),"+ 0,2 %")</f>
        <v>+ 0,2 %</v>
      </c>
      <c r="D29" s="1" t="str">
        <f>IFERROR(__xludf.DUMMYFUNCTION("""COMPUTED_VALUE"""),"+ 0,4 %")</f>
        <v>+ 0,4 %</v>
      </c>
      <c r="E29" s="1" t="str">
        <f>IFERROR(__xludf.DUMMYFUNCTION("""COMPUTED_VALUE"""),"+ 3,2 %")</f>
        <v>+ 3,2 %</v>
      </c>
    </row>
    <row r="30">
      <c r="A30" s="2">
        <f>IFERROR(__xludf.DUMMYFUNCTION("""COMPUTED_VALUE"""),45323.0)</f>
        <v>45323</v>
      </c>
      <c r="B30" s="1" t="str">
        <f>IFERROR(__xludf.DUMMYFUNCTION("""COMPUTED_VALUE"""),"2.858 €/m2")</f>
        <v>2.858 €/m2</v>
      </c>
      <c r="C30" s="1" t="str">
        <f>IFERROR(__xludf.DUMMYFUNCTION("""COMPUTED_VALUE"""),"- 1,0 %")</f>
        <v>- 1,0 %</v>
      </c>
      <c r="D30" s="1" t="str">
        <f>IFERROR(__xludf.DUMMYFUNCTION("""COMPUTED_VALUE"""),"+ 1,9 %")</f>
        <v>+ 1,9 %</v>
      </c>
      <c r="E30" s="1" t="str">
        <f>IFERROR(__xludf.DUMMYFUNCTION("""COMPUTED_VALUE"""),"+ 2,9 %")</f>
        <v>+ 2,9 %</v>
      </c>
    </row>
    <row r="31">
      <c r="A31" s="2">
        <f>IFERROR(__xludf.DUMMYFUNCTION("""COMPUTED_VALUE"""),45292.0)</f>
        <v>45292</v>
      </c>
      <c r="B31" s="1" t="str">
        <f>IFERROR(__xludf.DUMMYFUNCTION("""COMPUTED_VALUE"""),"2.888 €/m2")</f>
        <v>2.888 €/m2</v>
      </c>
      <c r="C31" s="1" t="str">
        <f>IFERROR(__xludf.DUMMYFUNCTION("""COMPUTED_VALUE"""),"+ 1,3 %")</f>
        <v>+ 1,3 %</v>
      </c>
      <c r="D31" s="1" t="str">
        <f>IFERROR(__xludf.DUMMYFUNCTION("""COMPUTED_VALUE"""),"+ 3,4 %")</f>
        <v>+ 3,4 %</v>
      </c>
      <c r="E31" s="1" t="str">
        <f>IFERROR(__xludf.DUMMYFUNCTION("""COMPUTED_VALUE"""),"+ 4,0 %")</f>
        <v>+ 4,0 %</v>
      </c>
    </row>
    <row r="32">
      <c r="A32" s="2">
        <f>IFERROR(__xludf.DUMMYFUNCTION("""COMPUTED_VALUE"""),45261.0)</f>
        <v>45261</v>
      </c>
      <c r="B32" s="1" t="str">
        <f>IFERROR(__xludf.DUMMYFUNCTION("""COMPUTED_VALUE"""),"2.852 €/m2")</f>
        <v>2.852 €/m2</v>
      </c>
      <c r="C32" s="1" t="str">
        <f>IFERROR(__xludf.DUMMYFUNCTION("""COMPUTED_VALUE"""),"+ 1,7 %")</f>
        <v>+ 1,7 %</v>
      </c>
      <c r="D32" s="1" t="str">
        <f>IFERROR(__xludf.DUMMYFUNCTION("""COMPUTED_VALUE"""),"+ 1,7 %")</f>
        <v>+ 1,7 %</v>
      </c>
      <c r="E32" s="1" t="str">
        <f>IFERROR(__xludf.DUMMYFUNCTION("""COMPUTED_VALUE"""),"+ 2,5 %")</f>
        <v>+ 2,5 %</v>
      </c>
    </row>
    <row r="33">
      <c r="A33" s="2">
        <f>IFERROR(__xludf.DUMMYFUNCTION("""COMPUTED_VALUE"""),45231.0)</f>
        <v>45231</v>
      </c>
      <c r="B33" s="1" t="str">
        <f>IFERROR(__xludf.DUMMYFUNCTION("""COMPUTED_VALUE"""),"2.805 €/m2")</f>
        <v>2.805 €/m2</v>
      </c>
      <c r="C33" s="1" t="str">
        <f>IFERROR(__xludf.DUMMYFUNCTION("""COMPUTED_VALUE"""),"+ 0,4 %")</f>
        <v>+ 0,4 %</v>
      </c>
      <c r="D33" s="1" t="str">
        <f>IFERROR(__xludf.DUMMYFUNCTION("""COMPUTED_VALUE"""),"+ 0,6 %")</f>
        <v>+ 0,6 %</v>
      </c>
      <c r="E33" s="1" t="str">
        <f>IFERROR(__xludf.DUMMYFUNCTION("""COMPUTED_VALUE"""),"+ 0,4 %")</f>
        <v>+ 0,4 %</v>
      </c>
    </row>
    <row r="34">
      <c r="A34" s="2">
        <f>IFERROR(__xludf.DUMMYFUNCTION("""COMPUTED_VALUE"""),45200.0)</f>
        <v>45200</v>
      </c>
      <c r="B34" s="1" t="str">
        <f>IFERROR(__xludf.DUMMYFUNCTION("""COMPUTED_VALUE"""),"2.792 €/m2")</f>
        <v>2.792 €/m2</v>
      </c>
      <c r="C34" s="1" t="str">
        <f>IFERROR(__xludf.DUMMYFUNCTION("""COMPUTED_VALUE"""),"- 0,4 %")</f>
        <v>- 0,4 %</v>
      </c>
      <c r="D34" s="1" t="str">
        <f>IFERROR(__xludf.DUMMYFUNCTION("""COMPUTED_VALUE"""),"+ 0,2 %")</f>
        <v>+ 0,2 %</v>
      </c>
      <c r="E34" s="1" t="str">
        <f>IFERROR(__xludf.DUMMYFUNCTION("""COMPUTED_VALUE"""),"+ 0,1 %")</f>
        <v>+ 0,1 %</v>
      </c>
    </row>
    <row r="35">
      <c r="A35" s="2">
        <f>IFERROR(__xludf.DUMMYFUNCTION("""COMPUTED_VALUE"""),45170.0)</f>
        <v>45170</v>
      </c>
      <c r="B35" s="1" t="str">
        <f>IFERROR(__xludf.DUMMYFUNCTION("""COMPUTED_VALUE"""),"2.804 €/m2")</f>
        <v>2.804 €/m2</v>
      </c>
      <c r="C35" s="1" t="str">
        <f>IFERROR(__xludf.DUMMYFUNCTION("""COMPUTED_VALUE"""),"+ 0,6 %")</f>
        <v>+ 0,6 %</v>
      </c>
      <c r="D35" s="1" t="str">
        <f>IFERROR(__xludf.DUMMYFUNCTION("""COMPUTED_VALUE"""),"+ 0,9 %")</f>
        <v>+ 0,9 %</v>
      </c>
      <c r="E35" s="1" t="str">
        <f>IFERROR(__xludf.DUMMYFUNCTION("""COMPUTED_VALUE"""),"+ 0,9 %")</f>
        <v>+ 0,9 %</v>
      </c>
    </row>
    <row r="36">
      <c r="A36" s="2">
        <f>IFERROR(__xludf.DUMMYFUNCTION("""COMPUTED_VALUE"""),45139.0)</f>
        <v>45139</v>
      </c>
      <c r="B36" s="1" t="str">
        <f>IFERROR(__xludf.DUMMYFUNCTION("""COMPUTED_VALUE"""),"2.788 €/m2")</f>
        <v>2.788 €/m2</v>
      </c>
      <c r="C36" s="1" t="str">
        <f>IFERROR(__xludf.DUMMYFUNCTION("""COMPUTED_VALUE"""),"+ 0,1 %")</f>
        <v>+ 0,1 %</v>
      </c>
      <c r="D36" s="1" t="str">
        <f>IFERROR(__xludf.DUMMYFUNCTION("""COMPUTED_VALUE"""),"+ 1,1 %")</f>
        <v>+ 1,1 %</v>
      </c>
      <c r="E36" s="1" t="str">
        <f>IFERROR(__xludf.DUMMYFUNCTION("""COMPUTED_VALUE"""),"+ 2,7 %")</f>
        <v>+ 2,7 %</v>
      </c>
    </row>
    <row r="37">
      <c r="A37" s="2">
        <f>IFERROR(__xludf.DUMMYFUNCTION("""COMPUTED_VALUE"""),45108.0)</f>
        <v>45108</v>
      </c>
      <c r="B37" s="1" t="str">
        <f>IFERROR(__xludf.DUMMYFUNCTION("""COMPUTED_VALUE"""),"2.787 €/m2")</f>
        <v>2.787 €/m2</v>
      </c>
      <c r="C37" s="1" t="str">
        <f>IFERROR(__xludf.DUMMYFUNCTION("""COMPUTED_VALUE"""),"+ 0,3 %")</f>
        <v>+ 0,3 %</v>
      </c>
      <c r="D37" s="1" t="str">
        <f>IFERROR(__xludf.DUMMYFUNCTION("""COMPUTED_VALUE"""),"- 0,2 %")</f>
        <v>- 0,2 %</v>
      </c>
      <c r="E37" s="1" t="str">
        <f>IFERROR(__xludf.DUMMYFUNCTION("""COMPUTED_VALUE"""),"+ 4,3 %")</f>
        <v>+ 4,3 %</v>
      </c>
    </row>
    <row r="38">
      <c r="A38" s="2">
        <f>IFERROR(__xludf.DUMMYFUNCTION("""COMPUTED_VALUE"""),45078.0)</f>
        <v>45078</v>
      </c>
      <c r="B38" s="1" t="str">
        <f>IFERROR(__xludf.DUMMYFUNCTION("""COMPUTED_VALUE"""),"2.778 €/m2")</f>
        <v>2.778 €/m2</v>
      </c>
      <c r="C38" s="1" t="str">
        <f>IFERROR(__xludf.DUMMYFUNCTION("""COMPUTED_VALUE"""),"+ 0,7 %")</f>
        <v>+ 0,7 %</v>
      </c>
      <c r="D38" s="1" t="str">
        <f>IFERROR(__xludf.DUMMYFUNCTION("""COMPUTED_VALUE"""),"+ 0,1 %")</f>
        <v>+ 0,1 %</v>
      </c>
      <c r="E38" s="1" t="str">
        <f>IFERROR(__xludf.DUMMYFUNCTION("""COMPUTED_VALUE"""),"+ 5,2 %")</f>
        <v>+ 5,2 %</v>
      </c>
    </row>
    <row r="39">
      <c r="A39" s="2">
        <f>IFERROR(__xludf.DUMMYFUNCTION("""COMPUTED_VALUE"""),45047.0)</f>
        <v>45047</v>
      </c>
      <c r="B39" s="1" t="str">
        <f>IFERROR(__xludf.DUMMYFUNCTION("""COMPUTED_VALUE"""),"2.758 €/m2")</f>
        <v>2.758 €/m2</v>
      </c>
      <c r="C39" s="1" t="str">
        <f>IFERROR(__xludf.DUMMYFUNCTION("""COMPUTED_VALUE"""),"- 1,2 %")</f>
        <v>- 1,2 %</v>
      </c>
      <c r="D39" s="1" t="str">
        <f>IFERROR(__xludf.DUMMYFUNCTION("""COMPUTED_VALUE"""),"- 0,7 %")</f>
        <v>- 0,7 %</v>
      </c>
      <c r="E39" s="1" t="str">
        <f>IFERROR(__xludf.DUMMYFUNCTION("""COMPUTED_VALUE"""),"+ 5,4 %")</f>
        <v>+ 5,4 %</v>
      </c>
    </row>
    <row r="40">
      <c r="A40" s="2">
        <f>IFERROR(__xludf.DUMMYFUNCTION("""COMPUTED_VALUE"""),45017.0)</f>
        <v>45017</v>
      </c>
      <c r="B40" s="1" t="str">
        <f>IFERROR(__xludf.DUMMYFUNCTION("""COMPUTED_VALUE"""),"2.792 €/m2")</f>
        <v>2.792 €/m2</v>
      </c>
      <c r="C40" s="1" t="str">
        <f>IFERROR(__xludf.DUMMYFUNCTION("""COMPUTED_VALUE"""),"+ 0,6 %")</f>
        <v>+ 0,6 %</v>
      </c>
      <c r="D40" s="1" t="str">
        <f>IFERROR(__xludf.DUMMYFUNCTION("""COMPUTED_VALUE"""),"+ 0,6 %")</f>
        <v>+ 0,6 %</v>
      </c>
      <c r="E40" s="1" t="str">
        <f>IFERROR(__xludf.DUMMYFUNCTION("""COMPUTED_VALUE"""),"+ 7,4 %")</f>
        <v>+ 7,4 %</v>
      </c>
    </row>
    <row r="41">
      <c r="A41" s="2">
        <f>IFERROR(__xludf.DUMMYFUNCTION("""COMPUTED_VALUE"""),44986.0)</f>
        <v>44986</v>
      </c>
      <c r="B41" s="1" t="str">
        <f>IFERROR(__xludf.DUMMYFUNCTION("""COMPUTED_VALUE"""),"2.776 €/m2")</f>
        <v>2.776 €/m2</v>
      </c>
      <c r="C41" s="1" t="str">
        <f>IFERROR(__xludf.DUMMYFUNCTION("""COMPUTED_VALUE"""),"- 0,1 %")</f>
        <v>- 0,1 %</v>
      </c>
      <c r="D41" s="1" t="str">
        <f>IFERROR(__xludf.DUMMYFUNCTION("""COMPUTED_VALUE"""),"- 0,3 %")</f>
        <v>- 0,3 %</v>
      </c>
      <c r="E41" s="1" t="str">
        <f>IFERROR(__xludf.DUMMYFUNCTION("""COMPUTED_VALUE"""),"+ 6,6 %")</f>
        <v>+ 6,6 %</v>
      </c>
    </row>
    <row r="42">
      <c r="A42" s="2">
        <f>IFERROR(__xludf.DUMMYFUNCTION("""COMPUTED_VALUE"""),44958.0)</f>
        <v>44958</v>
      </c>
      <c r="B42" s="1" t="str">
        <f>IFERROR(__xludf.DUMMYFUNCTION("""COMPUTED_VALUE"""),"2.778 €/m2")</f>
        <v>2.778 €/m2</v>
      </c>
      <c r="C42" s="1" t="str">
        <f>IFERROR(__xludf.DUMMYFUNCTION("""COMPUTED_VALUE"""),"+ 0,1 %")</f>
        <v>+ 0,1 %</v>
      </c>
      <c r="D42" s="1" t="str">
        <f>IFERROR(__xludf.DUMMYFUNCTION("""COMPUTED_VALUE"""),"- 0,6 %")</f>
        <v>- 0,6 %</v>
      </c>
      <c r="E42" s="1" t="str">
        <f>IFERROR(__xludf.DUMMYFUNCTION("""COMPUTED_VALUE"""),"+ 7,6 %")</f>
        <v>+ 7,6 %</v>
      </c>
    </row>
    <row r="43">
      <c r="A43" s="2">
        <f>IFERROR(__xludf.DUMMYFUNCTION("""COMPUTED_VALUE"""),44927.0)</f>
        <v>44927</v>
      </c>
      <c r="B43" s="1" t="str">
        <f>IFERROR(__xludf.DUMMYFUNCTION("""COMPUTED_VALUE"""),"2.775 €/m2")</f>
        <v>2.775 €/m2</v>
      </c>
      <c r="C43" s="1" t="str">
        <f>IFERROR(__xludf.DUMMYFUNCTION("""COMPUTED_VALUE"""),"- 0,3 %")</f>
        <v>- 0,3 %</v>
      </c>
      <c r="D43" s="1" t="str">
        <f>IFERROR(__xludf.DUMMYFUNCTION("""COMPUTED_VALUE"""),"- 0,5 %")</f>
        <v>- 0,5 %</v>
      </c>
      <c r="E43" s="1" t="str">
        <f>IFERROR(__xludf.DUMMYFUNCTION("""COMPUTED_VALUE"""),"+ 7,0 %")</f>
        <v>+ 7,0 %</v>
      </c>
    </row>
    <row r="44">
      <c r="A44" s="2">
        <f>IFERROR(__xludf.DUMMYFUNCTION("""COMPUTED_VALUE"""),44896.0)</f>
        <v>44896</v>
      </c>
      <c r="B44" s="1" t="str">
        <f>IFERROR(__xludf.DUMMYFUNCTION("""COMPUTED_VALUE"""),"2.783 €/m2")</f>
        <v>2.783 €/m2</v>
      </c>
      <c r="C44" s="1" t="str">
        <f>IFERROR(__xludf.DUMMYFUNCTION("""COMPUTED_VALUE"""),"- 0,4 %")</f>
        <v>- 0,4 %</v>
      </c>
      <c r="D44" s="1" t="str">
        <f>IFERROR(__xludf.DUMMYFUNCTION("""COMPUTED_VALUE"""),"+ 0,1 %")</f>
        <v>+ 0,1 %</v>
      </c>
      <c r="E44" s="1" t="str">
        <f>IFERROR(__xludf.DUMMYFUNCTION("""COMPUTED_VALUE"""),"+ 6,8 %")</f>
        <v>+ 6,8 %</v>
      </c>
    </row>
    <row r="45">
      <c r="A45" s="2">
        <f>IFERROR(__xludf.DUMMYFUNCTION("""COMPUTED_VALUE"""),44866.0)</f>
        <v>44866</v>
      </c>
      <c r="B45" s="1" t="str">
        <f>IFERROR(__xludf.DUMMYFUNCTION("""COMPUTED_VALUE"""),"2.794 €/m2")</f>
        <v>2.794 €/m2</v>
      </c>
      <c r="C45" s="1" t="str">
        <f>IFERROR(__xludf.DUMMYFUNCTION("""COMPUTED_VALUE"""),"+ 0,2 %")</f>
        <v>+ 0,2 %</v>
      </c>
      <c r="D45" s="1" t="str">
        <f>IFERROR(__xludf.DUMMYFUNCTION("""COMPUTED_VALUE"""),"+ 3,0 %")</f>
        <v>+ 3,0 %</v>
      </c>
      <c r="E45" s="1" t="str">
        <f>IFERROR(__xludf.DUMMYFUNCTION("""COMPUTED_VALUE"""),"+ 8,7 %")</f>
        <v>+ 8,7 %</v>
      </c>
    </row>
    <row r="46">
      <c r="A46" s="2">
        <f>IFERROR(__xludf.DUMMYFUNCTION("""COMPUTED_VALUE"""),44835.0)</f>
        <v>44835</v>
      </c>
      <c r="B46" s="1" t="str">
        <f>IFERROR(__xludf.DUMMYFUNCTION("""COMPUTED_VALUE"""),"2.789 €/m2")</f>
        <v>2.789 €/m2</v>
      </c>
      <c r="C46" s="1" t="str">
        <f>IFERROR(__xludf.DUMMYFUNCTION("""COMPUTED_VALUE"""),"+ 0,3 %")</f>
        <v>+ 0,3 %</v>
      </c>
      <c r="D46" s="1" t="str">
        <f>IFERROR(__xludf.DUMMYFUNCTION("""COMPUTED_VALUE"""),"+ 4,4 %")</f>
        <v>+ 4,4 %</v>
      </c>
      <c r="E46" s="1" t="str">
        <f>IFERROR(__xludf.DUMMYFUNCTION("""COMPUTED_VALUE"""),"+ 8,7 %")</f>
        <v>+ 8,7 %</v>
      </c>
    </row>
    <row r="47">
      <c r="A47" s="2">
        <f>IFERROR(__xludf.DUMMYFUNCTION("""COMPUTED_VALUE"""),44805.0)</f>
        <v>44805</v>
      </c>
      <c r="B47" s="1" t="str">
        <f>IFERROR(__xludf.DUMMYFUNCTION("""COMPUTED_VALUE"""),"2.780 €/m2")</f>
        <v>2.780 €/m2</v>
      </c>
      <c r="C47" s="1" t="str">
        <f>IFERROR(__xludf.DUMMYFUNCTION("""COMPUTED_VALUE"""),"+ 2,4 %")</f>
        <v>+ 2,4 %</v>
      </c>
      <c r="D47" s="1" t="str">
        <f>IFERROR(__xludf.DUMMYFUNCTION("""COMPUTED_VALUE"""),"+ 5,2 %")</f>
        <v>+ 5,2 %</v>
      </c>
      <c r="E47" s="1" t="str">
        <f>IFERROR(__xludf.DUMMYFUNCTION("""COMPUTED_VALUE"""),"+ 7,5 %")</f>
        <v>+ 7,5 %</v>
      </c>
    </row>
    <row r="48">
      <c r="A48" s="2">
        <f>IFERROR(__xludf.DUMMYFUNCTION("""COMPUTED_VALUE"""),44774.0)</f>
        <v>44774</v>
      </c>
      <c r="B48" s="1" t="str">
        <f>IFERROR(__xludf.DUMMYFUNCTION("""COMPUTED_VALUE"""),"2.714 €/m2")</f>
        <v>2.714 €/m2</v>
      </c>
      <c r="C48" s="1" t="str">
        <f>IFERROR(__xludf.DUMMYFUNCTION("""COMPUTED_VALUE"""),"+ 1,6 %")</f>
        <v>+ 1,6 %</v>
      </c>
      <c r="D48" s="1" t="str">
        <f>IFERROR(__xludf.DUMMYFUNCTION("""COMPUTED_VALUE"""),"+ 3,8 %")</f>
        <v>+ 3,8 %</v>
      </c>
      <c r="E48" s="1" t="str">
        <f>IFERROR(__xludf.DUMMYFUNCTION("""COMPUTED_VALUE"""),"+ 5,8 %")</f>
        <v>+ 5,8 %</v>
      </c>
    </row>
    <row r="49">
      <c r="A49" s="2">
        <f>IFERROR(__xludf.DUMMYFUNCTION("""COMPUTED_VALUE"""),44743.0)</f>
        <v>44743</v>
      </c>
      <c r="B49" s="1" t="str">
        <f>IFERROR(__xludf.DUMMYFUNCTION("""COMPUTED_VALUE"""),"2.671 €/m2")</f>
        <v>2.671 €/m2</v>
      </c>
      <c r="C49" s="1" t="str">
        <f>IFERROR(__xludf.DUMMYFUNCTION("""COMPUTED_VALUE"""),"+ 1,1 %")</f>
        <v>+ 1,1 %</v>
      </c>
      <c r="D49" s="1" t="str">
        <f>IFERROR(__xludf.DUMMYFUNCTION("""COMPUTED_VALUE"""),"+ 2,8 %")</f>
        <v>+ 2,8 %</v>
      </c>
      <c r="E49" s="1" t="str">
        <f>IFERROR(__xludf.DUMMYFUNCTION("""COMPUTED_VALUE"""),"+ 3,1 %")</f>
        <v>+ 3,1 %</v>
      </c>
    </row>
    <row r="50">
      <c r="A50" s="2">
        <f>IFERROR(__xludf.DUMMYFUNCTION("""COMPUTED_VALUE"""),44713.0)</f>
        <v>44713</v>
      </c>
      <c r="B50" s="1" t="str">
        <f>IFERROR(__xludf.DUMMYFUNCTION("""COMPUTED_VALUE"""),"2.642 €/m2")</f>
        <v>2.642 €/m2</v>
      </c>
      <c r="C50" s="1" t="str">
        <f>IFERROR(__xludf.DUMMYFUNCTION("""COMPUTED_VALUE"""),"+ 1,0 %")</f>
        <v>+ 1,0 %</v>
      </c>
      <c r="D50" s="1" t="str">
        <f>IFERROR(__xludf.DUMMYFUNCTION("""COMPUTED_VALUE"""),"+ 1,4 %")</f>
        <v>+ 1,4 %</v>
      </c>
      <c r="E50" s="1" t="str">
        <f>IFERROR(__xludf.DUMMYFUNCTION("""COMPUTED_VALUE"""),"+ 3,8 %")</f>
        <v>+ 3,8 %</v>
      </c>
    </row>
    <row r="51">
      <c r="A51" s="2">
        <f>IFERROR(__xludf.DUMMYFUNCTION("""COMPUTED_VALUE"""),44682.0)</f>
        <v>44682</v>
      </c>
      <c r="B51" s="1" t="str">
        <f>IFERROR(__xludf.DUMMYFUNCTION("""COMPUTED_VALUE"""),"2.616 €/m2")</f>
        <v>2.616 €/m2</v>
      </c>
      <c r="C51" s="1" t="str">
        <f>IFERROR(__xludf.DUMMYFUNCTION("""COMPUTED_VALUE"""),"+ 0,6 %")</f>
        <v>+ 0,6 %</v>
      </c>
      <c r="D51" s="1" t="str">
        <f>IFERROR(__xludf.DUMMYFUNCTION("""COMPUTED_VALUE"""),"+ 1,4 %")</f>
        <v>+ 1,4 %</v>
      </c>
      <c r="E51" s="1" t="str">
        <f>IFERROR(__xludf.DUMMYFUNCTION("""COMPUTED_VALUE"""),"+ 3,8 %")</f>
        <v>+ 3,8 %</v>
      </c>
    </row>
    <row r="52">
      <c r="A52" s="2">
        <f>IFERROR(__xludf.DUMMYFUNCTION("""COMPUTED_VALUE"""),44652.0)</f>
        <v>44652</v>
      </c>
      <c r="B52" s="1" t="str">
        <f>IFERROR(__xludf.DUMMYFUNCTION("""COMPUTED_VALUE"""),"2.599 €/m2")</f>
        <v>2.599 €/m2</v>
      </c>
      <c r="C52" s="1" t="str">
        <f>IFERROR(__xludf.DUMMYFUNCTION("""COMPUTED_VALUE"""),"- 0,2 %")</f>
        <v>- 0,2 %</v>
      </c>
      <c r="D52" s="1" t="str">
        <f>IFERROR(__xludf.DUMMYFUNCTION("""COMPUTED_VALUE"""),"+ 0,2 %")</f>
        <v>+ 0,2 %</v>
      </c>
      <c r="E52" s="1" t="str">
        <f>IFERROR(__xludf.DUMMYFUNCTION("""COMPUTED_VALUE"""),"+ 1,5 %")</f>
        <v>+ 1,5 %</v>
      </c>
    </row>
    <row r="53">
      <c r="A53" s="2">
        <f>IFERROR(__xludf.DUMMYFUNCTION("""COMPUTED_VALUE"""),44621.0)</f>
        <v>44621</v>
      </c>
      <c r="B53" s="1" t="str">
        <f>IFERROR(__xludf.DUMMYFUNCTION("""COMPUTED_VALUE"""),"2.604 €/m2")</f>
        <v>2.604 €/m2</v>
      </c>
      <c r="C53" s="1" t="str">
        <f>IFERROR(__xludf.DUMMYFUNCTION("""COMPUTED_VALUE"""),"+ 0,9 %")</f>
        <v>+ 0,9 %</v>
      </c>
      <c r="D53" s="1" t="str">
        <f>IFERROR(__xludf.DUMMYFUNCTION("""COMPUTED_VALUE"""),"0,0 %")</f>
        <v>0,0 %</v>
      </c>
      <c r="E53" s="1" t="str">
        <f>IFERROR(__xludf.DUMMYFUNCTION("""COMPUTED_VALUE"""),"0,0 %")</f>
        <v>0,0 %</v>
      </c>
    </row>
    <row r="54">
      <c r="A54" s="2">
        <f>IFERROR(__xludf.DUMMYFUNCTION("""COMPUTED_VALUE"""),44593.0)</f>
        <v>44593</v>
      </c>
      <c r="B54" s="1" t="str">
        <f>IFERROR(__xludf.DUMMYFUNCTION("""COMPUTED_VALUE"""),"2.581 €/m2")</f>
        <v>2.581 €/m2</v>
      </c>
      <c r="C54" s="1" t="str">
        <f>IFERROR(__xludf.DUMMYFUNCTION("""COMPUTED_VALUE"""),"- 0,5 %")</f>
        <v>- 0,5 %</v>
      </c>
      <c r="D54" s="1" t="str">
        <f>IFERROR(__xludf.DUMMYFUNCTION("""COMPUTED_VALUE"""),"+ 0,4 %")</f>
        <v>+ 0,4 %</v>
      </c>
      <c r="E54" s="1" t="str">
        <f>IFERROR(__xludf.DUMMYFUNCTION("""COMPUTED_VALUE"""),"- 0,2 %")</f>
        <v>- 0,2 %</v>
      </c>
    </row>
    <row r="55">
      <c r="A55" s="2">
        <f>IFERROR(__xludf.DUMMYFUNCTION("""COMPUTED_VALUE"""),44562.0)</f>
        <v>44562</v>
      </c>
      <c r="B55" s="1" t="str">
        <f>IFERROR(__xludf.DUMMYFUNCTION("""COMPUTED_VALUE"""),"2.594 €/m2")</f>
        <v>2.594 €/m2</v>
      </c>
      <c r="C55" s="1" t="str">
        <f>IFERROR(__xludf.DUMMYFUNCTION("""COMPUTED_VALUE"""),"- 0,4 %")</f>
        <v>- 0,4 %</v>
      </c>
      <c r="D55" s="1" t="str">
        <f>IFERROR(__xludf.DUMMYFUNCTION("""COMPUTED_VALUE"""),"+ 1,1 %")</f>
        <v>+ 1,1 %</v>
      </c>
      <c r="E55" s="1" t="str">
        <f>IFERROR(__xludf.DUMMYFUNCTION("""COMPUTED_VALUE"""),"+ 2,2 %")</f>
        <v>+ 2,2 %</v>
      </c>
    </row>
    <row r="56">
      <c r="A56" s="2">
        <f>IFERROR(__xludf.DUMMYFUNCTION("""COMPUTED_VALUE"""),44531.0)</f>
        <v>44531</v>
      </c>
      <c r="B56" s="1" t="str">
        <f>IFERROR(__xludf.DUMMYFUNCTION("""COMPUTED_VALUE"""),"2.605 €/m2")</f>
        <v>2.605 €/m2</v>
      </c>
      <c r="C56" s="1" t="str">
        <f>IFERROR(__xludf.DUMMYFUNCTION("""COMPUTED_VALUE"""),"+ 1,3 %")</f>
        <v>+ 1,3 %</v>
      </c>
      <c r="D56" s="1" t="str">
        <f>IFERROR(__xludf.DUMMYFUNCTION("""COMPUTED_VALUE"""),"+ 0,7 %")</f>
        <v>+ 0,7 %</v>
      </c>
      <c r="E56" s="1" t="str">
        <f>IFERROR(__xludf.DUMMYFUNCTION("""COMPUTED_VALUE"""),"+ 0,3 %")</f>
        <v>+ 0,3 %</v>
      </c>
    </row>
    <row r="57">
      <c r="A57" s="2">
        <f>IFERROR(__xludf.DUMMYFUNCTION("""COMPUTED_VALUE"""),44501.0)</f>
        <v>44501</v>
      </c>
      <c r="B57" s="1" t="str">
        <f>IFERROR(__xludf.DUMMYFUNCTION("""COMPUTED_VALUE"""),"2.572 €/m2")</f>
        <v>2.572 €/m2</v>
      </c>
      <c r="C57" s="1" t="str">
        <f>IFERROR(__xludf.DUMMYFUNCTION("""COMPUTED_VALUE"""),"+ 0,2 %")</f>
        <v>+ 0,2 %</v>
      </c>
      <c r="D57" s="1" t="str">
        <f>IFERROR(__xludf.DUMMYFUNCTION("""COMPUTED_VALUE"""),"+ 0,3 %")</f>
        <v>+ 0,3 %</v>
      </c>
      <c r="E57" s="1" t="str">
        <f>IFERROR(__xludf.DUMMYFUNCTION("""COMPUTED_VALUE"""),"- 1,0 %")</f>
        <v>- 1,0 %</v>
      </c>
    </row>
    <row r="58">
      <c r="A58" s="2">
        <f>IFERROR(__xludf.DUMMYFUNCTION("""COMPUTED_VALUE"""),44470.0)</f>
        <v>44470</v>
      </c>
      <c r="B58" s="1" t="str">
        <f>IFERROR(__xludf.DUMMYFUNCTION("""COMPUTED_VALUE"""),"2.566 €/m2")</f>
        <v>2.566 €/m2</v>
      </c>
      <c r="C58" s="1" t="str">
        <f>IFERROR(__xludf.DUMMYFUNCTION("""COMPUTED_VALUE"""),"- 0,8 %")</f>
        <v>- 0,8 %</v>
      </c>
      <c r="D58" s="1" t="str">
        <f>IFERROR(__xludf.DUMMYFUNCTION("""COMPUTED_VALUE"""),"- 1,0 %")</f>
        <v>- 1,0 %</v>
      </c>
      <c r="E58" s="1" t="str">
        <f>IFERROR(__xludf.DUMMYFUNCTION("""COMPUTED_VALUE"""),"+ 0,3 %")</f>
        <v>+ 0,3 %</v>
      </c>
    </row>
    <row r="59">
      <c r="A59" s="2">
        <f>IFERROR(__xludf.DUMMYFUNCTION("""COMPUTED_VALUE"""),44440.0)</f>
        <v>44440</v>
      </c>
      <c r="B59" s="1" t="str">
        <f>IFERROR(__xludf.DUMMYFUNCTION("""COMPUTED_VALUE"""),"2.586 €/m2")</f>
        <v>2.586 €/m2</v>
      </c>
      <c r="C59" s="1" t="str">
        <f>IFERROR(__xludf.DUMMYFUNCTION("""COMPUTED_VALUE"""),"+ 0,8 %")</f>
        <v>+ 0,8 %</v>
      </c>
      <c r="D59" s="1" t="str">
        <f>IFERROR(__xludf.DUMMYFUNCTION("""COMPUTED_VALUE"""),"+ 1,6 %")</f>
        <v>+ 1,6 %</v>
      </c>
      <c r="E59" s="1" t="str">
        <f>IFERROR(__xludf.DUMMYFUNCTION("""COMPUTED_VALUE"""),"+ 0,4 %")</f>
        <v>+ 0,4 %</v>
      </c>
    </row>
    <row r="60">
      <c r="A60" s="2">
        <f>IFERROR(__xludf.DUMMYFUNCTION("""COMPUTED_VALUE"""),44409.0)</f>
        <v>44409</v>
      </c>
      <c r="B60" s="1" t="str">
        <f>IFERROR(__xludf.DUMMYFUNCTION("""COMPUTED_VALUE"""),"2.565 €/m2")</f>
        <v>2.565 €/m2</v>
      </c>
      <c r="C60" s="1" t="str">
        <f>IFERROR(__xludf.DUMMYFUNCTION("""COMPUTED_VALUE"""),"- 1,0 %")</f>
        <v>- 1,0 %</v>
      </c>
      <c r="D60" s="1" t="str">
        <f>IFERROR(__xludf.DUMMYFUNCTION("""COMPUTED_VALUE"""),"+ 1,8 %")</f>
        <v>+ 1,8 %</v>
      </c>
      <c r="E60" s="1" t="str">
        <f>IFERROR(__xludf.DUMMYFUNCTION("""COMPUTED_VALUE"""),"+ 0,4 %")</f>
        <v>+ 0,4 %</v>
      </c>
    </row>
    <row r="61">
      <c r="A61" s="2">
        <f>IFERROR(__xludf.DUMMYFUNCTION("""COMPUTED_VALUE"""),44378.0)</f>
        <v>44378</v>
      </c>
      <c r="B61" s="1" t="str">
        <f>IFERROR(__xludf.DUMMYFUNCTION("""COMPUTED_VALUE"""),"2.591 €/m2")</f>
        <v>2.591 €/m2</v>
      </c>
      <c r="C61" s="1" t="str">
        <f>IFERROR(__xludf.DUMMYFUNCTION("""COMPUTED_VALUE"""),"+ 1,8 %")</f>
        <v>+ 1,8 %</v>
      </c>
      <c r="D61" s="1" t="str">
        <f>IFERROR(__xludf.DUMMYFUNCTION("""COMPUTED_VALUE"""),"+ 1,2 %")</f>
        <v>+ 1,2 %</v>
      </c>
      <c r="E61" s="1" t="str">
        <f>IFERROR(__xludf.DUMMYFUNCTION("""COMPUTED_VALUE"""),"+ 1,6 %")</f>
        <v>+ 1,6 %</v>
      </c>
    </row>
    <row r="62">
      <c r="A62" s="2">
        <f>IFERROR(__xludf.DUMMYFUNCTION("""COMPUTED_VALUE"""),44348.0)</f>
        <v>44348</v>
      </c>
      <c r="B62" s="1" t="str">
        <f>IFERROR(__xludf.DUMMYFUNCTION("""COMPUTED_VALUE"""),"2.546 €/m2")</f>
        <v>2.546 €/m2</v>
      </c>
      <c r="C62" s="1" t="str">
        <f>IFERROR(__xludf.DUMMYFUNCTION("""COMPUTED_VALUE"""),"+ 1,0 %")</f>
        <v>+ 1,0 %</v>
      </c>
      <c r="D62" s="1" t="str">
        <f>IFERROR(__xludf.DUMMYFUNCTION("""COMPUTED_VALUE"""),"- 2,2 %")</f>
        <v>- 2,2 %</v>
      </c>
      <c r="E62" s="1" t="str">
        <f>IFERROR(__xludf.DUMMYFUNCTION("""COMPUTED_VALUE"""),"+ 0,3 %")</f>
        <v>+ 0,3 %</v>
      </c>
    </row>
    <row r="63">
      <c r="A63" s="2">
        <f>IFERROR(__xludf.DUMMYFUNCTION("""COMPUTED_VALUE"""),44317.0)</f>
        <v>44317</v>
      </c>
      <c r="B63" s="1" t="str">
        <f>IFERROR(__xludf.DUMMYFUNCTION("""COMPUTED_VALUE"""),"2.520 €/m2")</f>
        <v>2.520 €/m2</v>
      </c>
      <c r="C63" s="1" t="str">
        <f>IFERROR(__xludf.DUMMYFUNCTION("""COMPUTED_VALUE"""),"- 1,6 %")</f>
        <v>- 1,6 %</v>
      </c>
      <c r="D63" s="1" t="str">
        <f>IFERROR(__xludf.DUMMYFUNCTION("""COMPUTED_VALUE"""),"- 2,6 %")</f>
        <v>- 2,6 %</v>
      </c>
      <c r="E63" s="1" t="str">
        <f>IFERROR(__xludf.DUMMYFUNCTION("""COMPUTED_VALUE"""),"- 1,7 %")</f>
        <v>- 1,7 %</v>
      </c>
    </row>
    <row r="64">
      <c r="A64" s="2">
        <f>IFERROR(__xludf.DUMMYFUNCTION("""COMPUTED_VALUE"""),44287.0)</f>
        <v>44287</v>
      </c>
      <c r="B64" s="1" t="str">
        <f>IFERROR(__xludf.DUMMYFUNCTION("""COMPUTED_VALUE"""),"2.560 €/m2")</f>
        <v>2.560 €/m2</v>
      </c>
      <c r="C64" s="1" t="str">
        <f>IFERROR(__xludf.DUMMYFUNCTION("""COMPUTED_VALUE"""),"- 1,7 %")</f>
        <v>- 1,7 %</v>
      </c>
      <c r="D64" s="1" t="str">
        <f>IFERROR(__xludf.DUMMYFUNCTION("""COMPUTED_VALUE"""),"+ 0,9 %")</f>
        <v>+ 0,9 %</v>
      </c>
      <c r="E64" s="1" t="str">
        <f>IFERROR(__xludf.DUMMYFUNCTION("""COMPUTED_VALUE"""),"+ 0,6 %")</f>
        <v>+ 0,6 %</v>
      </c>
    </row>
    <row r="65">
      <c r="A65" s="2">
        <f>IFERROR(__xludf.DUMMYFUNCTION("""COMPUTED_VALUE"""),44256.0)</f>
        <v>44256</v>
      </c>
      <c r="B65" s="1" t="str">
        <f>IFERROR(__xludf.DUMMYFUNCTION("""COMPUTED_VALUE"""),"2.604 €/m2")</f>
        <v>2.604 €/m2</v>
      </c>
      <c r="C65" s="1" t="str">
        <f>IFERROR(__xludf.DUMMYFUNCTION("""COMPUTED_VALUE"""),"+ 0,7 %")</f>
        <v>+ 0,7 %</v>
      </c>
      <c r="D65" s="1" t="str">
        <f>IFERROR(__xludf.DUMMYFUNCTION("""COMPUTED_VALUE"""),"+ 0,3 %")</f>
        <v>+ 0,3 %</v>
      </c>
      <c r="E65" s="1" t="str">
        <f>IFERROR(__xludf.DUMMYFUNCTION("""COMPUTED_VALUE"""),"+ 3,1 %")</f>
        <v>+ 3,1 %</v>
      </c>
    </row>
    <row r="66">
      <c r="A66" s="2">
        <f>IFERROR(__xludf.DUMMYFUNCTION("""COMPUTED_VALUE"""),44228.0)</f>
        <v>44228</v>
      </c>
      <c r="B66" s="1" t="str">
        <f>IFERROR(__xludf.DUMMYFUNCTION("""COMPUTED_VALUE"""),"2.586 €/m2")</f>
        <v>2.586 €/m2</v>
      </c>
      <c r="C66" s="1" t="str">
        <f>IFERROR(__xludf.DUMMYFUNCTION("""COMPUTED_VALUE"""),"+ 1,9 %")</f>
        <v>+ 1,9 %</v>
      </c>
      <c r="D66" s="1" t="str">
        <f>IFERROR(__xludf.DUMMYFUNCTION("""COMPUTED_VALUE"""),"- 0,4 %")</f>
        <v>- 0,4 %</v>
      </c>
      <c r="E66" s="1" t="str">
        <f>IFERROR(__xludf.DUMMYFUNCTION("""COMPUTED_VALUE"""),"+ 3,2 %")</f>
        <v>+ 3,2 %</v>
      </c>
    </row>
    <row r="67">
      <c r="A67" s="2">
        <f>IFERROR(__xludf.DUMMYFUNCTION("""COMPUTED_VALUE"""),44197.0)</f>
        <v>44197</v>
      </c>
      <c r="B67" s="1" t="str">
        <f>IFERROR(__xludf.DUMMYFUNCTION("""COMPUTED_VALUE"""),"2.537 €/m2")</f>
        <v>2.537 €/m2</v>
      </c>
      <c r="C67" s="1" t="str">
        <f>IFERROR(__xludf.DUMMYFUNCTION("""COMPUTED_VALUE"""),"- 2,3 %")</f>
        <v>- 2,3 %</v>
      </c>
      <c r="D67" s="1" t="str">
        <f>IFERROR(__xludf.DUMMYFUNCTION("""COMPUTED_VALUE"""),"- 0,9 %")</f>
        <v>- 0,9 %</v>
      </c>
      <c r="E67" s="1" t="str">
        <f>IFERROR(__xludf.DUMMYFUNCTION("""COMPUTED_VALUE"""),"+ 0,9 %")</f>
        <v>+ 0,9 %</v>
      </c>
    </row>
    <row r="68">
      <c r="A68" s="2">
        <f>IFERROR(__xludf.DUMMYFUNCTION("""COMPUTED_VALUE"""),44166.0)</f>
        <v>44166</v>
      </c>
      <c r="B68" s="1" t="str">
        <f>IFERROR(__xludf.DUMMYFUNCTION("""COMPUTED_VALUE"""),"2.596 €/m2")</f>
        <v>2.596 €/m2</v>
      </c>
      <c r="C68" s="1" t="str">
        <f>IFERROR(__xludf.DUMMYFUNCTION("""COMPUTED_VALUE"""),"0,0 %")</f>
        <v>0,0 %</v>
      </c>
      <c r="D68" s="1" t="str">
        <f>IFERROR(__xludf.DUMMYFUNCTION("""COMPUTED_VALUE"""),"+ 0,8 %")</f>
        <v>+ 0,8 %</v>
      </c>
      <c r="E68" s="1" t="str">
        <f>IFERROR(__xludf.DUMMYFUNCTION("""COMPUTED_VALUE"""),"+ 3,3 %")</f>
        <v>+ 3,3 %</v>
      </c>
    </row>
    <row r="69">
      <c r="A69" s="2">
        <f>IFERROR(__xludf.DUMMYFUNCTION("""COMPUTED_VALUE"""),44136.0)</f>
        <v>44136</v>
      </c>
      <c r="B69" s="1" t="str">
        <f>IFERROR(__xludf.DUMMYFUNCTION("""COMPUTED_VALUE"""),"2.597 €/m2")</f>
        <v>2.597 €/m2</v>
      </c>
      <c r="C69" s="1" t="str">
        <f>IFERROR(__xludf.DUMMYFUNCTION("""COMPUTED_VALUE"""),"+ 1,5 %")</f>
        <v>+ 1,5 %</v>
      </c>
      <c r="D69" s="1" t="str">
        <f>IFERROR(__xludf.DUMMYFUNCTION("""COMPUTED_VALUE"""),"+ 1,7 %")</f>
        <v>+ 1,7 %</v>
      </c>
      <c r="E69" s="1" t="str">
        <f>IFERROR(__xludf.DUMMYFUNCTION("""COMPUTED_VALUE"""),"+ 1,8 %")</f>
        <v>+ 1,8 %</v>
      </c>
    </row>
    <row r="70">
      <c r="A70" s="2">
        <f>IFERROR(__xludf.DUMMYFUNCTION("""COMPUTED_VALUE"""),44105.0)</f>
        <v>44105</v>
      </c>
      <c r="B70" s="1" t="str">
        <f>IFERROR(__xludf.DUMMYFUNCTION("""COMPUTED_VALUE"""),"2.559 €/m2")</f>
        <v>2.559 €/m2</v>
      </c>
      <c r="C70" s="1" t="str">
        <f>IFERROR(__xludf.DUMMYFUNCTION("""COMPUTED_VALUE"""),"- 0,6 %")</f>
        <v>- 0,6 %</v>
      </c>
      <c r="D70" s="1" t="str">
        <f>IFERROR(__xludf.DUMMYFUNCTION("""COMPUTED_VALUE"""),"+ 0,3 %")</f>
        <v>+ 0,3 %</v>
      </c>
      <c r="E70" s="1" t="str">
        <f>IFERROR(__xludf.DUMMYFUNCTION("""COMPUTED_VALUE"""),"0,0 %")</f>
        <v>0,0 %</v>
      </c>
    </row>
    <row r="71">
      <c r="A71" s="2">
        <f>IFERROR(__xludf.DUMMYFUNCTION("""COMPUTED_VALUE"""),44075.0)</f>
        <v>44075</v>
      </c>
      <c r="B71" s="1" t="str">
        <f>IFERROR(__xludf.DUMMYFUNCTION("""COMPUTED_VALUE"""),"2.575 €/m2")</f>
        <v>2.575 €/m2</v>
      </c>
      <c r="C71" s="1" t="str">
        <f>IFERROR(__xludf.DUMMYFUNCTION("""COMPUTED_VALUE"""),"+ 0,8 %")</f>
        <v>+ 0,8 %</v>
      </c>
      <c r="D71" s="1" t="str">
        <f>IFERROR(__xludf.DUMMYFUNCTION("""COMPUTED_VALUE"""),"+ 1,4 %")</f>
        <v>+ 1,4 %</v>
      </c>
      <c r="E71" s="1" t="str">
        <f>IFERROR(__xludf.DUMMYFUNCTION("""COMPUTED_VALUE"""),"+ 0,9 %")</f>
        <v>+ 0,9 %</v>
      </c>
    </row>
    <row r="72">
      <c r="A72" s="2">
        <f>IFERROR(__xludf.DUMMYFUNCTION("""COMPUTED_VALUE"""),44044.0)</f>
        <v>44044</v>
      </c>
      <c r="B72" s="1" t="str">
        <f>IFERROR(__xludf.DUMMYFUNCTION("""COMPUTED_VALUE"""),"2.554 €/m2")</f>
        <v>2.554 €/m2</v>
      </c>
      <c r="C72" s="1" t="str">
        <f>IFERROR(__xludf.DUMMYFUNCTION("""COMPUTED_VALUE"""),"+ 0,1 %")</f>
        <v>+ 0,1 %</v>
      </c>
      <c r="D72" s="1" t="str">
        <f>IFERROR(__xludf.DUMMYFUNCTION("""COMPUTED_VALUE"""),"- 0,3 %")</f>
        <v>- 0,3 %</v>
      </c>
      <c r="E72" s="1" t="str">
        <f>IFERROR(__xludf.DUMMYFUNCTION("""COMPUTED_VALUE"""),"+ 0,5 %")</f>
        <v>+ 0,5 %</v>
      </c>
    </row>
    <row r="73">
      <c r="A73" s="2">
        <f>IFERROR(__xludf.DUMMYFUNCTION("""COMPUTED_VALUE"""),44013.0)</f>
        <v>44013</v>
      </c>
      <c r="B73" s="1" t="str">
        <f>IFERROR(__xludf.DUMMYFUNCTION("""COMPUTED_VALUE"""),"2.551 €/m2")</f>
        <v>2.551 €/m2</v>
      </c>
      <c r="C73" s="1" t="str">
        <f>IFERROR(__xludf.DUMMYFUNCTION("""COMPUTED_VALUE"""),"+ 0,5 %")</f>
        <v>+ 0,5 %</v>
      </c>
      <c r="D73" s="1" t="str">
        <f>IFERROR(__xludf.DUMMYFUNCTION("""COMPUTED_VALUE"""),"+ 0,2 %")</f>
        <v>+ 0,2 %</v>
      </c>
      <c r="E73" s="1" t="str">
        <f>IFERROR(__xludf.DUMMYFUNCTION("""COMPUTED_VALUE"""),"+ 0,1 %")</f>
        <v>+ 0,1 %</v>
      </c>
    </row>
    <row r="74">
      <c r="A74" s="2">
        <f>IFERROR(__xludf.DUMMYFUNCTION("""COMPUTED_VALUE"""),43983.0)</f>
        <v>43983</v>
      </c>
      <c r="B74" s="1" t="str">
        <f>IFERROR(__xludf.DUMMYFUNCTION("""COMPUTED_VALUE"""),"2.539 €/m2")</f>
        <v>2.539 €/m2</v>
      </c>
      <c r="C74" s="1" t="str">
        <f>IFERROR(__xludf.DUMMYFUNCTION("""COMPUTED_VALUE"""),"- 0,9 %")</f>
        <v>- 0,9 %</v>
      </c>
      <c r="D74" s="1" t="str">
        <f>IFERROR(__xludf.DUMMYFUNCTION("""COMPUTED_VALUE"""),"+ 0,6 %")</f>
        <v>+ 0,6 %</v>
      </c>
      <c r="E74" s="1" t="str">
        <f>IFERROR(__xludf.DUMMYFUNCTION("""COMPUTED_VALUE"""),"- 0,9 %")</f>
        <v>- 0,9 %</v>
      </c>
    </row>
    <row r="75">
      <c r="A75" s="2">
        <f>IFERROR(__xludf.DUMMYFUNCTION("""COMPUTED_VALUE"""),43952.0)</f>
        <v>43952</v>
      </c>
      <c r="B75" s="1" t="str">
        <f>IFERROR(__xludf.DUMMYFUNCTION("""COMPUTED_VALUE"""),"2.563 €/m2")</f>
        <v>2.563 €/m2</v>
      </c>
      <c r="C75" s="1" t="str">
        <f>IFERROR(__xludf.DUMMYFUNCTION("""COMPUTED_VALUE"""),"+ 0,7 %")</f>
        <v>+ 0,7 %</v>
      </c>
      <c r="D75" s="1" t="str">
        <f>IFERROR(__xludf.DUMMYFUNCTION("""COMPUTED_VALUE"""),"+ 2,3 %")</f>
        <v>+ 2,3 %</v>
      </c>
      <c r="E75" s="1" t="str">
        <f>IFERROR(__xludf.DUMMYFUNCTION("""COMPUTED_VALUE"""),"+ 0,2 %")</f>
        <v>+ 0,2 %</v>
      </c>
    </row>
    <row r="76">
      <c r="A76" s="2">
        <f>IFERROR(__xludf.DUMMYFUNCTION("""COMPUTED_VALUE"""),43922.0)</f>
        <v>43922</v>
      </c>
      <c r="B76" s="1" t="str">
        <f>IFERROR(__xludf.DUMMYFUNCTION("""COMPUTED_VALUE"""),"2.544 €/m2")</f>
        <v>2.544 €/m2</v>
      </c>
      <c r="C76" s="1" t="str">
        <f>IFERROR(__xludf.DUMMYFUNCTION("""COMPUTED_VALUE"""),"+ 0,8 %")</f>
        <v>+ 0,8 %</v>
      </c>
      <c r="D76" s="1" t="str">
        <f>IFERROR(__xludf.DUMMYFUNCTION("""COMPUTED_VALUE"""),"+ 1,2 %")</f>
        <v>+ 1,2 %</v>
      </c>
      <c r="E76" s="1" t="str">
        <f>IFERROR(__xludf.DUMMYFUNCTION("""COMPUTED_VALUE"""),"- 1,3 %")</f>
        <v>- 1,3 %</v>
      </c>
    </row>
    <row r="77">
      <c r="A77" s="2">
        <f>IFERROR(__xludf.DUMMYFUNCTION("""COMPUTED_VALUE"""),43891.0)</f>
        <v>43891</v>
      </c>
      <c r="B77" s="1" t="str">
        <f>IFERROR(__xludf.DUMMYFUNCTION("""COMPUTED_VALUE"""),"2.524 €/m2")</f>
        <v>2.524 €/m2</v>
      </c>
      <c r="C77" s="1" t="str">
        <f>IFERROR(__xludf.DUMMYFUNCTION("""COMPUTED_VALUE"""),"+ 0,8 %")</f>
        <v>+ 0,8 %</v>
      </c>
      <c r="D77" s="1" t="str">
        <f>IFERROR(__xludf.DUMMYFUNCTION("""COMPUTED_VALUE"""),"+ 0,5 %")</f>
        <v>+ 0,5 %</v>
      </c>
      <c r="E77" s="1" t="str">
        <f>IFERROR(__xludf.DUMMYFUNCTION("""COMPUTED_VALUE"""),"- 1,5 %")</f>
        <v>- 1,5 %</v>
      </c>
    </row>
    <row r="78">
      <c r="A78" s="2">
        <f>IFERROR(__xludf.DUMMYFUNCTION("""COMPUTED_VALUE"""),43862.0)</f>
        <v>43862</v>
      </c>
      <c r="B78" s="1" t="str">
        <f>IFERROR(__xludf.DUMMYFUNCTION("""COMPUTED_VALUE"""),"2.505 €/m2")</f>
        <v>2.505 €/m2</v>
      </c>
      <c r="C78" s="1" t="str">
        <f>IFERROR(__xludf.DUMMYFUNCTION("""COMPUTED_VALUE"""),"- 0,4 %")</f>
        <v>- 0,4 %</v>
      </c>
      <c r="D78" s="1" t="str">
        <f>IFERROR(__xludf.DUMMYFUNCTION("""COMPUTED_VALUE"""),"- 1,8 %")</f>
        <v>- 1,8 %</v>
      </c>
      <c r="E78" s="1" t="str">
        <f>IFERROR(__xludf.DUMMYFUNCTION("""COMPUTED_VALUE"""),"- 0,7 %")</f>
        <v>- 0,7 %</v>
      </c>
    </row>
    <row r="79">
      <c r="A79" s="2">
        <f>IFERROR(__xludf.DUMMYFUNCTION("""COMPUTED_VALUE"""),43831.0)</f>
        <v>43831</v>
      </c>
      <c r="B79" s="1" t="str">
        <f>IFERROR(__xludf.DUMMYFUNCTION("""COMPUTED_VALUE"""),"2.515 €/m2")</f>
        <v>2.515 €/m2</v>
      </c>
      <c r="C79" s="1" t="str">
        <f>IFERROR(__xludf.DUMMYFUNCTION("""COMPUTED_VALUE"""),"+ 0,1 %")</f>
        <v>+ 0,1 %</v>
      </c>
      <c r="D79" s="1" t="str">
        <f>IFERROR(__xludf.DUMMYFUNCTION("""COMPUTED_VALUE"""),"- 1,7 %")</f>
        <v>- 1,7 %</v>
      </c>
      <c r="E79" s="1" t="str">
        <f>IFERROR(__xludf.DUMMYFUNCTION("""COMPUTED_VALUE"""),"- 0,2 %")</f>
        <v>- 0,2 %</v>
      </c>
    </row>
    <row r="80">
      <c r="A80" s="2">
        <f>IFERROR(__xludf.DUMMYFUNCTION("""COMPUTED_VALUE"""),43800.0)</f>
        <v>43800</v>
      </c>
      <c r="B80" s="1" t="str">
        <f>IFERROR(__xludf.DUMMYFUNCTION("""COMPUTED_VALUE"""),"2.513 €/m2")</f>
        <v>2.513 €/m2</v>
      </c>
      <c r="C80" s="1" t="str">
        <f>IFERROR(__xludf.DUMMYFUNCTION("""COMPUTED_VALUE"""),"- 1,5 %")</f>
        <v>- 1,5 %</v>
      </c>
      <c r="D80" s="1" t="str">
        <f>IFERROR(__xludf.DUMMYFUNCTION("""COMPUTED_VALUE"""),"- 1,5 %")</f>
        <v>- 1,5 %</v>
      </c>
      <c r="E80" s="1" t="str">
        <f>IFERROR(__xludf.DUMMYFUNCTION("""COMPUTED_VALUE"""),"+ 0,3 %")</f>
        <v>+ 0,3 %</v>
      </c>
    </row>
    <row r="81">
      <c r="A81" s="2">
        <f>IFERROR(__xludf.DUMMYFUNCTION("""COMPUTED_VALUE"""),43770.0)</f>
        <v>43770</v>
      </c>
      <c r="B81" s="1" t="str">
        <f>IFERROR(__xludf.DUMMYFUNCTION("""COMPUTED_VALUE"""),"2.551 €/m2")</f>
        <v>2.551 €/m2</v>
      </c>
      <c r="C81" s="1" t="str">
        <f>IFERROR(__xludf.DUMMYFUNCTION("""COMPUTED_VALUE"""),"- 0,3 %")</f>
        <v>- 0,3 %</v>
      </c>
      <c r="D81" s="1" t="str">
        <f>IFERROR(__xludf.DUMMYFUNCTION("""COMPUTED_VALUE"""),"+ 0,4 %")</f>
        <v>+ 0,4 %</v>
      </c>
      <c r="E81" s="1" t="str">
        <f>IFERROR(__xludf.DUMMYFUNCTION("""COMPUTED_VALUE"""),"+ 1,1 %")</f>
        <v>+ 1,1 %</v>
      </c>
    </row>
    <row r="82">
      <c r="A82" s="2">
        <f>IFERROR(__xludf.DUMMYFUNCTION("""COMPUTED_VALUE"""),43739.0)</f>
        <v>43739</v>
      </c>
      <c r="B82" s="1" t="str">
        <f>IFERROR(__xludf.DUMMYFUNCTION("""COMPUTED_VALUE"""),"2.559 €/m2")</f>
        <v>2.559 €/m2</v>
      </c>
      <c r="C82" s="1" t="str">
        <f>IFERROR(__xludf.DUMMYFUNCTION("""COMPUTED_VALUE"""),"+ 0,3 %")</f>
        <v>+ 0,3 %</v>
      </c>
      <c r="D82" s="1" t="str">
        <f>IFERROR(__xludf.DUMMYFUNCTION("""COMPUTED_VALUE"""),"+ 0,4 %")</f>
        <v>+ 0,4 %</v>
      </c>
      <c r="E82" s="1" t="str">
        <f>IFERROR(__xludf.DUMMYFUNCTION("""COMPUTED_VALUE"""),"0,0 %")</f>
        <v>0,0 %</v>
      </c>
    </row>
    <row r="83">
      <c r="A83" s="2">
        <f>IFERROR(__xludf.DUMMYFUNCTION("""COMPUTED_VALUE"""),43709.0)</f>
        <v>43709</v>
      </c>
      <c r="B83" s="1" t="str">
        <f>IFERROR(__xludf.DUMMYFUNCTION("""COMPUTED_VALUE"""),"2.551 €/m2")</f>
        <v>2.551 €/m2</v>
      </c>
      <c r="C83" s="1" t="str">
        <f>IFERROR(__xludf.DUMMYFUNCTION("""COMPUTED_VALUE"""),"+ 0,4 %")</f>
        <v>+ 0,4 %</v>
      </c>
      <c r="D83" s="1" t="str">
        <f>IFERROR(__xludf.DUMMYFUNCTION("""COMPUTED_VALUE"""),"- 0,5 %")</f>
        <v>- 0,5 %</v>
      </c>
      <c r="E83" s="1" t="str">
        <f>IFERROR(__xludf.DUMMYFUNCTION("""COMPUTED_VALUE"""),"- 1,4 %")</f>
        <v>- 1,4 %</v>
      </c>
    </row>
    <row r="84">
      <c r="A84" s="2">
        <f>IFERROR(__xludf.DUMMYFUNCTION("""COMPUTED_VALUE"""),43678.0)</f>
        <v>43678</v>
      </c>
      <c r="B84" s="1" t="str">
        <f>IFERROR(__xludf.DUMMYFUNCTION("""COMPUTED_VALUE"""),"2.541 €/m2")</f>
        <v>2.541 €/m2</v>
      </c>
      <c r="C84" s="1" t="str">
        <f>IFERROR(__xludf.DUMMYFUNCTION("""COMPUTED_VALUE"""),"- 0,3 %")</f>
        <v>- 0,3 %</v>
      </c>
      <c r="D84" s="1" t="str">
        <f>IFERROR(__xludf.DUMMYFUNCTION("""COMPUTED_VALUE"""),"- 0,7 %")</f>
        <v>- 0,7 %</v>
      </c>
      <c r="E84" s="1" t="str">
        <f>IFERROR(__xludf.DUMMYFUNCTION("""COMPUTED_VALUE"""),"+ 0,2 %")</f>
        <v>+ 0,2 %</v>
      </c>
    </row>
    <row r="85">
      <c r="A85" s="2">
        <f>IFERROR(__xludf.DUMMYFUNCTION("""COMPUTED_VALUE"""),43647.0)</f>
        <v>43647</v>
      </c>
      <c r="B85" s="1" t="str">
        <f>IFERROR(__xludf.DUMMYFUNCTION("""COMPUTED_VALUE"""),"2.549 €/m2")</f>
        <v>2.549 €/m2</v>
      </c>
      <c r="C85" s="1" t="str">
        <f>IFERROR(__xludf.DUMMYFUNCTION("""COMPUTED_VALUE"""),"- 0,5 %")</f>
        <v>- 0,5 %</v>
      </c>
      <c r="D85" s="1" t="str">
        <f>IFERROR(__xludf.DUMMYFUNCTION("""COMPUTED_VALUE"""),"- 1,1 %")</f>
        <v>- 1,1 %</v>
      </c>
      <c r="E85" s="1" t="str">
        <f>IFERROR(__xludf.DUMMYFUNCTION("""COMPUTED_VALUE"""),"+ 1,1 %")</f>
        <v>+ 1,1 %</v>
      </c>
    </row>
    <row r="86">
      <c r="A86" s="2">
        <f>IFERROR(__xludf.DUMMYFUNCTION("""COMPUTED_VALUE"""),43617.0)</f>
        <v>43617</v>
      </c>
      <c r="B86" s="1" t="str">
        <f>IFERROR(__xludf.DUMMYFUNCTION("""COMPUTED_VALUE"""),"2.563 €/m2")</f>
        <v>2.563 €/m2</v>
      </c>
      <c r="C86" s="1" t="str">
        <f>IFERROR(__xludf.DUMMYFUNCTION("""COMPUTED_VALUE"""),"+ 0,2 %")</f>
        <v>+ 0,2 %</v>
      </c>
      <c r="D86" s="1" t="str">
        <f>IFERROR(__xludf.DUMMYFUNCTION("""COMPUTED_VALUE"""),"0,0 %")</f>
        <v>0,0 %</v>
      </c>
      <c r="E86" s="1" t="str">
        <f>IFERROR(__xludf.DUMMYFUNCTION("""COMPUTED_VALUE"""),"+ 2,0 %")</f>
        <v>+ 2,0 %</v>
      </c>
    </row>
    <row r="87">
      <c r="A87" s="2">
        <f>IFERROR(__xludf.DUMMYFUNCTION("""COMPUTED_VALUE"""),43586.0)</f>
        <v>43586</v>
      </c>
      <c r="B87" s="1" t="str">
        <f>IFERROR(__xludf.DUMMYFUNCTION("""COMPUTED_VALUE"""),"2.558 €/m2")</f>
        <v>2.558 €/m2</v>
      </c>
      <c r="C87" s="1" t="str">
        <f>IFERROR(__xludf.DUMMYFUNCTION("""COMPUTED_VALUE"""),"- 0,8 %")</f>
        <v>- 0,8 %</v>
      </c>
      <c r="D87" s="1" t="str">
        <f>IFERROR(__xludf.DUMMYFUNCTION("""COMPUTED_VALUE"""),"+ 1,4 %")</f>
        <v>+ 1,4 %</v>
      </c>
      <c r="E87" s="1" t="str">
        <f>IFERROR(__xludf.DUMMYFUNCTION("""COMPUTED_VALUE"""),"+ 0,9 %")</f>
        <v>+ 0,9 %</v>
      </c>
    </row>
    <row r="88">
      <c r="A88" s="2">
        <f>IFERROR(__xludf.DUMMYFUNCTION("""COMPUTED_VALUE"""),43556.0)</f>
        <v>43556</v>
      </c>
      <c r="B88" s="1" t="str">
        <f>IFERROR(__xludf.DUMMYFUNCTION("""COMPUTED_VALUE"""),"2.578 €/m2")</f>
        <v>2.578 €/m2</v>
      </c>
      <c r="C88" s="1" t="str">
        <f>IFERROR(__xludf.DUMMYFUNCTION("""COMPUTED_VALUE"""),"+ 0,6 %")</f>
        <v>+ 0,6 %</v>
      </c>
      <c r="D88" s="1" t="str">
        <f>IFERROR(__xludf.DUMMYFUNCTION("""COMPUTED_VALUE"""),"+ 2,2 %")</f>
        <v>+ 2,2 %</v>
      </c>
      <c r="E88" s="1" t="str">
        <f>IFERROR(__xludf.DUMMYFUNCTION("""COMPUTED_VALUE"""),"+ 2,2 %")</f>
        <v>+ 2,2 %</v>
      </c>
    </row>
    <row r="89">
      <c r="A89" s="2">
        <f>IFERROR(__xludf.DUMMYFUNCTION("""COMPUTED_VALUE"""),43525.0)</f>
        <v>43525</v>
      </c>
      <c r="B89" s="1" t="str">
        <f>IFERROR(__xludf.DUMMYFUNCTION("""COMPUTED_VALUE"""),"2.563 €/m2")</f>
        <v>2.563 €/m2</v>
      </c>
      <c r="C89" s="1" t="str">
        <f>IFERROR(__xludf.DUMMYFUNCTION("""COMPUTED_VALUE"""),"+ 1,6 %")</f>
        <v>+ 1,6 %</v>
      </c>
      <c r="D89" s="1" t="str">
        <f>IFERROR(__xludf.DUMMYFUNCTION("""COMPUTED_VALUE"""),"+ 2,3 %")</f>
        <v>+ 2,3 %</v>
      </c>
      <c r="E89" s="1" t="str">
        <f>IFERROR(__xludf.DUMMYFUNCTION("""COMPUTED_VALUE"""),"+ 3,5 %")</f>
        <v>+ 3,5 %</v>
      </c>
    </row>
    <row r="90">
      <c r="A90" s="2">
        <f>IFERROR(__xludf.DUMMYFUNCTION("""COMPUTED_VALUE"""),43497.0)</f>
        <v>43497</v>
      </c>
      <c r="B90" s="1" t="str">
        <f>IFERROR(__xludf.DUMMYFUNCTION("""COMPUTED_VALUE"""),"2.523 €/m2")</f>
        <v>2.523 €/m2</v>
      </c>
      <c r="C90" s="1" t="str">
        <f>IFERROR(__xludf.DUMMYFUNCTION("""COMPUTED_VALUE"""),"+ 0,1 %")</f>
        <v>+ 0,1 %</v>
      </c>
      <c r="D90" s="1" t="str">
        <f>IFERROR(__xludf.DUMMYFUNCTION("""COMPUTED_VALUE"""),"0,0 %")</f>
        <v>0,0 %</v>
      </c>
      <c r="E90" s="1" t="str">
        <f>IFERROR(__xludf.DUMMYFUNCTION("""COMPUTED_VALUE"""),"+ 1,2 %")</f>
        <v>+ 1,2 %</v>
      </c>
    </row>
    <row r="91">
      <c r="A91" s="2">
        <f>IFERROR(__xludf.DUMMYFUNCTION("""COMPUTED_VALUE"""),43466.0)</f>
        <v>43466</v>
      </c>
      <c r="B91" s="1" t="str">
        <f>IFERROR(__xludf.DUMMYFUNCTION("""COMPUTED_VALUE"""),"2.521 €/m2")</f>
        <v>2.521 €/m2</v>
      </c>
      <c r="C91" s="1" t="str">
        <f>IFERROR(__xludf.DUMMYFUNCTION("""COMPUTED_VALUE"""),"+ 0,6 %")</f>
        <v>+ 0,6 %</v>
      </c>
      <c r="D91" s="1" t="str">
        <f>IFERROR(__xludf.DUMMYFUNCTION("""COMPUTED_VALUE"""),"- 1,5 %")</f>
        <v>- 1,5 %</v>
      </c>
      <c r="E91" s="1" t="str">
        <f>IFERROR(__xludf.DUMMYFUNCTION("""COMPUTED_VALUE"""),"+ 1,7 %")</f>
        <v>+ 1,7 %</v>
      </c>
    </row>
    <row r="92">
      <c r="A92" s="2">
        <f>IFERROR(__xludf.DUMMYFUNCTION("""COMPUTED_VALUE"""),43435.0)</f>
        <v>43435</v>
      </c>
      <c r="B92" s="1" t="str">
        <f>IFERROR(__xludf.DUMMYFUNCTION("""COMPUTED_VALUE"""),"2.506 €/m2")</f>
        <v>2.506 €/m2</v>
      </c>
      <c r="C92" s="1" t="str">
        <f>IFERROR(__xludf.DUMMYFUNCTION("""COMPUTED_VALUE"""),"- 0,6 %")</f>
        <v>- 0,6 %</v>
      </c>
      <c r="D92" s="1" t="str">
        <f>IFERROR(__xludf.DUMMYFUNCTION("""COMPUTED_VALUE"""),"- 3,2 %")</f>
        <v>- 3,2 %</v>
      </c>
      <c r="E92" s="1" t="str">
        <f>IFERROR(__xludf.DUMMYFUNCTION("""COMPUTED_VALUE"""),"+ 2,2 %")</f>
        <v>+ 2,2 %</v>
      </c>
    </row>
    <row r="93">
      <c r="A93" s="2">
        <f>IFERROR(__xludf.DUMMYFUNCTION("""COMPUTED_VALUE"""),43405.0)</f>
        <v>43405</v>
      </c>
      <c r="B93" s="1" t="str">
        <f>IFERROR(__xludf.DUMMYFUNCTION("""COMPUTED_VALUE"""),"2.522 €/m2")</f>
        <v>2.522 €/m2</v>
      </c>
      <c r="C93" s="1" t="str">
        <f>IFERROR(__xludf.DUMMYFUNCTION("""COMPUTED_VALUE"""),"- 1,4 %")</f>
        <v>- 1,4 %</v>
      </c>
      <c r="D93" s="1" t="str">
        <f>IFERROR(__xludf.DUMMYFUNCTION("""COMPUTED_VALUE"""),"- 0,6 %")</f>
        <v>- 0,6 %</v>
      </c>
      <c r="E93" s="1" t="str">
        <f>IFERROR(__xludf.DUMMYFUNCTION("""COMPUTED_VALUE"""),"+ 2,3 %")</f>
        <v>+ 2,3 %</v>
      </c>
    </row>
    <row r="94">
      <c r="A94" s="2">
        <f>IFERROR(__xludf.DUMMYFUNCTION("""COMPUTED_VALUE"""),43374.0)</f>
        <v>43374</v>
      </c>
      <c r="B94" s="1" t="str">
        <f>IFERROR(__xludf.DUMMYFUNCTION("""COMPUTED_VALUE"""),"2.559 €/m2")</f>
        <v>2.559 €/m2</v>
      </c>
      <c r="C94" s="1" t="str">
        <f>IFERROR(__xludf.DUMMYFUNCTION("""COMPUTED_VALUE"""),"- 1,1 %")</f>
        <v>- 1,1 %</v>
      </c>
      <c r="D94" s="1" t="str">
        <f>IFERROR(__xludf.DUMMYFUNCTION("""COMPUTED_VALUE"""),"+ 1,5 %")</f>
        <v>+ 1,5 %</v>
      </c>
      <c r="E94" s="1" t="str">
        <f>IFERROR(__xludf.DUMMYFUNCTION("""COMPUTED_VALUE"""),"+ 5,6 %")</f>
        <v>+ 5,6 %</v>
      </c>
    </row>
    <row r="95">
      <c r="A95" s="2">
        <f>IFERROR(__xludf.DUMMYFUNCTION("""COMPUTED_VALUE"""),43344.0)</f>
        <v>43344</v>
      </c>
      <c r="B95" s="1" t="str">
        <f>IFERROR(__xludf.DUMMYFUNCTION("""COMPUTED_VALUE"""),"2.588 €/m2")</f>
        <v>2.588 €/m2</v>
      </c>
      <c r="C95" s="1" t="str">
        <f>IFERROR(__xludf.DUMMYFUNCTION("""COMPUTED_VALUE"""),"+ 2,0 %")</f>
        <v>+ 2,0 %</v>
      </c>
      <c r="D95" s="1" t="str">
        <f>IFERROR(__xludf.DUMMYFUNCTION("""COMPUTED_VALUE"""),"+ 3,0 %")</f>
        <v>+ 3,0 %</v>
      </c>
      <c r="E95" s="1" t="str">
        <f>IFERROR(__xludf.DUMMYFUNCTION("""COMPUTED_VALUE"""),"+ 8,2 %")</f>
        <v>+ 8,2 %</v>
      </c>
    </row>
    <row r="96">
      <c r="A96" s="2">
        <f>IFERROR(__xludf.DUMMYFUNCTION("""COMPUTED_VALUE"""),43313.0)</f>
        <v>43313</v>
      </c>
      <c r="B96" s="1" t="str">
        <f>IFERROR(__xludf.DUMMYFUNCTION("""COMPUTED_VALUE"""),"2.537 €/m2")</f>
        <v>2.537 €/m2</v>
      </c>
      <c r="C96" s="1" t="str">
        <f>IFERROR(__xludf.DUMMYFUNCTION("""COMPUTED_VALUE"""),"+ 0,6 %")</f>
        <v>+ 0,6 %</v>
      </c>
      <c r="D96" s="1" t="str">
        <f>IFERROR(__xludf.DUMMYFUNCTION("""COMPUTED_VALUE"""),"+ 0,1 %")</f>
        <v>+ 0,1 %</v>
      </c>
      <c r="E96" s="1" t="str">
        <f>IFERROR(__xludf.DUMMYFUNCTION("""COMPUTED_VALUE"""),"+ 7,7 %")</f>
        <v>+ 7,7 %</v>
      </c>
    </row>
    <row r="97">
      <c r="A97" s="2">
        <f>IFERROR(__xludf.DUMMYFUNCTION("""COMPUTED_VALUE"""),43282.0)</f>
        <v>43282</v>
      </c>
      <c r="B97" s="1" t="str">
        <f>IFERROR(__xludf.DUMMYFUNCTION("""COMPUTED_VALUE"""),"2.522 €/m2")</f>
        <v>2.522 €/m2</v>
      </c>
      <c r="C97" s="1" t="str">
        <f>IFERROR(__xludf.DUMMYFUNCTION("""COMPUTED_VALUE"""),"+ 0,3 %")</f>
        <v>+ 0,3 %</v>
      </c>
      <c r="D97" s="1" t="str">
        <f>IFERROR(__xludf.DUMMYFUNCTION("""COMPUTED_VALUE"""),"- 0,1 %")</f>
        <v>- 0,1 %</v>
      </c>
      <c r="E97" s="1" t="str">
        <f>IFERROR(__xludf.DUMMYFUNCTION("""COMPUTED_VALUE"""),"+ 7,5 %")</f>
        <v>+ 7,5 %</v>
      </c>
    </row>
    <row r="98">
      <c r="A98" s="2">
        <f>IFERROR(__xludf.DUMMYFUNCTION("""COMPUTED_VALUE"""),43252.0)</f>
        <v>43252</v>
      </c>
      <c r="B98" s="1" t="str">
        <f>IFERROR(__xludf.DUMMYFUNCTION("""COMPUTED_VALUE"""),"2.513 €/m2")</f>
        <v>2.513 €/m2</v>
      </c>
      <c r="C98" s="1" t="str">
        <f>IFERROR(__xludf.DUMMYFUNCTION("""COMPUTED_VALUE"""),"- 0,8 %")</f>
        <v>- 0,8 %</v>
      </c>
      <c r="D98" s="1" t="str">
        <f>IFERROR(__xludf.DUMMYFUNCTION("""COMPUTED_VALUE"""),"+ 1,5 %")</f>
        <v>+ 1,5 %</v>
      </c>
      <c r="E98" s="1" t="str">
        <f>IFERROR(__xludf.DUMMYFUNCTION("""COMPUTED_VALUE"""),"+ 12,1 %")</f>
        <v>+ 12,1 %</v>
      </c>
    </row>
    <row r="99">
      <c r="A99" s="2">
        <f>IFERROR(__xludf.DUMMYFUNCTION("""COMPUTED_VALUE"""),43221.0)</f>
        <v>43221</v>
      </c>
      <c r="B99" s="1" t="str">
        <f>IFERROR(__xludf.DUMMYFUNCTION("""COMPUTED_VALUE"""),"2.535 €/m2")</f>
        <v>2.535 €/m2</v>
      </c>
      <c r="C99" s="1" t="str">
        <f>IFERROR(__xludf.DUMMYFUNCTION("""COMPUTED_VALUE"""),"+ 0,5 %")</f>
        <v>+ 0,5 %</v>
      </c>
      <c r="D99" s="1" t="str">
        <f>IFERROR(__xludf.DUMMYFUNCTION("""COMPUTED_VALUE"""),"+ 1,6 %")</f>
        <v>+ 1,6 %</v>
      </c>
      <c r="E99" s="1" t="str">
        <f>IFERROR(__xludf.DUMMYFUNCTION("""COMPUTED_VALUE"""),"+ 14,7 %")</f>
        <v>+ 14,7 %</v>
      </c>
    </row>
    <row r="100">
      <c r="A100" s="2">
        <f>IFERROR(__xludf.DUMMYFUNCTION("""COMPUTED_VALUE"""),43191.0)</f>
        <v>43191</v>
      </c>
      <c r="B100" s="1" t="str">
        <f>IFERROR(__xludf.DUMMYFUNCTION("""COMPUTED_VALUE"""),"2.523 €/m2")</f>
        <v>2.523 €/m2</v>
      </c>
      <c r="C100" s="1" t="str">
        <f>IFERROR(__xludf.DUMMYFUNCTION("""COMPUTED_VALUE"""),"+ 1,9 %")</f>
        <v>+ 1,9 %</v>
      </c>
      <c r="D100" s="1" t="str">
        <f>IFERROR(__xludf.DUMMYFUNCTION("""COMPUTED_VALUE"""),"+ 1,7 %")</f>
        <v>+ 1,7 %</v>
      </c>
      <c r="E100" s="1" t="str">
        <f>IFERROR(__xludf.DUMMYFUNCTION("""COMPUTED_VALUE"""),"+ 15,4 %")</f>
        <v>+ 15,4 %</v>
      </c>
    </row>
    <row r="101">
      <c r="A101" s="2">
        <f>IFERROR(__xludf.DUMMYFUNCTION("""COMPUTED_VALUE"""),43160.0)</f>
        <v>43160</v>
      </c>
      <c r="B101" s="1" t="str">
        <f>IFERROR(__xludf.DUMMYFUNCTION("""COMPUTED_VALUE"""),"2.476 €/m2")</f>
        <v>2.476 €/m2</v>
      </c>
      <c r="C101" s="1" t="str">
        <f>IFERROR(__xludf.DUMMYFUNCTION("""COMPUTED_VALUE"""),"- 0,7 %")</f>
        <v>- 0,7 %</v>
      </c>
      <c r="D101" s="1" t="str">
        <f>IFERROR(__xludf.DUMMYFUNCTION("""COMPUTED_VALUE"""),"+ 1,0 %")</f>
        <v>+ 1,0 %</v>
      </c>
      <c r="E101" s="1" t="str">
        <f>IFERROR(__xludf.DUMMYFUNCTION("""COMPUTED_VALUE"""),"+ 13,9 %")</f>
        <v>+ 13,9 %</v>
      </c>
    </row>
    <row r="102">
      <c r="A102" s="2">
        <f>IFERROR(__xludf.DUMMYFUNCTION("""COMPUTED_VALUE"""),43132.0)</f>
        <v>43132</v>
      </c>
      <c r="B102" s="1" t="str">
        <f>IFERROR(__xludf.DUMMYFUNCTION("""COMPUTED_VALUE"""),"2.494 €/m2")</f>
        <v>2.494 €/m2</v>
      </c>
      <c r="C102" s="1" t="str">
        <f>IFERROR(__xludf.DUMMYFUNCTION("""COMPUTED_VALUE"""),"+ 0,6 %")</f>
        <v>+ 0,6 %</v>
      </c>
      <c r="D102" s="1" t="str">
        <f>IFERROR(__xludf.DUMMYFUNCTION("""COMPUTED_VALUE"""),"+ 1,2 %")</f>
        <v>+ 1,2 %</v>
      </c>
      <c r="E102" s="1" t="str">
        <f>IFERROR(__xludf.DUMMYFUNCTION("""COMPUTED_VALUE"""),"+ 15,9 %")</f>
        <v>+ 15,9 %</v>
      </c>
    </row>
    <row r="103">
      <c r="A103" s="2">
        <f>IFERROR(__xludf.DUMMYFUNCTION("""COMPUTED_VALUE"""),43101.0)</f>
        <v>43101</v>
      </c>
      <c r="B103" s="1" t="str">
        <f>IFERROR(__xludf.DUMMYFUNCTION("""COMPUTED_VALUE"""),"2.481 €/m2")</f>
        <v>2.481 €/m2</v>
      </c>
      <c r="C103" s="1" t="str">
        <f>IFERROR(__xludf.DUMMYFUNCTION("""COMPUTED_VALUE"""),"+ 1,2 %")</f>
        <v>+ 1,2 %</v>
      </c>
      <c r="D103" s="1" t="str">
        <f>IFERROR(__xludf.DUMMYFUNCTION("""COMPUTED_VALUE"""),"+ 2,3 %")</f>
        <v>+ 2,3 %</v>
      </c>
      <c r="E103" s="1" t="str">
        <f>IFERROR(__xludf.DUMMYFUNCTION("""COMPUTED_VALUE"""),"+ 15,5 %")</f>
        <v>+ 15,5 %</v>
      </c>
    </row>
    <row r="104">
      <c r="A104" s="2">
        <f>IFERROR(__xludf.DUMMYFUNCTION("""COMPUTED_VALUE"""),43070.0)</f>
        <v>43070</v>
      </c>
      <c r="B104" s="1" t="str">
        <f>IFERROR(__xludf.DUMMYFUNCTION("""COMPUTED_VALUE"""),"2.452 €/m2")</f>
        <v>2.452 €/m2</v>
      </c>
      <c r="C104" s="1" t="str">
        <f>IFERROR(__xludf.DUMMYFUNCTION("""COMPUTED_VALUE"""),"- 0,5 %")</f>
        <v>- 0,5 %</v>
      </c>
      <c r="D104" s="1" t="str">
        <f>IFERROR(__xludf.DUMMYFUNCTION("""COMPUTED_VALUE"""),"+ 2,5 %")</f>
        <v>+ 2,5 %</v>
      </c>
      <c r="E104" s="1" t="str">
        <f>IFERROR(__xludf.DUMMYFUNCTION("""COMPUTED_VALUE"""),"+ 15,6 %")</f>
        <v>+ 15,6 %</v>
      </c>
    </row>
    <row r="105">
      <c r="A105" s="2">
        <f>IFERROR(__xludf.DUMMYFUNCTION("""COMPUTED_VALUE"""),43040.0)</f>
        <v>43040</v>
      </c>
      <c r="B105" s="1" t="str">
        <f>IFERROR(__xludf.DUMMYFUNCTION("""COMPUTED_VALUE"""),"2.465 €/m2")</f>
        <v>2.465 €/m2</v>
      </c>
      <c r="C105" s="1" t="str">
        <f>IFERROR(__xludf.DUMMYFUNCTION("""COMPUTED_VALUE"""),"+ 1,7 %")</f>
        <v>+ 1,7 %</v>
      </c>
      <c r="D105" s="1" t="str">
        <f>IFERROR(__xludf.DUMMYFUNCTION("""COMPUTED_VALUE"""),"+ 4,6 %")</f>
        <v>+ 4,6 %</v>
      </c>
      <c r="E105" s="1" t="str">
        <f>IFERROR(__xludf.DUMMYFUNCTION("""COMPUTED_VALUE"""),"+ 17,0 %")</f>
        <v>+ 17,0 %</v>
      </c>
    </row>
    <row r="106">
      <c r="A106" s="2">
        <f>IFERROR(__xludf.DUMMYFUNCTION("""COMPUTED_VALUE"""),43009.0)</f>
        <v>43009</v>
      </c>
      <c r="B106" s="1" t="str">
        <f>IFERROR(__xludf.DUMMYFUNCTION("""COMPUTED_VALUE"""),"2.424 €/m2")</f>
        <v>2.424 €/m2</v>
      </c>
      <c r="C106" s="1" t="str">
        <f>IFERROR(__xludf.DUMMYFUNCTION("""COMPUTED_VALUE"""),"+ 1,3 %")</f>
        <v>+ 1,3 %</v>
      </c>
      <c r="D106" s="1" t="str">
        <f>IFERROR(__xludf.DUMMYFUNCTION("""COMPUTED_VALUE"""),"+ 3,3 %")</f>
        <v>+ 3,3 %</v>
      </c>
      <c r="E106" s="1" t="str">
        <f>IFERROR(__xludf.DUMMYFUNCTION("""COMPUTED_VALUE"""),"+ 13,0 %")</f>
        <v>+ 13,0 %</v>
      </c>
    </row>
    <row r="107">
      <c r="A107" s="2">
        <f>IFERROR(__xludf.DUMMYFUNCTION("""COMPUTED_VALUE"""),42979.0)</f>
        <v>42979</v>
      </c>
      <c r="B107" s="1" t="str">
        <f>IFERROR(__xludf.DUMMYFUNCTION("""COMPUTED_VALUE"""),"2.392 €/m2")</f>
        <v>2.392 €/m2</v>
      </c>
      <c r="C107" s="1" t="str">
        <f>IFERROR(__xludf.DUMMYFUNCTION("""COMPUTED_VALUE"""),"+ 1,5 %")</f>
        <v>+ 1,5 %</v>
      </c>
      <c r="D107" s="1" t="str">
        <f>IFERROR(__xludf.DUMMYFUNCTION("""COMPUTED_VALUE"""),"+ 6,7 %")</f>
        <v>+ 6,7 %</v>
      </c>
      <c r="E107" s="1" t="str">
        <f>IFERROR(__xludf.DUMMYFUNCTION("""COMPUTED_VALUE"""),"+ 11,4 %")</f>
        <v>+ 11,4 %</v>
      </c>
    </row>
    <row r="108">
      <c r="A108" s="2">
        <f>IFERROR(__xludf.DUMMYFUNCTION("""COMPUTED_VALUE"""),42948.0)</f>
        <v>42948</v>
      </c>
      <c r="B108" s="1" t="str">
        <f>IFERROR(__xludf.DUMMYFUNCTION("""COMPUTED_VALUE"""),"2.356 €/m2")</f>
        <v>2.356 €/m2</v>
      </c>
      <c r="C108" s="1" t="str">
        <f>IFERROR(__xludf.DUMMYFUNCTION("""COMPUTED_VALUE"""),"+ 0,4 %")</f>
        <v>+ 0,4 %</v>
      </c>
      <c r="D108" s="1" t="str">
        <f>IFERROR(__xludf.DUMMYFUNCTION("""COMPUTED_VALUE"""),"+ 6,6 %")</f>
        <v>+ 6,6 %</v>
      </c>
      <c r="E108" s="1" t="str">
        <f>IFERROR(__xludf.DUMMYFUNCTION("""COMPUTED_VALUE"""),"+ 10,1 %")</f>
        <v>+ 10,1 %</v>
      </c>
    </row>
    <row r="109">
      <c r="A109" s="2">
        <f>IFERROR(__xludf.DUMMYFUNCTION("""COMPUTED_VALUE"""),42917.0)</f>
        <v>42917</v>
      </c>
      <c r="B109" s="1" t="str">
        <f>IFERROR(__xludf.DUMMYFUNCTION("""COMPUTED_VALUE"""),"2.347 €/m2")</f>
        <v>2.347 €/m2</v>
      </c>
      <c r="C109" s="1" t="str">
        <f>IFERROR(__xludf.DUMMYFUNCTION("""COMPUTED_VALUE"""),"+ 4,7 %")</f>
        <v>+ 4,7 %</v>
      </c>
      <c r="D109" s="1" t="str">
        <f>IFERROR(__xludf.DUMMYFUNCTION("""COMPUTED_VALUE"""),"+ 7,3 %")</f>
        <v>+ 7,3 %</v>
      </c>
      <c r="E109" s="1" t="str">
        <f>IFERROR(__xludf.DUMMYFUNCTION("""COMPUTED_VALUE"""),"+ 10,0 %")</f>
        <v>+ 10,0 %</v>
      </c>
    </row>
    <row r="110">
      <c r="A110" s="2">
        <f>IFERROR(__xludf.DUMMYFUNCTION("""COMPUTED_VALUE"""),42887.0)</f>
        <v>42887</v>
      </c>
      <c r="B110" s="1" t="str">
        <f>IFERROR(__xludf.DUMMYFUNCTION("""COMPUTED_VALUE"""),"2.242 €/m2")</f>
        <v>2.242 €/m2</v>
      </c>
      <c r="C110" s="1" t="str">
        <f>IFERROR(__xludf.DUMMYFUNCTION("""COMPUTED_VALUE"""),"+ 1,4 %")</f>
        <v>+ 1,4 %</v>
      </c>
      <c r="D110" s="1" t="str">
        <f>IFERROR(__xludf.DUMMYFUNCTION("""COMPUTED_VALUE"""),"+ 3,1 %")</f>
        <v>+ 3,1 %</v>
      </c>
      <c r="E110" s="1" t="str">
        <f>IFERROR(__xludf.DUMMYFUNCTION("""COMPUTED_VALUE"""),"+ 5,2 %")</f>
        <v>+ 5,2 %</v>
      </c>
    </row>
    <row r="111">
      <c r="A111" s="2">
        <f>IFERROR(__xludf.DUMMYFUNCTION("""COMPUTED_VALUE"""),42856.0)</f>
        <v>42856</v>
      </c>
      <c r="B111" s="1" t="str">
        <f>IFERROR(__xludf.DUMMYFUNCTION("""COMPUTED_VALUE"""),"2.211 €/m2")</f>
        <v>2.211 €/m2</v>
      </c>
      <c r="C111" s="1" t="str">
        <f>IFERROR(__xludf.DUMMYFUNCTION("""COMPUTED_VALUE"""),"+ 1,1 %")</f>
        <v>+ 1,1 %</v>
      </c>
      <c r="D111" s="1" t="str">
        <f>IFERROR(__xludf.DUMMYFUNCTION("""COMPUTED_VALUE"""),"+ 2,8 %")</f>
        <v>+ 2,8 %</v>
      </c>
      <c r="E111" s="1" t="str">
        <f>IFERROR(__xludf.DUMMYFUNCTION("""COMPUTED_VALUE"""),"+ 4,1 %")</f>
        <v>+ 4,1 %</v>
      </c>
    </row>
    <row r="112">
      <c r="A112" s="2">
        <f>IFERROR(__xludf.DUMMYFUNCTION("""COMPUTED_VALUE"""),42826.0)</f>
        <v>42826</v>
      </c>
      <c r="B112" s="1" t="str">
        <f>IFERROR(__xludf.DUMMYFUNCTION("""COMPUTED_VALUE"""),"2.187 €/m2")</f>
        <v>2.187 €/m2</v>
      </c>
      <c r="C112" s="1" t="str">
        <f>IFERROR(__xludf.DUMMYFUNCTION("""COMPUTED_VALUE"""),"+ 0,6 %")</f>
        <v>+ 0,6 %</v>
      </c>
      <c r="D112" s="1" t="str">
        <f>IFERROR(__xludf.DUMMYFUNCTION("""COMPUTED_VALUE"""),"+ 1,9 %")</f>
        <v>+ 1,9 %</v>
      </c>
      <c r="E112" s="1" t="str">
        <f>IFERROR(__xludf.DUMMYFUNCTION("""COMPUTED_VALUE"""),"+ 4,7 %")</f>
        <v>+ 4,7 %</v>
      </c>
    </row>
    <row r="113">
      <c r="A113" s="2">
        <f>IFERROR(__xludf.DUMMYFUNCTION("""COMPUTED_VALUE"""),42795.0)</f>
        <v>42795</v>
      </c>
      <c r="B113" s="1" t="str">
        <f>IFERROR(__xludf.DUMMYFUNCTION("""COMPUTED_VALUE"""),"2.174 €/m2")</f>
        <v>2.174 €/m2</v>
      </c>
      <c r="C113" s="1" t="str">
        <f>IFERROR(__xludf.DUMMYFUNCTION("""COMPUTED_VALUE"""),"+ 1,0 %")</f>
        <v>+ 1,0 %</v>
      </c>
      <c r="D113" s="1" t="str">
        <f>IFERROR(__xludf.DUMMYFUNCTION("""COMPUTED_VALUE"""),"+ 2,5 %")</f>
        <v>+ 2,5 %</v>
      </c>
      <c r="E113" s="1" t="str">
        <f>IFERROR(__xludf.DUMMYFUNCTION("""COMPUTED_VALUE"""),"+ 4,1 %")</f>
        <v>+ 4,1 %</v>
      </c>
    </row>
    <row r="114">
      <c r="A114" s="2">
        <f>IFERROR(__xludf.DUMMYFUNCTION("""COMPUTED_VALUE"""),42767.0)</f>
        <v>42767</v>
      </c>
      <c r="B114" s="1" t="str">
        <f>IFERROR(__xludf.DUMMYFUNCTION("""COMPUTED_VALUE"""),"2.151 €/m2")</f>
        <v>2.151 €/m2</v>
      </c>
      <c r="C114" s="1" t="str">
        <f>IFERROR(__xludf.DUMMYFUNCTION("""COMPUTED_VALUE"""),"+ 0,2 %")</f>
        <v>+ 0,2 %</v>
      </c>
      <c r="D114" s="1" t="str">
        <f>IFERROR(__xludf.DUMMYFUNCTION("""COMPUTED_VALUE"""),"+ 2,1 %")</f>
        <v>+ 2,1 %</v>
      </c>
      <c r="E114" s="1" t="str">
        <f>IFERROR(__xludf.DUMMYFUNCTION("""COMPUTED_VALUE"""),"+ 3,2 %")</f>
        <v>+ 3,2 %</v>
      </c>
    </row>
    <row r="115">
      <c r="A115" s="2">
        <f>IFERROR(__xludf.DUMMYFUNCTION("""COMPUTED_VALUE"""),42736.0)</f>
        <v>42736</v>
      </c>
      <c r="B115" s="1" t="str">
        <f>IFERROR(__xludf.DUMMYFUNCTION("""COMPUTED_VALUE"""),"2.147 €/m2")</f>
        <v>2.147 €/m2</v>
      </c>
      <c r="C115" s="1" t="str">
        <f>IFERROR(__xludf.DUMMYFUNCTION("""COMPUTED_VALUE"""),"+ 1,2 %")</f>
        <v>+ 1,2 %</v>
      </c>
      <c r="D115" s="1" t="str">
        <f>IFERROR(__xludf.DUMMYFUNCTION("""COMPUTED_VALUE"""),"+ 0,1 %")</f>
        <v>+ 0,1 %</v>
      </c>
      <c r="E115" s="1" t="str">
        <f>IFERROR(__xludf.DUMMYFUNCTION("""COMPUTED_VALUE"""),"+ 3,6 %")</f>
        <v>+ 3,6 %</v>
      </c>
    </row>
    <row r="116">
      <c r="A116" s="2">
        <f>IFERROR(__xludf.DUMMYFUNCTION("""COMPUTED_VALUE"""),42705.0)</f>
        <v>42705</v>
      </c>
      <c r="B116" s="1" t="str">
        <f>IFERROR(__xludf.DUMMYFUNCTION("""COMPUTED_VALUE"""),"2.121 €/m2")</f>
        <v>2.121 €/m2</v>
      </c>
      <c r="C116" s="1" t="str">
        <f>IFERROR(__xludf.DUMMYFUNCTION("""COMPUTED_VALUE"""),"+ 0,7 %")</f>
        <v>+ 0,7 %</v>
      </c>
      <c r="D116" s="1" t="str">
        <f>IFERROR(__xludf.DUMMYFUNCTION("""COMPUTED_VALUE"""),"- 1,2 %")</f>
        <v>- 1,2 %</v>
      </c>
      <c r="E116" s="1" t="str">
        <f>IFERROR(__xludf.DUMMYFUNCTION("""COMPUTED_VALUE"""),"+ 4,0 %")</f>
        <v>+ 4,0 %</v>
      </c>
    </row>
    <row r="117">
      <c r="A117" s="2">
        <f>IFERROR(__xludf.DUMMYFUNCTION("""COMPUTED_VALUE"""),42675.0)</f>
        <v>42675</v>
      </c>
      <c r="B117" s="1" t="str">
        <f>IFERROR(__xludf.DUMMYFUNCTION("""COMPUTED_VALUE"""),"2.107 €/m2")</f>
        <v>2.107 €/m2</v>
      </c>
      <c r="C117" s="1" t="str">
        <f>IFERROR(__xludf.DUMMYFUNCTION("""COMPUTED_VALUE"""),"- 1,7 %")</f>
        <v>- 1,7 %</v>
      </c>
      <c r="D117" s="1" t="str">
        <f>IFERROR(__xludf.DUMMYFUNCTION("""COMPUTED_VALUE"""),"- 1,6 %")</f>
        <v>- 1,6 %</v>
      </c>
      <c r="E117" s="1" t="str">
        <f>IFERROR(__xludf.DUMMYFUNCTION("""COMPUTED_VALUE"""),"+ 1,7 %")</f>
        <v>+ 1,7 %</v>
      </c>
    </row>
    <row r="118">
      <c r="A118" s="2">
        <f>IFERROR(__xludf.DUMMYFUNCTION("""COMPUTED_VALUE"""),42644.0)</f>
        <v>42644</v>
      </c>
      <c r="B118" s="1" t="str">
        <f>IFERROR(__xludf.DUMMYFUNCTION("""COMPUTED_VALUE"""),"2.144 €/m2")</f>
        <v>2.144 €/m2</v>
      </c>
      <c r="C118" s="1" t="str">
        <f>IFERROR(__xludf.DUMMYFUNCTION("""COMPUTED_VALUE"""),"- 0,1 %")</f>
        <v>- 0,1 %</v>
      </c>
      <c r="D118" s="1" t="str">
        <f>IFERROR(__xludf.DUMMYFUNCTION("""COMPUTED_VALUE"""),"+ 0,5 %")</f>
        <v>+ 0,5 %</v>
      </c>
      <c r="E118" s="1" t="str">
        <f>IFERROR(__xludf.DUMMYFUNCTION("""COMPUTED_VALUE"""),"+ 0,7 %")</f>
        <v>+ 0,7 %</v>
      </c>
    </row>
    <row r="119">
      <c r="A119" s="2">
        <f>IFERROR(__xludf.DUMMYFUNCTION("""COMPUTED_VALUE"""),42614.0)</f>
        <v>42614</v>
      </c>
      <c r="B119" s="1" t="str">
        <f>IFERROR(__xludf.DUMMYFUNCTION("""COMPUTED_VALUE"""),"2.147 €/m2")</f>
        <v>2.147 €/m2</v>
      </c>
      <c r="C119" s="1" t="str">
        <f>IFERROR(__xludf.DUMMYFUNCTION("""COMPUTED_VALUE"""),"+ 0,3 %")</f>
        <v>+ 0,3 %</v>
      </c>
      <c r="D119" s="1" t="str">
        <f>IFERROR(__xludf.DUMMYFUNCTION("""COMPUTED_VALUE"""),"+ 0,7 %")</f>
        <v>+ 0,7 %</v>
      </c>
      <c r="E119" s="1" t="str">
        <f>IFERROR(__xludf.DUMMYFUNCTION("""COMPUTED_VALUE"""),"+ 2,7 %")</f>
        <v>+ 2,7 %</v>
      </c>
    </row>
    <row r="120">
      <c r="A120" s="2">
        <f>IFERROR(__xludf.DUMMYFUNCTION("""COMPUTED_VALUE"""),42583.0)</f>
        <v>42583</v>
      </c>
      <c r="B120" s="1" t="str">
        <f>IFERROR(__xludf.DUMMYFUNCTION("""COMPUTED_VALUE"""),"2.140 €/m2")</f>
        <v>2.140 €/m2</v>
      </c>
      <c r="C120" s="1" t="str">
        <f>IFERROR(__xludf.DUMMYFUNCTION("""COMPUTED_VALUE"""),"+ 0,3 %")</f>
        <v>+ 0,3 %</v>
      </c>
      <c r="D120" s="1" t="str">
        <f>IFERROR(__xludf.DUMMYFUNCTION("""COMPUTED_VALUE"""),"+ 0,8 %")</f>
        <v>+ 0,8 %</v>
      </c>
      <c r="E120" s="1" t="str">
        <f>IFERROR(__xludf.DUMMYFUNCTION("""COMPUTED_VALUE"""),"+ 3,0 %")</f>
        <v>+ 3,0 %</v>
      </c>
    </row>
    <row r="121">
      <c r="A121" s="2">
        <f>IFERROR(__xludf.DUMMYFUNCTION("""COMPUTED_VALUE"""),42552.0)</f>
        <v>42552</v>
      </c>
      <c r="B121" s="1" t="str">
        <f>IFERROR(__xludf.DUMMYFUNCTION("""COMPUTED_VALUE"""),"2.134 €/m2")</f>
        <v>2.134 €/m2</v>
      </c>
      <c r="C121" s="1" t="str">
        <f>IFERROR(__xludf.DUMMYFUNCTION("""COMPUTED_VALUE"""),"+ 0,1 %")</f>
        <v>+ 0,1 %</v>
      </c>
      <c r="D121" s="1" t="str">
        <f>IFERROR(__xludf.DUMMYFUNCTION("""COMPUTED_VALUE"""),"+ 2,2 %")</f>
        <v>+ 2,2 %</v>
      </c>
      <c r="E121" s="1" t="str">
        <f>IFERROR(__xludf.DUMMYFUNCTION("""COMPUTED_VALUE"""),"+ 2,7 %")</f>
        <v>+ 2,7 %</v>
      </c>
    </row>
    <row r="122">
      <c r="A122" s="2">
        <f>IFERROR(__xludf.DUMMYFUNCTION("""COMPUTED_VALUE"""),42522.0)</f>
        <v>42522</v>
      </c>
      <c r="B122" s="1" t="str">
        <f>IFERROR(__xludf.DUMMYFUNCTION("""COMPUTED_VALUE"""),"2.131 €/m2")</f>
        <v>2.131 €/m2</v>
      </c>
      <c r="C122" s="1" t="str">
        <f>IFERROR(__xludf.DUMMYFUNCTION("""COMPUTED_VALUE"""),"+ 0,4 %")</f>
        <v>+ 0,4 %</v>
      </c>
      <c r="D122" s="1" t="str">
        <f>IFERROR(__xludf.DUMMYFUNCTION("""COMPUTED_VALUE"""),"+ 2,1 %")</f>
        <v>+ 2,1 %</v>
      </c>
      <c r="E122" s="1" t="str">
        <f>IFERROR(__xludf.DUMMYFUNCTION("""COMPUTED_VALUE"""),"+ 0,3 %")</f>
        <v>+ 0,3 %</v>
      </c>
    </row>
    <row r="123">
      <c r="A123" s="2">
        <f>IFERROR(__xludf.DUMMYFUNCTION("""COMPUTED_VALUE"""),42491.0)</f>
        <v>42491</v>
      </c>
      <c r="B123" s="1" t="str">
        <f>IFERROR(__xludf.DUMMYFUNCTION("""COMPUTED_VALUE"""),"2.124 €/m2")</f>
        <v>2.124 €/m2</v>
      </c>
      <c r="C123" s="1" t="str">
        <f>IFERROR(__xludf.DUMMYFUNCTION("""COMPUTED_VALUE"""),"+ 1,7 %")</f>
        <v>+ 1,7 %</v>
      </c>
      <c r="D123" s="1" t="str">
        <f>IFERROR(__xludf.DUMMYFUNCTION("""COMPUTED_VALUE"""),"+ 1,9 %")</f>
        <v>+ 1,9 %</v>
      </c>
      <c r="E123" s="1" t="str">
        <f>IFERROR(__xludf.DUMMYFUNCTION("""COMPUTED_VALUE"""),"+ 0,6 %")</f>
        <v>+ 0,6 %</v>
      </c>
    </row>
    <row r="124">
      <c r="A124" s="2">
        <f>IFERROR(__xludf.DUMMYFUNCTION("""COMPUTED_VALUE"""),42461.0)</f>
        <v>42461</v>
      </c>
      <c r="B124" s="1" t="str">
        <f>IFERROR(__xludf.DUMMYFUNCTION("""COMPUTED_VALUE"""),"2.089 €/m2")</f>
        <v>2.089 €/m2</v>
      </c>
      <c r="C124" s="1" t="str">
        <f>IFERROR(__xludf.DUMMYFUNCTION("""COMPUTED_VALUE"""),"0,0 %")</f>
        <v>0,0 %</v>
      </c>
      <c r="D124" s="1" t="str">
        <f>IFERROR(__xludf.DUMMYFUNCTION("""COMPUTED_VALUE"""),"+ 0,8 %")</f>
        <v>+ 0,8 %</v>
      </c>
      <c r="E124" s="1" t="str">
        <f>IFERROR(__xludf.DUMMYFUNCTION("""COMPUTED_VALUE"""),"- 2,3 %")</f>
        <v>- 2,3 %</v>
      </c>
    </row>
    <row r="125">
      <c r="A125" s="2">
        <f>IFERROR(__xludf.DUMMYFUNCTION("""COMPUTED_VALUE"""),42430.0)</f>
        <v>42430</v>
      </c>
      <c r="B125" s="1" t="str">
        <f>IFERROR(__xludf.DUMMYFUNCTION("""COMPUTED_VALUE"""),"2.088 €/m2")</f>
        <v>2.088 €/m2</v>
      </c>
      <c r="C125" s="1" t="str">
        <f>IFERROR(__xludf.DUMMYFUNCTION("""COMPUTED_VALUE"""),"+ 0,1 %")</f>
        <v>+ 0,1 %</v>
      </c>
      <c r="D125" s="1" t="str">
        <f>IFERROR(__xludf.DUMMYFUNCTION("""COMPUTED_VALUE"""),"+ 2,4 %")</f>
        <v>+ 2,4 %</v>
      </c>
      <c r="E125" s="1" t="str">
        <f>IFERROR(__xludf.DUMMYFUNCTION("""COMPUTED_VALUE"""),"- 1,7 %")</f>
        <v>- 1,7 %</v>
      </c>
    </row>
    <row r="126">
      <c r="A126" s="2">
        <f>IFERROR(__xludf.DUMMYFUNCTION("""COMPUTED_VALUE"""),42401.0)</f>
        <v>42401</v>
      </c>
      <c r="B126" s="1" t="str">
        <f>IFERROR(__xludf.DUMMYFUNCTION("""COMPUTED_VALUE"""),"2.085 €/m2")</f>
        <v>2.085 €/m2</v>
      </c>
      <c r="C126" s="1" t="str">
        <f>IFERROR(__xludf.DUMMYFUNCTION("""COMPUTED_VALUE"""),"+ 0,6 %")</f>
        <v>+ 0,6 %</v>
      </c>
      <c r="D126" s="1" t="str">
        <f>IFERROR(__xludf.DUMMYFUNCTION("""COMPUTED_VALUE"""),"+ 0,6 %")</f>
        <v>+ 0,6 %</v>
      </c>
      <c r="E126" s="1" t="str">
        <f>IFERROR(__xludf.DUMMYFUNCTION("""COMPUTED_VALUE"""),"- 1,6 %")</f>
        <v>- 1,6 %</v>
      </c>
    </row>
    <row r="127">
      <c r="A127" s="2">
        <f>IFERROR(__xludf.DUMMYFUNCTION("""COMPUTED_VALUE"""),42370.0)</f>
        <v>42370</v>
      </c>
      <c r="B127" s="1" t="str">
        <f>IFERROR(__xludf.DUMMYFUNCTION("""COMPUTED_VALUE"""),"2.072 €/m2")</f>
        <v>2.072 €/m2</v>
      </c>
      <c r="C127" s="1" t="str">
        <f>IFERROR(__xludf.DUMMYFUNCTION("""COMPUTED_VALUE"""),"+ 1,6 %")</f>
        <v>+ 1,6 %</v>
      </c>
      <c r="D127" s="1" t="str">
        <f>IFERROR(__xludf.DUMMYFUNCTION("""COMPUTED_VALUE"""),"- 2,7 %")</f>
        <v>- 2,7 %</v>
      </c>
      <c r="E127" s="1" t="str">
        <f>IFERROR(__xludf.DUMMYFUNCTION("""COMPUTED_VALUE"""),"- 2,2 %")</f>
        <v>- 2,2 %</v>
      </c>
    </row>
    <row r="128">
      <c r="A128" s="2">
        <f>IFERROR(__xludf.DUMMYFUNCTION("""COMPUTED_VALUE"""),42339.0)</f>
        <v>42339</v>
      </c>
      <c r="B128" s="1" t="str">
        <f>IFERROR(__xludf.DUMMYFUNCTION("""COMPUTED_VALUE"""),"2.040 €/m2")</f>
        <v>2.040 €/m2</v>
      </c>
      <c r="C128" s="1" t="str">
        <f>IFERROR(__xludf.DUMMYFUNCTION("""COMPUTED_VALUE"""),"- 1,6 %")</f>
        <v>- 1,6 %</v>
      </c>
      <c r="D128" s="1" t="str">
        <f>IFERROR(__xludf.DUMMYFUNCTION("""COMPUTED_VALUE"""),"- 2,4 %")</f>
        <v>- 2,4 %</v>
      </c>
      <c r="E128" s="1" t="str">
        <f>IFERROR(__xludf.DUMMYFUNCTION("""COMPUTED_VALUE"""),"- 3,4 %")</f>
        <v>- 3,4 %</v>
      </c>
    </row>
    <row r="129">
      <c r="A129" s="2">
        <f>IFERROR(__xludf.DUMMYFUNCTION("""COMPUTED_VALUE"""),42309.0)</f>
        <v>42309</v>
      </c>
      <c r="B129" s="1" t="str">
        <f>IFERROR(__xludf.DUMMYFUNCTION("""COMPUTED_VALUE"""),"2.073 €/m2")</f>
        <v>2.073 €/m2</v>
      </c>
      <c r="C129" s="1" t="str">
        <f>IFERROR(__xludf.DUMMYFUNCTION("""COMPUTED_VALUE"""),"- 2,7 %")</f>
        <v>- 2,7 %</v>
      </c>
      <c r="D129" s="1" t="str">
        <f>IFERROR(__xludf.DUMMYFUNCTION("""COMPUTED_VALUE"""),"- 0,3 %")</f>
        <v>- 0,3 %</v>
      </c>
      <c r="E129" s="1" t="str">
        <f>IFERROR(__xludf.DUMMYFUNCTION("""COMPUTED_VALUE"""),"- 1,3 %")</f>
        <v>- 1,3 %</v>
      </c>
    </row>
    <row r="130">
      <c r="A130" s="2">
        <f>IFERROR(__xludf.DUMMYFUNCTION("""COMPUTED_VALUE"""),42278.0)</f>
        <v>42278</v>
      </c>
      <c r="B130" s="1" t="str">
        <f>IFERROR(__xludf.DUMMYFUNCTION("""COMPUTED_VALUE"""),"2.129 €/m2")</f>
        <v>2.129 €/m2</v>
      </c>
      <c r="C130" s="1" t="str">
        <f>IFERROR(__xludf.DUMMYFUNCTION("""COMPUTED_VALUE"""),"+ 1,9 %")</f>
        <v>+ 1,9 %</v>
      </c>
      <c r="D130" s="1" t="str">
        <f>IFERROR(__xludf.DUMMYFUNCTION("""COMPUTED_VALUE"""),"+ 2,5 %")</f>
        <v>+ 2,5 %</v>
      </c>
      <c r="E130" s="1" t="str">
        <f>IFERROR(__xludf.DUMMYFUNCTION("""COMPUTED_VALUE"""),"+ 1,5 %")</f>
        <v>+ 1,5 %</v>
      </c>
    </row>
    <row r="131">
      <c r="A131" s="2">
        <f>IFERROR(__xludf.DUMMYFUNCTION("""COMPUTED_VALUE"""),42248.0)</f>
        <v>42248</v>
      </c>
      <c r="B131" s="1" t="str">
        <f>IFERROR(__xludf.DUMMYFUNCTION("""COMPUTED_VALUE"""),"2.091 €/m2")</f>
        <v>2.091 €/m2</v>
      </c>
      <c r="C131" s="1" t="str">
        <f>IFERROR(__xludf.DUMMYFUNCTION("""COMPUTED_VALUE"""),"+ 0,6 %")</f>
        <v>+ 0,6 %</v>
      </c>
      <c r="D131" s="1" t="str">
        <f>IFERROR(__xludf.DUMMYFUNCTION("""COMPUTED_VALUE"""),"- 1,6 %")</f>
        <v>- 1,6 %</v>
      </c>
      <c r="E131" s="1" t="str">
        <f>IFERROR(__xludf.DUMMYFUNCTION("""COMPUTED_VALUE"""),"0,0 %")</f>
        <v>0,0 %</v>
      </c>
    </row>
    <row r="132">
      <c r="A132" s="2">
        <f>IFERROR(__xludf.DUMMYFUNCTION("""COMPUTED_VALUE"""),42217.0)</f>
        <v>42217</v>
      </c>
      <c r="B132" s="1" t="str">
        <f>IFERROR(__xludf.DUMMYFUNCTION("""COMPUTED_VALUE"""),"2.079 €/m2")</f>
        <v>2.079 €/m2</v>
      </c>
      <c r="C132" s="1" t="str">
        <f>IFERROR(__xludf.DUMMYFUNCTION("""COMPUTED_VALUE"""),"+ 0,1 %")</f>
        <v>+ 0,1 %</v>
      </c>
      <c r="D132" s="1" t="str">
        <f>IFERROR(__xludf.DUMMYFUNCTION("""COMPUTED_VALUE"""),"- 1,6 %")</f>
        <v>- 1,6 %</v>
      </c>
      <c r="E132" s="1" t="str">
        <f>IFERROR(__xludf.DUMMYFUNCTION("""COMPUTED_VALUE"""),"- 0,2 %")</f>
        <v>- 0,2 %</v>
      </c>
    </row>
    <row r="133">
      <c r="A133" s="2">
        <f>IFERROR(__xludf.DUMMYFUNCTION("""COMPUTED_VALUE"""),42186.0)</f>
        <v>42186</v>
      </c>
      <c r="B133" s="1" t="str">
        <f>IFERROR(__xludf.DUMMYFUNCTION("""COMPUTED_VALUE"""),"2.077 €/m2")</f>
        <v>2.077 €/m2</v>
      </c>
      <c r="C133" s="1" t="str">
        <f>IFERROR(__xludf.DUMMYFUNCTION("""COMPUTED_VALUE"""),"- 2,3 %")</f>
        <v>- 2,3 %</v>
      </c>
      <c r="D133" s="1" t="str">
        <f>IFERROR(__xludf.DUMMYFUNCTION("""COMPUTED_VALUE"""),"- 2,9 %")</f>
        <v>- 2,9 %</v>
      </c>
      <c r="E133" s="1" t="str">
        <f>IFERROR(__xludf.DUMMYFUNCTION("""COMPUTED_VALUE"""),"- 0,7 %")</f>
        <v>- 0,7 %</v>
      </c>
    </row>
    <row r="134">
      <c r="A134" s="2">
        <f>IFERROR(__xludf.DUMMYFUNCTION("""COMPUTED_VALUE"""),42156.0)</f>
        <v>42156</v>
      </c>
      <c r="B134" s="1" t="str">
        <f>IFERROR(__xludf.DUMMYFUNCTION("""COMPUTED_VALUE"""),"2.125 €/m2")</f>
        <v>2.125 €/m2</v>
      </c>
      <c r="C134" s="1" t="str">
        <f>IFERROR(__xludf.DUMMYFUNCTION("""COMPUTED_VALUE"""),"+ 0,6 %")</f>
        <v>+ 0,6 %</v>
      </c>
      <c r="D134" s="1" t="str">
        <f>IFERROR(__xludf.DUMMYFUNCTION("""COMPUTED_VALUE"""),"0,0 %")</f>
        <v>0,0 %</v>
      </c>
      <c r="E134" s="1" t="str">
        <f>IFERROR(__xludf.DUMMYFUNCTION("""COMPUTED_VALUE"""),"+ 1,1 %")</f>
        <v>+ 1,1 %</v>
      </c>
    </row>
    <row r="135">
      <c r="A135" s="2">
        <f>IFERROR(__xludf.DUMMYFUNCTION("""COMPUTED_VALUE"""),42125.0)</f>
        <v>42125</v>
      </c>
      <c r="B135" s="1" t="str">
        <f>IFERROR(__xludf.DUMMYFUNCTION("""COMPUTED_VALUE"""),"2.112 €/m2")</f>
        <v>2.112 €/m2</v>
      </c>
      <c r="C135" s="1" t="str">
        <f>IFERROR(__xludf.DUMMYFUNCTION("""COMPUTED_VALUE"""),"- 1,3 %")</f>
        <v>- 1,3 %</v>
      </c>
      <c r="D135" s="1" t="str">
        <f>IFERROR(__xludf.DUMMYFUNCTION("""COMPUTED_VALUE"""),"- 0,4 %")</f>
        <v>- 0,4 %</v>
      </c>
      <c r="E135" s="1" t="str">
        <f>IFERROR(__xludf.DUMMYFUNCTION("""COMPUTED_VALUE"""),"+ 0,7 %")</f>
        <v>+ 0,7 %</v>
      </c>
    </row>
    <row r="136">
      <c r="A136" s="2">
        <f>IFERROR(__xludf.DUMMYFUNCTION("""COMPUTED_VALUE"""),42095.0)</f>
        <v>42095</v>
      </c>
      <c r="B136" s="1" t="str">
        <f>IFERROR(__xludf.DUMMYFUNCTION("""COMPUTED_VALUE"""),"2.139 €/m2")</f>
        <v>2.139 €/m2</v>
      </c>
      <c r="C136" s="1" t="str">
        <f>IFERROR(__xludf.DUMMYFUNCTION("""COMPUTED_VALUE"""),"+ 0,7 %")</f>
        <v>+ 0,7 %</v>
      </c>
      <c r="D136" s="1" t="str">
        <f>IFERROR(__xludf.DUMMYFUNCTION("""COMPUTED_VALUE"""),"+ 1,0 %")</f>
        <v>+ 1,0 %</v>
      </c>
      <c r="E136" s="1" t="str">
        <f>IFERROR(__xludf.DUMMYFUNCTION("""COMPUTED_VALUE"""),"+ 2,9 %")</f>
        <v>+ 2,9 %</v>
      </c>
    </row>
    <row r="137">
      <c r="A137" s="2">
        <f>IFERROR(__xludf.DUMMYFUNCTION("""COMPUTED_VALUE"""),42064.0)</f>
        <v>42064</v>
      </c>
      <c r="B137" s="1" t="str">
        <f>IFERROR(__xludf.DUMMYFUNCTION("""COMPUTED_VALUE"""),"2.124 €/m2")</f>
        <v>2.124 €/m2</v>
      </c>
      <c r="C137" s="1" t="str">
        <f>IFERROR(__xludf.DUMMYFUNCTION("""COMPUTED_VALUE"""),"+ 0,2 %")</f>
        <v>+ 0,2 %</v>
      </c>
      <c r="D137" s="1" t="str">
        <f>IFERROR(__xludf.DUMMYFUNCTION("""COMPUTED_VALUE"""),"+ 0,6 %")</f>
        <v>+ 0,6 %</v>
      </c>
      <c r="E137" s="1" t="str">
        <f>IFERROR(__xludf.DUMMYFUNCTION("""COMPUTED_VALUE"""),"+ 0,1 %")</f>
        <v>+ 0,1 %</v>
      </c>
    </row>
    <row r="138">
      <c r="A138" s="2">
        <f>IFERROR(__xludf.DUMMYFUNCTION("""COMPUTED_VALUE"""),42036.0)</f>
        <v>42036</v>
      </c>
      <c r="B138" s="1" t="str">
        <f>IFERROR(__xludf.DUMMYFUNCTION("""COMPUTED_VALUE"""),"2.119 €/m2")</f>
        <v>2.119 €/m2</v>
      </c>
      <c r="C138" s="1" t="str">
        <f>IFERROR(__xludf.DUMMYFUNCTION("""COMPUTED_VALUE"""),"+ 0,1 %")</f>
        <v>+ 0,1 %</v>
      </c>
      <c r="D138" s="1" t="str">
        <f>IFERROR(__xludf.DUMMYFUNCTION("""COMPUTED_VALUE"""),"+ 0,9 %")</f>
        <v>+ 0,9 %</v>
      </c>
      <c r="E138" s="1" t="str">
        <f>IFERROR(__xludf.DUMMYFUNCTION("""COMPUTED_VALUE"""),"- 2,8 %")</f>
        <v>- 2,8 %</v>
      </c>
    </row>
    <row r="139">
      <c r="A139" s="2">
        <f>IFERROR(__xludf.DUMMYFUNCTION("""COMPUTED_VALUE"""),42005.0)</f>
        <v>42005</v>
      </c>
      <c r="B139" s="1" t="str">
        <f>IFERROR(__xludf.DUMMYFUNCTION("""COMPUTED_VALUE"""),"2.118 €/m2")</f>
        <v>2.118 €/m2</v>
      </c>
      <c r="C139" s="1" t="str">
        <f>IFERROR(__xludf.DUMMYFUNCTION("""COMPUTED_VALUE"""),"+ 0,3 %")</f>
        <v>+ 0,3 %</v>
      </c>
      <c r="D139" s="1" t="str">
        <f>IFERROR(__xludf.DUMMYFUNCTION("""COMPUTED_VALUE"""),"+ 1,0 %")</f>
        <v>+ 1,0 %</v>
      </c>
      <c r="E139" s="1" t="str">
        <f>IFERROR(__xludf.DUMMYFUNCTION("""COMPUTED_VALUE"""),"- 3,2 %")</f>
        <v>- 3,2 %</v>
      </c>
    </row>
    <row r="140">
      <c r="A140" s="2">
        <f>IFERROR(__xludf.DUMMYFUNCTION("""COMPUTED_VALUE"""),41974.0)</f>
        <v>41974</v>
      </c>
      <c r="B140" s="1" t="str">
        <f>IFERROR(__xludf.DUMMYFUNCTION("""COMPUTED_VALUE"""),"2.112 €/m2")</f>
        <v>2.112 €/m2</v>
      </c>
      <c r="C140" s="1" t="str">
        <f>IFERROR(__xludf.DUMMYFUNCTION("""COMPUTED_VALUE"""),"+ 0,6 %")</f>
        <v>+ 0,6 %</v>
      </c>
      <c r="D140" s="1" t="str">
        <f>IFERROR(__xludf.DUMMYFUNCTION("""COMPUTED_VALUE"""),"+ 1,1 %")</f>
        <v>+ 1,1 %</v>
      </c>
      <c r="E140" s="1" t="str">
        <f>IFERROR(__xludf.DUMMYFUNCTION("""COMPUTED_VALUE"""),"- 2,2 %")</f>
        <v>- 2,2 %</v>
      </c>
    </row>
    <row r="141">
      <c r="A141" s="2">
        <f>IFERROR(__xludf.DUMMYFUNCTION("""COMPUTED_VALUE"""),41944.0)</f>
        <v>41944</v>
      </c>
      <c r="B141" s="1" t="str">
        <f>IFERROR(__xludf.DUMMYFUNCTION("""COMPUTED_VALUE"""),"2.100 €/m2")</f>
        <v>2.100 €/m2</v>
      </c>
      <c r="C141" s="1" t="str">
        <f>IFERROR(__xludf.DUMMYFUNCTION("""COMPUTED_VALUE"""),"+ 0,1 %")</f>
        <v>+ 0,1 %</v>
      </c>
      <c r="D141" s="1" t="str">
        <f>IFERROR(__xludf.DUMMYFUNCTION("""COMPUTED_VALUE"""),"+ 0,9 %")</f>
        <v>+ 0,9 %</v>
      </c>
      <c r="E141" s="1" t="str">
        <f>IFERROR(__xludf.DUMMYFUNCTION("""COMPUTED_VALUE"""),"- 0,6 %")</f>
        <v>- 0,6 %</v>
      </c>
    </row>
    <row r="142">
      <c r="A142" s="2">
        <f>IFERROR(__xludf.DUMMYFUNCTION("""COMPUTED_VALUE"""),41913.0)</f>
        <v>41913</v>
      </c>
      <c r="B142" s="1" t="str">
        <f>IFERROR(__xludf.DUMMYFUNCTION("""COMPUTED_VALUE"""),"2.097 €/m2")</f>
        <v>2.097 €/m2</v>
      </c>
      <c r="C142" s="1" t="str">
        <f>IFERROR(__xludf.DUMMYFUNCTION("""COMPUTED_VALUE"""),"+ 0,4 %")</f>
        <v>+ 0,4 %</v>
      </c>
      <c r="D142" s="1" t="str">
        <f>IFERROR(__xludf.DUMMYFUNCTION("""COMPUTED_VALUE"""),"+ 0,3 %")</f>
        <v>+ 0,3 %</v>
      </c>
      <c r="E142" s="1" t="str">
        <f>IFERROR(__xludf.DUMMYFUNCTION("""COMPUTED_VALUE"""),"- 1,3 %")</f>
        <v>- 1,3 %</v>
      </c>
    </row>
    <row r="143">
      <c r="A143" s="2">
        <f>IFERROR(__xludf.DUMMYFUNCTION("""COMPUTED_VALUE"""),41883.0)</f>
        <v>41883</v>
      </c>
      <c r="B143" s="1" t="str">
        <f>IFERROR(__xludf.DUMMYFUNCTION("""COMPUTED_VALUE"""),"2.090 €/m2")</f>
        <v>2.090 €/m2</v>
      </c>
      <c r="C143" s="1" t="str">
        <f>IFERROR(__xludf.DUMMYFUNCTION("""COMPUTED_VALUE"""),"+ 0,4 %")</f>
        <v>+ 0,4 %</v>
      </c>
      <c r="D143" s="1" t="str">
        <f>IFERROR(__xludf.DUMMYFUNCTION("""COMPUTED_VALUE"""),"- 0,6 %")</f>
        <v>- 0,6 %</v>
      </c>
      <c r="E143" s="1" t="str">
        <f>IFERROR(__xludf.DUMMYFUNCTION("""COMPUTED_VALUE"""),"- 2,3 %")</f>
        <v>- 2,3 %</v>
      </c>
    </row>
    <row r="144">
      <c r="A144" s="2">
        <f>IFERROR(__xludf.DUMMYFUNCTION("""COMPUTED_VALUE"""),41852.0)</f>
        <v>41852</v>
      </c>
      <c r="B144" s="1" t="str">
        <f>IFERROR(__xludf.DUMMYFUNCTION("""COMPUTED_VALUE"""),"2.082 €/m2")</f>
        <v>2.082 €/m2</v>
      </c>
      <c r="C144" s="1" t="str">
        <f>IFERROR(__xludf.DUMMYFUNCTION("""COMPUTED_VALUE"""),"- 0,4 %")</f>
        <v>- 0,4 %</v>
      </c>
      <c r="D144" s="1" t="str">
        <f>IFERROR(__xludf.DUMMYFUNCTION("""COMPUTED_VALUE"""),"- 0,8 %")</f>
        <v>- 0,8 %</v>
      </c>
      <c r="E144" s="1" t="str">
        <f>IFERROR(__xludf.DUMMYFUNCTION("""COMPUTED_VALUE"""),"- 2,6 %")</f>
        <v>- 2,6 %</v>
      </c>
    </row>
    <row r="145">
      <c r="A145" s="2">
        <f>IFERROR(__xludf.DUMMYFUNCTION("""COMPUTED_VALUE"""),41821.0)</f>
        <v>41821</v>
      </c>
      <c r="B145" s="1" t="str">
        <f>IFERROR(__xludf.DUMMYFUNCTION("""COMPUTED_VALUE"""),"2.091 €/m2")</f>
        <v>2.091 €/m2</v>
      </c>
      <c r="C145" s="1" t="str">
        <f>IFERROR(__xludf.DUMMYFUNCTION("""COMPUTED_VALUE"""),"- 0,5 %")</f>
        <v>- 0,5 %</v>
      </c>
      <c r="D145" s="1" t="str">
        <f>IFERROR(__xludf.DUMMYFUNCTION("""COMPUTED_VALUE"""),"+ 0,6 %")</f>
        <v>+ 0,6 %</v>
      </c>
      <c r="E145" s="1" t="str">
        <f>IFERROR(__xludf.DUMMYFUNCTION("""COMPUTED_VALUE"""),"- 2,8 %")</f>
        <v>- 2,8 %</v>
      </c>
    </row>
    <row r="146">
      <c r="A146" s="2">
        <f>IFERROR(__xludf.DUMMYFUNCTION("""COMPUTED_VALUE"""),41791.0)</f>
        <v>41791</v>
      </c>
      <c r="B146" s="1" t="str">
        <f>IFERROR(__xludf.DUMMYFUNCTION("""COMPUTED_VALUE"""),"2.102 €/m2")</f>
        <v>2.102 €/m2</v>
      </c>
      <c r="C146" s="1" t="str">
        <f>IFERROR(__xludf.DUMMYFUNCTION("""COMPUTED_VALUE"""),"+ 0,2 %")</f>
        <v>+ 0,2 %</v>
      </c>
      <c r="D146" s="1" t="str">
        <f>IFERROR(__xludf.DUMMYFUNCTION("""COMPUTED_VALUE"""),"- 1,0 %")</f>
        <v>- 1,0 %</v>
      </c>
      <c r="E146" s="1" t="str">
        <f>IFERROR(__xludf.DUMMYFUNCTION("""COMPUTED_VALUE"""),"- 3,2 %")</f>
        <v>- 3,2 %</v>
      </c>
    </row>
    <row r="147">
      <c r="A147" s="2">
        <f>IFERROR(__xludf.DUMMYFUNCTION("""COMPUTED_VALUE"""),41760.0)</f>
        <v>41760</v>
      </c>
      <c r="B147" s="1" t="str">
        <f>IFERROR(__xludf.DUMMYFUNCTION("""COMPUTED_VALUE"""),"2.098 €/m2")</f>
        <v>2.098 €/m2</v>
      </c>
      <c r="C147" s="1" t="str">
        <f>IFERROR(__xludf.DUMMYFUNCTION("""COMPUTED_VALUE"""),"+ 0,9 %")</f>
        <v>+ 0,9 %</v>
      </c>
      <c r="D147" s="1" t="str">
        <f>IFERROR(__xludf.DUMMYFUNCTION("""COMPUTED_VALUE"""),"- 3,8 %")</f>
        <v>- 3,8 %</v>
      </c>
      <c r="E147" s="1" t="str">
        <f>IFERROR(__xludf.DUMMYFUNCTION("""COMPUTED_VALUE"""),"- 4,3 %")</f>
        <v>- 4,3 %</v>
      </c>
    </row>
    <row r="148">
      <c r="A148" s="2">
        <f>IFERROR(__xludf.DUMMYFUNCTION("""COMPUTED_VALUE"""),41730.0)</f>
        <v>41730</v>
      </c>
      <c r="B148" s="1" t="str">
        <f>IFERROR(__xludf.DUMMYFUNCTION("""COMPUTED_VALUE"""),"2.079 €/m2")</f>
        <v>2.079 €/m2</v>
      </c>
      <c r="C148" s="1" t="str">
        <f>IFERROR(__xludf.DUMMYFUNCTION("""COMPUTED_VALUE"""),"- 2,1 %")</f>
        <v>- 2,1 %</v>
      </c>
      <c r="D148" s="1" t="str">
        <f>IFERROR(__xludf.DUMMYFUNCTION("""COMPUTED_VALUE"""),"- 5,0 %")</f>
        <v>- 5,0 %</v>
      </c>
      <c r="E148" s="1" t="str">
        <f>IFERROR(__xludf.DUMMYFUNCTION("""COMPUTED_VALUE"""),"- 4,0 %")</f>
        <v>- 4,0 %</v>
      </c>
    </row>
    <row r="149">
      <c r="A149" s="2">
        <f>IFERROR(__xludf.DUMMYFUNCTION("""COMPUTED_VALUE"""),41699.0)</f>
        <v>41699</v>
      </c>
      <c r="B149" s="1" t="str">
        <f>IFERROR(__xludf.DUMMYFUNCTION("""COMPUTED_VALUE"""),"2.123 €/m2")</f>
        <v>2.123 €/m2</v>
      </c>
      <c r="C149" s="1" t="str">
        <f>IFERROR(__xludf.DUMMYFUNCTION("""COMPUTED_VALUE"""),"- 2,6 %")</f>
        <v>- 2,6 %</v>
      </c>
      <c r="D149" s="1" t="str">
        <f>IFERROR(__xludf.DUMMYFUNCTION("""COMPUTED_VALUE"""),"- 1,7 %")</f>
        <v>- 1,7 %</v>
      </c>
      <c r="E149" s="1" t="str">
        <f>IFERROR(__xludf.DUMMYFUNCTION("""COMPUTED_VALUE"""),"- 2,8 %")</f>
        <v>- 2,8 %</v>
      </c>
    </row>
    <row r="150">
      <c r="A150" s="2">
        <f>IFERROR(__xludf.DUMMYFUNCTION("""COMPUTED_VALUE"""),41671.0)</f>
        <v>41671</v>
      </c>
      <c r="B150" s="1" t="str">
        <f>IFERROR(__xludf.DUMMYFUNCTION("""COMPUTED_VALUE"""),"2.180 €/m2")</f>
        <v>2.180 €/m2</v>
      </c>
      <c r="C150" s="1" t="str">
        <f>IFERROR(__xludf.DUMMYFUNCTION("""COMPUTED_VALUE"""),"- 0,4 %")</f>
        <v>- 0,4 %</v>
      </c>
      <c r="D150" s="1" t="str">
        <f>IFERROR(__xludf.DUMMYFUNCTION("""COMPUTED_VALUE"""),"+ 3,2 %")</f>
        <v>+ 3,2 %</v>
      </c>
      <c r="E150" s="1" t="str">
        <f>IFERROR(__xludf.DUMMYFUNCTION("""COMPUTED_VALUE"""),"+ 0,5 %")</f>
        <v>+ 0,5 %</v>
      </c>
    </row>
    <row r="151">
      <c r="A151" s="2">
        <f>IFERROR(__xludf.DUMMYFUNCTION("""COMPUTED_VALUE"""),41640.0)</f>
        <v>41640</v>
      </c>
      <c r="B151" s="1" t="str">
        <f>IFERROR(__xludf.DUMMYFUNCTION("""COMPUTED_VALUE"""),"2.188 €/m2")</f>
        <v>2.188 €/m2</v>
      </c>
      <c r="C151" s="1" t="str">
        <f>IFERROR(__xludf.DUMMYFUNCTION("""COMPUTED_VALUE"""),"+ 1,4 %")</f>
        <v>+ 1,4 %</v>
      </c>
      <c r="D151" s="1" t="str">
        <f>IFERROR(__xludf.DUMMYFUNCTION("""COMPUTED_VALUE"""),"+ 2,9 %")</f>
        <v>+ 2,9 %</v>
      </c>
      <c r="E151" s="1" t="str">
        <f>IFERROR(__xludf.DUMMYFUNCTION("""COMPUTED_VALUE"""),"- 0,6 %")</f>
        <v>- 0,6 %</v>
      </c>
    </row>
    <row r="152">
      <c r="A152" s="2">
        <f>IFERROR(__xludf.DUMMYFUNCTION("""COMPUTED_VALUE"""),41609.0)</f>
        <v>41609</v>
      </c>
      <c r="B152" s="1" t="str">
        <f>IFERROR(__xludf.DUMMYFUNCTION("""COMPUTED_VALUE"""),"2.159 €/m2")</f>
        <v>2.159 €/m2</v>
      </c>
      <c r="C152" s="1" t="str">
        <f>IFERROR(__xludf.DUMMYFUNCTION("""COMPUTED_VALUE"""),"+ 2,2 %")</f>
        <v>+ 2,2 %</v>
      </c>
      <c r="D152" s="1" t="str">
        <f>IFERROR(__xludf.DUMMYFUNCTION("""COMPUTED_VALUE"""),"+ 0,9 %")</f>
        <v>+ 0,9 %</v>
      </c>
      <c r="E152" s="1" t="str">
        <f>IFERROR(__xludf.DUMMYFUNCTION("""COMPUTED_VALUE"""),"- 2,8 %")</f>
        <v>- 2,8 %</v>
      </c>
    </row>
    <row r="153">
      <c r="A153" s="2">
        <f>IFERROR(__xludf.DUMMYFUNCTION("""COMPUTED_VALUE"""),41579.0)</f>
        <v>41579</v>
      </c>
      <c r="B153" s="1" t="str">
        <f>IFERROR(__xludf.DUMMYFUNCTION("""COMPUTED_VALUE"""),"2.112 €/m2")</f>
        <v>2.112 €/m2</v>
      </c>
      <c r="C153" s="1" t="str">
        <f>IFERROR(__xludf.DUMMYFUNCTION("""COMPUTED_VALUE"""),"- 0,7 %")</f>
        <v>- 0,7 %</v>
      </c>
      <c r="D153" s="1" t="str">
        <f>IFERROR(__xludf.DUMMYFUNCTION("""COMPUTED_VALUE"""),"- 1,2 %")</f>
        <v>- 1,2 %</v>
      </c>
      <c r="E153" s="1" t="str">
        <f>IFERROR(__xludf.DUMMYFUNCTION("""COMPUTED_VALUE"""),"- 6,5 %")</f>
        <v>- 6,5 %</v>
      </c>
    </row>
    <row r="154">
      <c r="A154" s="2">
        <f>IFERROR(__xludf.DUMMYFUNCTION("""COMPUTED_VALUE"""),41548.0)</f>
        <v>41548</v>
      </c>
      <c r="B154" s="1" t="str">
        <f>IFERROR(__xludf.DUMMYFUNCTION("""COMPUTED_VALUE"""),"2.126 €/m2")</f>
        <v>2.126 €/m2</v>
      </c>
      <c r="C154" s="1" t="str">
        <f>IFERROR(__xludf.DUMMYFUNCTION("""COMPUTED_VALUE"""),"- 0,6 %")</f>
        <v>- 0,6 %</v>
      </c>
      <c r="D154" s="1" t="str">
        <f>IFERROR(__xludf.DUMMYFUNCTION("""COMPUTED_VALUE"""),"- 1,1 %")</f>
        <v>- 1,1 %</v>
      </c>
      <c r="E154" s="1" t="str">
        <f>IFERROR(__xludf.DUMMYFUNCTION("""COMPUTED_VALUE"""),"- 8,3 %")</f>
        <v>- 8,3 %</v>
      </c>
    </row>
    <row r="155">
      <c r="A155" s="2">
        <f>IFERROR(__xludf.DUMMYFUNCTION("""COMPUTED_VALUE"""),41518.0)</f>
        <v>41518</v>
      </c>
      <c r="B155" s="1" t="str">
        <f>IFERROR(__xludf.DUMMYFUNCTION("""COMPUTED_VALUE"""),"2.140 €/m2")</f>
        <v>2.140 €/m2</v>
      </c>
      <c r="C155" s="1" t="str">
        <f>IFERROR(__xludf.DUMMYFUNCTION("""COMPUTED_VALUE"""),"+ 0,2 %")</f>
        <v>+ 0,2 %</v>
      </c>
      <c r="D155" s="1" t="str">
        <f>IFERROR(__xludf.DUMMYFUNCTION("""COMPUTED_VALUE"""),"- 1,5 %")</f>
        <v>- 1,5 %</v>
      </c>
      <c r="E155" s="1" t="str">
        <f>IFERROR(__xludf.DUMMYFUNCTION("""COMPUTED_VALUE"""),"- 10,4 %")</f>
        <v>- 10,4 %</v>
      </c>
    </row>
    <row r="156">
      <c r="A156" s="2">
        <f>IFERROR(__xludf.DUMMYFUNCTION("""COMPUTED_VALUE"""),41487.0)</f>
        <v>41487</v>
      </c>
      <c r="B156" s="1" t="str">
        <f>IFERROR(__xludf.DUMMYFUNCTION("""COMPUTED_VALUE"""),"2.136 €/m2")</f>
        <v>2.136 €/m2</v>
      </c>
      <c r="C156" s="1" t="str">
        <f>IFERROR(__xludf.DUMMYFUNCTION("""COMPUTED_VALUE"""),"- 0,7 %")</f>
        <v>- 0,7 %</v>
      </c>
      <c r="D156" s="1" t="str">
        <f>IFERROR(__xludf.DUMMYFUNCTION("""COMPUTED_VALUE"""),"- 2,5 %")</f>
        <v>- 2,5 %</v>
      </c>
      <c r="E156" s="1" t="str">
        <f>IFERROR(__xludf.DUMMYFUNCTION("""COMPUTED_VALUE"""),"- 11,3 %")</f>
        <v>- 11,3 %</v>
      </c>
    </row>
    <row r="157">
      <c r="A157" s="2">
        <f>IFERROR(__xludf.DUMMYFUNCTION("""COMPUTED_VALUE"""),41456.0)</f>
        <v>41456</v>
      </c>
      <c r="B157" s="1" t="str">
        <f>IFERROR(__xludf.DUMMYFUNCTION("""COMPUTED_VALUE"""),"2.151 €/m2")</f>
        <v>2.151 €/m2</v>
      </c>
      <c r="C157" s="1" t="str">
        <f>IFERROR(__xludf.DUMMYFUNCTION("""COMPUTED_VALUE"""),"- 1,0 %")</f>
        <v>- 1,0 %</v>
      </c>
      <c r="D157" s="1" t="str">
        <f>IFERROR(__xludf.DUMMYFUNCTION("""COMPUTED_VALUE"""),"- 0,7 %")</f>
        <v>- 0,7 %</v>
      </c>
      <c r="E157" s="1" t="str">
        <f>IFERROR(__xludf.DUMMYFUNCTION("""COMPUTED_VALUE"""),"- 10,8 %")</f>
        <v>- 10,8 %</v>
      </c>
    </row>
    <row r="158">
      <c r="A158" s="2">
        <f>IFERROR(__xludf.DUMMYFUNCTION("""COMPUTED_VALUE"""),41426.0)</f>
        <v>41426</v>
      </c>
      <c r="B158" s="1" t="str">
        <f>IFERROR(__xludf.DUMMYFUNCTION("""COMPUTED_VALUE"""),"2.173 €/m2")</f>
        <v>2.173 €/m2</v>
      </c>
      <c r="C158" s="1" t="str">
        <f>IFERROR(__xludf.DUMMYFUNCTION("""COMPUTED_VALUE"""),"- 0,9 %")</f>
        <v>- 0,9 %</v>
      </c>
      <c r="D158" s="1" t="str">
        <f>IFERROR(__xludf.DUMMYFUNCTION("""COMPUTED_VALUE"""),"- 0,6 %")</f>
        <v>- 0,6 %</v>
      </c>
      <c r="E158" s="1" t="str">
        <f>IFERROR(__xludf.DUMMYFUNCTION("""COMPUTED_VALUE"""),"- 13,3 %")</f>
        <v>- 13,3 %</v>
      </c>
    </row>
    <row r="159">
      <c r="A159" s="2">
        <f>IFERROR(__xludf.DUMMYFUNCTION("""COMPUTED_VALUE"""),41395.0)</f>
        <v>41395</v>
      </c>
      <c r="B159" s="1" t="str">
        <f>IFERROR(__xludf.DUMMYFUNCTION("""COMPUTED_VALUE"""),"2.192 €/m2")</f>
        <v>2.192 €/m2</v>
      </c>
      <c r="C159" s="1" t="str">
        <f>IFERROR(__xludf.DUMMYFUNCTION("""COMPUTED_VALUE"""),"+ 1,2 %")</f>
        <v>+ 1,2 %</v>
      </c>
      <c r="D159" s="1" t="str">
        <f>IFERROR(__xludf.DUMMYFUNCTION("""COMPUTED_VALUE"""),"+ 1,1 %")</f>
        <v>+ 1,1 %</v>
      </c>
      <c r="E159" s="1" t="str">
        <f>IFERROR(__xludf.DUMMYFUNCTION("""COMPUTED_VALUE"""),"- 12,6 %")</f>
        <v>- 12,6 %</v>
      </c>
    </row>
    <row r="160">
      <c r="A160" s="2">
        <f>IFERROR(__xludf.DUMMYFUNCTION("""COMPUTED_VALUE"""),41365.0)</f>
        <v>41365</v>
      </c>
      <c r="B160" s="1" t="str">
        <f>IFERROR(__xludf.DUMMYFUNCTION("""COMPUTED_VALUE"""),"2.166 €/m2")</f>
        <v>2.166 €/m2</v>
      </c>
      <c r="C160" s="1" t="str">
        <f>IFERROR(__xludf.DUMMYFUNCTION("""COMPUTED_VALUE"""),"- 0,8 %")</f>
        <v>- 0,8 %</v>
      </c>
      <c r="D160" s="1" t="str">
        <f>IFERROR(__xludf.DUMMYFUNCTION("""COMPUTED_VALUE"""),"- 1,6 %")</f>
        <v>- 1,6 %</v>
      </c>
      <c r="E160" s="1" t="str">
        <f>IFERROR(__xludf.DUMMYFUNCTION("""COMPUTED_VALUE"""),"- 13,5 %")</f>
        <v>- 13,5 %</v>
      </c>
    </row>
    <row r="161">
      <c r="A161" s="2">
        <f>IFERROR(__xludf.DUMMYFUNCTION("""COMPUTED_VALUE"""),41334.0)</f>
        <v>41334</v>
      </c>
      <c r="B161" s="1" t="str">
        <f>IFERROR(__xludf.DUMMYFUNCTION("""COMPUTED_VALUE"""),"2.185 €/m2")</f>
        <v>2.185 €/m2</v>
      </c>
      <c r="C161" s="1" t="str">
        <f>IFERROR(__xludf.DUMMYFUNCTION("""COMPUTED_VALUE"""),"+ 0,7 %")</f>
        <v>+ 0,7 %</v>
      </c>
      <c r="D161" s="1" t="str">
        <f>IFERROR(__xludf.DUMMYFUNCTION("""COMPUTED_VALUE"""),"- 1,6 %")</f>
        <v>- 1,6 %</v>
      </c>
      <c r="E161" s="1" t="str">
        <f>IFERROR(__xludf.DUMMYFUNCTION("""COMPUTED_VALUE"""),"- 14,6 %")</f>
        <v>- 14,6 %</v>
      </c>
    </row>
    <row r="162">
      <c r="A162" s="2">
        <f>IFERROR(__xludf.DUMMYFUNCTION("""COMPUTED_VALUE"""),41306.0)</f>
        <v>41306</v>
      </c>
      <c r="B162" s="1" t="str">
        <f>IFERROR(__xludf.DUMMYFUNCTION("""COMPUTED_VALUE"""),"2.169 €/m2")</f>
        <v>2.169 €/m2</v>
      </c>
      <c r="C162" s="1" t="str">
        <f>IFERROR(__xludf.DUMMYFUNCTION("""COMPUTED_VALUE"""),"- 1,6 %")</f>
        <v>- 1,6 %</v>
      </c>
      <c r="D162" s="1" t="str">
        <f>IFERROR(__xludf.DUMMYFUNCTION("""COMPUTED_VALUE"""),"- 4,0 %")</f>
        <v>- 4,0 %</v>
      </c>
      <c r="E162" s="1" t="str">
        <f>IFERROR(__xludf.DUMMYFUNCTION("""COMPUTED_VALUE"""),"- 16,2 %")</f>
        <v>- 16,2 %</v>
      </c>
    </row>
    <row r="163">
      <c r="A163" s="2">
        <f>IFERROR(__xludf.DUMMYFUNCTION("""COMPUTED_VALUE"""),41275.0)</f>
        <v>41275</v>
      </c>
      <c r="B163" s="1" t="str">
        <f>IFERROR(__xludf.DUMMYFUNCTION("""COMPUTED_VALUE"""),"2.203 €/m2")</f>
        <v>2.203 €/m2</v>
      </c>
      <c r="C163" s="1" t="str">
        <f>IFERROR(__xludf.DUMMYFUNCTION("""COMPUTED_VALUE"""),"- 0,8 %")</f>
        <v>- 0,8 %</v>
      </c>
      <c r="D163" s="1" t="str">
        <f>IFERROR(__xludf.DUMMYFUNCTION("""COMPUTED_VALUE"""),"- 5,0 %")</f>
        <v>- 5,0 %</v>
      </c>
      <c r="E163" s="1" t="str">
        <f>IFERROR(__xludf.DUMMYFUNCTION("""COMPUTED_VALUE"""),"- 15,4 %")</f>
        <v>- 15,4 %</v>
      </c>
    </row>
    <row r="164">
      <c r="A164" s="2">
        <f>IFERROR(__xludf.DUMMYFUNCTION("""COMPUTED_VALUE"""),41244.0)</f>
        <v>41244</v>
      </c>
      <c r="B164" s="1" t="str">
        <f>IFERROR(__xludf.DUMMYFUNCTION("""COMPUTED_VALUE"""),"2.221 €/m2")</f>
        <v>2.221 €/m2</v>
      </c>
      <c r="C164" s="1" t="str">
        <f>IFERROR(__xludf.DUMMYFUNCTION("""COMPUTED_VALUE"""),"- 1,6 %")</f>
        <v>- 1,6 %</v>
      </c>
      <c r="D164" s="1" t="str">
        <f>IFERROR(__xludf.DUMMYFUNCTION("""COMPUTED_VALUE"""),"- 7,0 %")</f>
        <v>- 7,0 %</v>
      </c>
      <c r="E164" s="1" t="str">
        <f>IFERROR(__xludf.DUMMYFUNCTION("""COMPUTED_VALUE"""),"- 14,6 %")</f>
        <v>- 14,6 %</v>
      </c>
    </row>
    <row r="165">
      <c r="A165" s="2">
        <f>IFERROR(__xludf.DUMMYFUNCTION("""COMPUTED_VALUE"""),41214.0)</f>
        <v>41214</v>
      </c>
      <c r="B165" s="1" t="str">
        <f>IFERROR(__xludf.DUMMYFUNCTION("""COMPUTED_VALUE"""),"2.258 €/m2")</f>
        <v>2.258 €/m2</v>
      </c>
      <c r="C165" s="1" t="str">
        <f>IFERROR(__xludf.DUMMYFUNCTION("""COMPUTED_VALUE"""),"- 2,6 %")</f>
        <v>- 2,6 %</v>
      </c>
      <c r="D165" s="1" t="str">
        <f>IFERROR(__xludf.DUMMYFUNCTION("""COMPUTED_VALUE"""),"- 6,3 %")</f>
        <v>- 6,3 %</v>
      </c>
      <c r="E165" s="1" t="str">
        <f>IFERROR(__xludf.DUMMYFUNCTION("""COMPUTED_VALUE"""),"- 13,9 %")</f>
        <v>- 13,9 %</v>
      </c>
    </row>
    <row r="166">
      <c r="A166" s="2">
        <f>IFERROR(__xludf.DUMMYFUNCTION("""COMPUTED_VALUE"""),41183.0)</f>
        <v>41183</v>
      </c>
      <c r="B166" s="1" t="str">
        <f>IFERROR(__xludf.DUMMYFUNCTION("""COMPUTED_VALUE"""),"2.319 €/m2")</f>
        <v>2.319 €/m2</v>
      </c>
      <c r="C166" s="1" t="str">
        <f>IFERROR(__xludf.DUMMYFUNCTION("""COMPUTED_VALUE"""),"- 2,9 %")</f>
        <v>- 2,9 %</v>
      </c>
      <c r="D166" s="1" t="str">
        <f>IFERROR(__xludf.DUMMYFUNCTION("""COMPUTED_VALUE"""),"- 3,9 %")</f>
        <v>- 3,9 %</v>
      </c>
      <c r="E166" s="1" t="str">
        <f>IFERROR(__xludf.DUMMYFUNCTION("""COMPUTED_VALUE"""),"- 13,1 %")</f>
        <v>- 13,1 %</v>
      </c>
    </row>
    <row r="167">
      <c r="A167" s="2">
        <f>IFERROR(__xludf.DUMMYFUNCTION("""COMPUTED_VALUE"""),41153.0)</f>
        <v>41153</v>
      </c>
      <c r="B167" s="1" t="str">
        <f>IFERROR(__xludf.DUMMYFUNCTION("""COMPUTED_VALUE"""),"2.388 €/m2")</f>
        <v>2.388 €/m2</v>
      </c>
      <c r="C167" s="1" t="str">
        <f>IFERROR(__xludf.DUMMYFUNCTION("""COMPUTED_VALUE"""),"- 0,9 %")</f>
        <v>- 0,9 %</v>
      </c>
      <c r="D167" s="1" t="str">
        <f>IFERROR(__xludf.DUMMYFUNCTION("""COMPUTED_VALUE"""),"- 4,7 %")</f>
        <v>- 4,7 %</v>
      </c>
      <c r="E167" s="1" t="str">
        <f>IFERROR(__xludf.DUMMYFUNCTION("""COMPUTED_VALUE"""),"- 10,7 %")</f>
        <v>- 10,7 %</v>
      </c>
    </row>
    <row r="168">
      <c r="A168" s="2">
        <f>IFERROR(__xludf.DUMMYFUNCTION("""COMPUTED_VALUE"""),41122.0)</f>
        <v>41122</v>
      </c>
      <c r="B168" s="1" t="str">
        <f>IFERROR(__xludf.DUMMYFUNCTION("""COMPUTED_VALUE"""),"2.410 €/m2")</f>
        <v>2.410 €/m2</v>
      </c>
      <c r="C168" s="1" t="str">
        <f>IFERROR(__xludf.DUMMYFUNCTION("""COMPUTED_VALUE"""),"- 0,1 %")</f>
        <v>- 0,1 %</v>
      </c>
      <c r="D168" s="1" t="str">
        <f>IFERROR(__xludf.DUMMYFUNCTION("""COMPUTED_VALUE"""),"- 3,9 %")</f>
        <v>- 3,9 %</v>
      </c>
      <c r="E168" s="1" t="str">
        <f>IFERROR(__xludf.DUMMYFUNCTION("""COMPUTED_VALUE"""),"- 10,5 %")</f>
        <v>- 10,5 %</v>
      </c>
    </row>
    <row r="169">
      <c r="A169" s="2">
        <f>IFERROR(__xludf.DUMMYFUNCTION("""COMPUTED_VALUE"""),41091.0)</f>
        <v>41091</v>
      </c>
      <c r="B169" s="1" t="str">
        <f>IFERROR(__xludf.DUMMYFUNCTION("""COMPUTED_VALUE"""),"2.412 €/m2")</f>
        <v>2.412 €/m2</v>
      </c>
      <c r="C169" s="1" t="str">
        <f>IFERROR(__xludf.DUMMYFUNCTION("""COMPUTED_VALUE"""),"- 3,7 %")</f>
        <v>- 3,7 %</v>
      </c>
      <c r="D169" s="1" t="str">
        <f>IFERROR(__xludf.DUMMYFUNCTION("""COMPUTED_VALUE"""),"- 3,7 %")</f>
        <v>- 3,7 %</v>
      </c>
      <c r="E169" s="1" t="str">
        <f>IFERROR(__xludf.DUMMYFUNCTION("""COMPUTED_VALUE"""),"- 11,6 %")</f>
        <v>- 11,6 %</v>
      </c>
    </row>
    <row r="170">
      <c r="A170" s="2">
        <f>IFERROR(__xludf.DUMMYFUNCTION("""COMPUTED_VALUE"""),41061.0)</f>
        <v>41061</v>
      </c>
      <c r="B170" s="1" t="str">
        <f>IFERROR(__xludf.DUMMYFUNCTION("""COMPUTED_VALUE"""),"2.506 €/m2")</f>
        <v>2.506 €/m2</v>
      </c>
      <c r="C170" s="1" t="str">
        <f>IFERROR(__xludf.DUMMYFUNCTION("""COMPUTED_VALUE"""),"0,0 %")</f>
        <v>0,0 %</v>
      </c>
      <c r="D170" s="1" t="str">
        <f>IFERROR(__xludf.DUMMYFUNCTION("""COMPUTED_VALUE"""),"- 2,1 %")</f>
        <v>- 2,1 %</v>
      </c>
      <c r="E170" s="1" t="str">
        <f>IFERROR(__xludf.DUMMYFUNCTION("""COMPUTED_VALUE"""),"- 9,3 %")</f>
        <v>- 9,3 %</v>
      </c>
    </row>
    <row r="171">
      <c r="A171" s="2">
        <f>IFERROR(__xludf.DUMMYFUNCTION("""COMPUTED_VALUE"""),41030.0)</f>
        <v>41030</v>
      </c>
      <c r="B171" s="1" t="str">
        <f>IFERROR(__xludf.DUMMYFUNCTION("""COMPUTED_VALUE"""),"2.507 €/m2")</f>
        <v>2.507 €/m2</v>
      </c>
      <c r="C171" s="1" t="str">
        <f>IFERROR(__xludf.DUMMYFUNCTION("""COMPUTED_VALUE"""),"+ 0,1 %")</f>
        <v>+ 0,1 %</v>
      </c>
      <c r="D171" s="1" t="str">
        <f>IFERROR(__xludf.DUMMYFUNCTION("""COMPUTED_VALUE"""),"- 3,1 %")</f>
        <v>- 3,1 %</v>
      </c>
      <c r="E171" s="1" t="str">
        <f>IFERROR(__xludf.DUMMYFUNCTION("""COMPUTED_VALUE"""),"- 9,7 %")</f>
        <v>- 9,7 %</v>
      </c>
    </row>
    <row r="172">
      <c r="A172" s="2">
        <f>IFERROR(__xludf.DUMMYFUNCTION("""COMPUTED_VALUE"""),41000.0)</f>
        <v>41000</v>
      </c>
      <c r="B172" s="1" t="str">
        <f>IFERROR(__xludf.DUMMYFUNCTION("""COMPUTED_VALUE"""),"2.505 €/m2")</f>
        <v>2.505 €/m2</v>
      </c>
      <c r="C172" s="1" t="str">
        <f>IFERROR(__xludf.DUMMYFUNCTION("""COMPUTED_VALUE"""),"- 2,1 %")</f>
        <v>- 2,1 %</v>
      </c>
      <c r="D172" s="1" t="str">
        <f>IFERROR(__xludf.DUMMYFUNCTION("""COMPUTED_VALUE"""),"- 3,8 %")</f>
        <v>- 3,8 %</v>
      </c>
      <c r="E172" s="1" t="str">
        <f>IFERROR(__xludf.DUMMYFUNCTION("""COMPUTED_VALUE"""),"- 11,0 %")</f>
        <v>- 11,0 %</v>
      </c>
    </row>
    <row r="173">
      <c r="A173" s="2">
        <f>IFERROR(__xludf.DUMMYFUNCTION("""COMPUTED_VALUE"""),40969.0)</f>
        <v>40969</v>
      </c>
      <c r="B173" s="1" t="str">
        <f>IFERROR(__xludf.DUMMYFUNCTION("""COMPUTED_VALUE"""),"2.560 €/m2")</f>
        <v>2.560 €/m2</v>
      </c>
      <c r="C173" s="1" t="str">
        <f>IFERROR(__xludf.DUMMYFUNCTION("""COMPUTED_VALUE"""),"- 1,0 %")</f>
        <v>- 1,0 %</v>
      </c>
      <c r="D173" s="1" t="str">
        <f>IFERROR(__xludf.DUMMYFUNCTION("""COMPUTED_VALUE"""),"- 1,6 %")</f>
        <v>- 1,6 %</v>
      </c>
      <c r="E173" s="1" t="str">
        <f>IFERROR(__xludf.DUMMYFUNCTION("""COMPUTED_VALUE"""),"- 9,1 %")</f>
        <v>- 9,1 %</v>
      </c>
    </row>
    <row r="174">
      <c r="A174" s="2">
        <f>IFERROR(__xludf.DUMMYFUNCTION("""COMPUTED_VALUE"""),40940.0)</f>
        <v>40940</v>
      </c>
      <c r="B174" s="1" t="str">
        <f>IFERROR(__xludf.DUMMYFUNCTION("""COMPUTED_VALUE"""),"2.587 €/m2")</f>
        <v>2.587 €/m2</v>
      </c>
      <c r="C174" s="1" t="str">
        <f>IFERROR(__xludf.DUMMYFUNCTION("""COMPUTED_VALUE"""),"- 0,7 %")</f>
        <v>- 0,7 %</v>
      </c>
      <c r="D174" s="1" t="str">
        <f>IFERROR(__xludf.DUMMYFUNCTION("""COMPUTED_VALUE"""),"- 1,4 %")</f>
        <v>- 1,4 %</v>
      </c>
      <c r="E174" s="1" t="str">
        <f>IFERROR(__xludf.DUMMYFUNCTION("""COMPUTED_VALUE"""),"- 9,2 %")</f>
        <v>- 9,2 %</v>
      </c>
    </row>
    <row r="175">
      <c r="A175" s="2">
        <f>IFERROR(__xludf.DUMMYFUNCTION("""COMPUTED_VALUE"""),40909.0)</f>
        <v>40909</v>
      </c>
      <c r="B175" s="1" t="str">
        <f>IFERROR(__xludf.DUMMYFUNCTION("""COMPUTED_VALUE"""),"2.605 €/m2")</f>
        <v>2.605 €/m2</v>
      </c>
      <c r="C175" s="1" t="str">
        <f>IFERROR(__xludf.DUMMYFUNCTION("""COMPUTED_VALUE"""),"+ 0,2 %")</f>
        <v>+ 0,2 %</v>
      </c>
      <c r="D175" s="1" t="str">
        <f>IFERROR(__xludf.DUMMYFUNCTION("""COMPUTED_VALUE"""),"- 2,4 %")</f>
        <v>- 2,4 %</v>
      </c>
      <c r="E175" s="1" t="str">
        <f>IFERROR(__xludf.DUMMYFUNCTION("""COMPUTED_VALUE"""),"- 9,3 %")</f>
        <v>- 9,3 %</v>
      </c>
    </row>
    <row r="176">
      <c r="A176" s="2">
        <f>IFERROR(__xludf.DUMMYFUNCTION("""COMPUTED_VALUE"""),40878.0)</f>
        <v>40878</v>
      </c>
      <c r="B176" s="1" t="str">
        <f>IFERROR(__xludf.DUMMYFUNCTION("""COMPUTED_VALUE"""),"2.600 €/m2")</f>
        <v>2.600 €/m2</v>
      </c>
      <c r="C176" s="1" t="str">
        <f>IFERROR(__xludf.DUMMYFUNCTION("""COMPUTED_VALUE"""),"- 0,9 %")</f>
        <v>- 0,9 %</v>
      </c>
      <c r="D176" s="1" t="str">
        <f>IFERROR(__xludf.DUMMYFUNCTION("""COMPUTED_VALUE"""),"- 2,8 %")</f>
        <v>- 2,8 %</v>
      </c>
      <c r="E176" s="1" t="str">
        <f>IFERROR(__xludf.DUMMYFUNCTION("""COMPUTED_VALUE"""),"- 10,0 %")</f>
        <v>- 10,0 %</v>
      </c>
    </row>
    <row r="177">
      <c r="A177" s="2">
        <f>IFERROR(__xludf.DUMMYFUNCTION("""COMPUTED_VALUE"""),40848.0)</f>
        <v>40848</v>
      </c>
      <c r="B177" s="1" t="str">
        <f>IFERROR(__xludf.DUMMYFUNCTION("""COMPUTED_VALUE"""),"2.623 €/m2")</f>
        <v>2.623 €/m2</v>
      </c>
      <c r="C177" s="1" t="str">
        <f>IFERROR(__xludf.DUMMYFUNCTION("""COMPUTED_VALUE"""),"- 1,7 %")</f>
        <v>- 1,7 %</v>
      </c>
      <c r="D177" s="1" t="str">
        <f>IFERROR(__xludf.DUMMYFUNCTION("""COMPUTED_VALUE"""),"- 2,5 %")</f>
        <v>- 2,5 %</v>
      </c>
      <c r="E177" s="1" t="str">
        <f>IFERROR(__xludf.DUMMYFUNCTION("""COMPUTED_VALUE"""),"- 9,4 %")</f>
        <v>- 9,4 %</v>
      </c>
    </row>
    <row r="178">
      <c r="A178" s="2">
        <f>IFERROR(__xludf.DUMMYFUNCTION("""COMPUTED_VALUE"""),40817.0)</f>
        <v>40817</v>
      </c>
      <c r="B178" s="1" t="str">
        <f>IFERROR(__xludf.DUMMYFUNCTION("""COMPUTED_VALUE"""),"2.670 €/m2")</f>
        <v>2.670 €/m2</v>
      </c>
      <c r="C178" s="1" t="str">
        <f>IFERROR(__xludf.DUMMYFUNCTION("""COMPUTED_VALUE"""),"- 0,2 %")</f>
        <v>- 0,2 %</v>
      </c>
      <c r="D178" s="1" t="str">
        <f>IFERROR(__xludf.DUMMYFUNCTION("""COMPUTED_VALUE"""),"- 2,1 %")</f>
        <v>- 2,1 %</v>
      </c>
      <c r="E178" s="1" t="str">
        <f>IFERROR(__xludf.DUMMYFUNCTION("""COMPUTED_VALUE"""),"- 7,3 %")</f>
        <v>- 7,3 %</v>
      </c>
    </row>
    <row r="179">
      <c r="A179" s="2">
        <f>IFERROR(__xludf.DUMMYFUNCTION("""COMPUTED_VALUE"""),40787.0)</f>
        <v>40787</v>
      </c>
      <c r="B179" s="1" t="str">
        <f>IFERROR(__xludf.DUMMYFUNCTION("""COMPUTED_VALUE"""),"2.675 €/m2")</f>
        <v>2.675 €/m2</v>
      </c>
      <c r="C179" s="1" t="str">
        <f>IFERROR(__xludf.DUMMYFUNCTION("""COMPUTED_VALUE"""),"- 0,6 %")</f>
        <v>- 0,6 %</v>
      </c>
      <c r="D179" s="1" t="str">
        <f>IFERROR(__xludf.DUMMYFUNCTION("""COMPUTED_VALUE"""),"- 3,2 %")</f>
        <v>- 3,2 %</v>
      </c>
      <c r="E179" s="1" t="str">
        <f>IFERROR(__xludf.DUMMYFUNCTION("""COMPUTED_VALUE"""),"- 6,4 %")</f>
        <v>- 6,4 %</v>
      </c>
    </row>
    <row r="180">
      <c r="A180" s="2">
        <f>IFERROR(__xludf.DUMMYFUNCTION("""COMPUTED_VALUE"""),40756.0)</f>
        <v>40756</v>
      </c>
      <c r="B180" s="1" t="str">
        <f>IFERROR(__xludf.DUMMYFUNCTION("""COMPUTED_VALUE"""),"2.691 €/m2")</f>
        <v>2.691 €/m2</v>
      </c>
      <c r="C180" s="1" t="str">
        <f>IFERROR(__xludf.DUMMYFUNCTION("""COMPUTED_VALUE"""),"- 1,3 %")</f>
        <v>- 1,3 %</v>
      </c>
      <c r="D180" s="1" t="str">
        <f>IFERROR(__xludf.DUMMYFUNCTION("""COMPUTED_VALUE"""),"- 3,1 %")</f>
        <v>- 3,1 %</v>
      </c>
      <c r="E180" s="1" t="str">
        <f>IFERROR(__xludf.DUMMYFUNCTION("""COMPUTED_VALUE"""),"- 6,2 %")</f>
        <v>- 6,2 %</v>
      </c>
    </row>
    <row r="181">
      <c r="A181" s="2">
        <f>IFERROR(__xludf.DUMMYFUNCTION("""COMPUTED_VALUE"""),40725.0)</f>
        <v>40725</v>
      </c>
      <c r="B181" s="1" t="str">
        <f>IFERROR(__xludf.DUMMYFUNCTION("""COMPUTED_VALUE"""),"2.727 €/m2")</f>
        <v>2.727 €/m2</v>
      </c>
      <c r="C181" s="1" t="str">
        <f>IFERROR(__xludf.DUMMYFUNCTION("""COMPUTED_VALUE"""),"- 1,3 %")</f>
        <v>- 1,3 %</v>
      </c>
      <c r="D181" s="1" t="str">
        <f>IFERROR(__xludf.DUMMYFUNCTION("""COMPUTED_VALUE"""),"- 3,2 %")</f>
        <v>- 3,2 %</v>
      </c>
      <c r="E181" s="1" t="str">
        <f>IFERROR(__xludf.DUMMYFUNCTION("""COMPUTED_VALUE"""),"- 5,9 %")</f>
        <v>- 5,9 %</v>
      </c>
    </row>
    <row r="182">
      <c r="A182" s="2">
        <f>IFERROR(__xludf.DUMMYFUNCTION("""COMPUTED_VALUE"""),40695.0)</f>
        <v>40695</v>
      </c>
      <c r="B182" s="1" t="str">
        <f>IFERROR(__xludf.DUMMYFUNCTION("""COMPUTED_VALUE"""),"2.762 €/m2")</f>
        <v>2.762 €/m2</v>
      </c>
      <c r="C182" s="1" t="str">
        <f>IFERROR(__xludf.DUMMYFUNCTION("""COMPUTED_VALUE"""),"- 0,5 %")</f>
        <v>- 0,5 %</v>
      </c>
      <c r="D182" s="1" t="str">
        <f>IFERROR(__xludf.DUMMYFUNCTION("""COMPUTED_VALUE"""),"- 2,0 %")</f>
        <v>- 2,0 %</v>
      </c>
      <c r="E182" s="1" t="str">
        <f>IFERROR(__xludf.DUMMYFUNCTION("""COMPUTED_VALUE"""),"- 5,0 %")</f>
        <v>- 5,0 %</v>
      </c>
    </row>
    <row r="183">
      <c r="A183" s="2">
        <f>IFERROR(__xludf.DUMMYFUNCTION("""COMPUTED_VALUE"""),40664.0)</f>
        <v>40664</v>
      </c>
      <c r="B183" s="1" t="str">
        <f>IFERROR(__xludf.DUMMYFUNCTION("""COMPUTED_VALUE"""),"2.776 €/m2")</f>
        <v>2.776 €/m2</v>
      </c>
      <c r="C183" s="1" t="str">
        <f>IFERROR(__xludf.DUMMYFUNCTION("""COMPUTED_VALUE"""),"- 1,4 %")</f>
        <v>- 1,4 %</v>
      </c>
      <c r="D183" s="1" t="str">
        <f>IFERROR(__xludf.DUMMYFUNCTION("""COMPUTED_VALUE"""),"- 2,5 %")</f>
        <v>- 2,5 %</v>
      </c>
      <c r="E183" s="1" t="str">
        <f>IFERROR(__xludf.DUMMYFUNCTION("""COMPUTED_VALUE"""),"- 5,1 %")</f>
        <v>- 5,1 %</v>
      </c>
    </row>
    <row r="184">
      <c r="A184" s="2">
        <f>IFERROR(__xludf.DUMMYFUNCTION("""COMPUTED_VALUE"""),40634.0)</f>
        <v>40634</v>
      </c>
      <c r="B184" s="1" t="str">
        <f>IFERROR(__xludf.DUMMYFUNCTION("""COMPUTED_VALUE"""),"2.816 €/m2")</f>
        <v>2.816 €/m2</v>
      </c>
      <c r="C184" s="1" t="str">
        <f>IFERROR(__xludf.DUMMYFUNCTION("""COMPUTED_VALUE"""),"0,0 %")</f>
        <v>0,0 %</v>
      </c>
      <c r="D184" s="1" t="str">
        <f>IFERROR(__xludf.DUMMYFUNCTION("""COMPUTED_VALUE"""),"- 2,0 %")</f>
        <v>- 2,0 %</v>
      </c>
      <c r="E184" s="1" t="str">
        <f>IFERROR(__xludf.DUMMYFUNCTION("""COMPUTED_VALUE"""),"- 4,5 %")</f>
        <v>- 4,5 %</v>
      </c>
    </row>
    <row r="185">
      <c r="A185" s="2">
        <f>IFERROR(__xludf.DUMMYFUNCTION("""COMPUTED_VALUE"""),40603.0)</f>
        <v>40603</v>
      </c>
      <c r="B185" s="1" t="str">
        <f>IFERROR(__xludf.DUMMYFUNCTION("""COMPUTED_VALUE"""),"2.817 €/m2")</f>
        <v>2.817 €/m2</v>
      </c>
      <c r="C185" s="1" t="str">
        <f>IFERROR(__xludf.DUMMYFUNCTION("""COMPUTED_VALUE"""),"- 1,1 %")</f>
        <v>- 1,1 %</v>
      </c>
      <c r="D185" s="1" t="str">
        <f>IFERROR(__xludf.DUMMYFUNCTION("""COMPUTED_VALUE"""),"- 2,5 %")</f>
        <v>- 2,5 %</v>
      </c>
      <c r="E185" s="1" t="str">
        <f>IFERROR(__xludf.DUMMYFUNCTION("""COMPUTED_VALUE"""),"- 4,7 %")</f>
        <v>- 4,7 %</v>
      </c>
    </row>
    <row r="186">
      <c r="A186" s="2">
        <f>IFERROR(__xludf.DUMMYFUNCTION("""COMPUTED_VALUE"""),40575.0)</f>
        <v>40575</v>
      </c>
      <c r="B186" s="1" t="str">
        <f>IFERROR(__xludf.DUMMYFUNCTION("""COMPUTED_VALUE"""),"2.848 €/m2")</f>
        <v>2.848 €/m2</v>
      </c>
      <c r="C186" s="1" t="str">
        <f>IFERROR(__xludf.DUMMYFUNCTION("""COMPUTED_VALUE"""),"- 0,9 %")</f>
        <v>- 0,9 %</v>
      </c>
      <c r="D186" s="1" t="str">
        <f>IFERROR(__xludf.DUMMYFUNCTION("""COMPUTED_VALUE"""),"- 1,6 %")</f>
        <v>- 1,6 %</v>
      </c>
      <c r="E186" s="1" t="str">
        <f>IFERROR(__xludf.DUMMYFUNCTION("""COMPUTED_VALUE"""),"- 2,3 %")</f>
        <v>- 2,3 %</v>
      </c>
    </row>
    <row r="187">
      <c r="A187" s="2">
        <f>IFERROR(__xludf.DUMMYFUNCTION("""COMPUTED_VALUE"""),40544.0)</f>
        <v>40544</v>
      </c>
      <c r="B187" s="1" t="str">
        <f>IFERROR(__xludf.DUMMYFUNCTION("""COMPUTED_VALUE"""),"2.873 €/m2")</f>
        <v>2.873 €/m2</v>
      </c>
      <c r="C187" s="1" t="str">
        <f>IFERROR(__xludf.DUMMYFUNCTION("""COMPUTED_VALUE"""),"- 0,6 %")</f>
        <v>- 0,6 %</v>
      </c>
      <c r="D187" s="1" t="str">
        <f>IFERROR(__xludf.DUMMYFUNCTION("""COMPUTED_VALUE"""),"- 0,3 %")</f>
        <v>- 0,3 %</v>
      </c>
      <c r="E187" s="1" t="str">
        <f>IFERROR(__xludf.DUMMYFUNCTION("""COMPUTED_VALUE"""),"- 1,0 %")</f>
        <v>- 1,0 %</v>
      </c>
    </row>
    <row r="188">
      <c r="A188" s="2">
        <f>IFERROR(__xludf.DUMMYFUNCTION("""COMPUTED_VALUE"""),40513.0)</f>
        <v>40513</v>
      </c>
      <c r="B188" s="1" t="str">
        <f>IFERROR(__xludf.DUMMYFUNCTION("""COMPUTED_VALUE"""),"2.891 €/m2")</f>
        <v>2.891 €/m2</v>
      </c>
      <c r="C188" s="1" t="str">
        <f>IFERROR(__xludf.DUMMYFUNCTION("""COMPUTED_VALUE"""),"- 0,2 %")</f>
        <v>- 0,2 %</v>
      </c>
      <c r="D188" s="1" t="str">
        <f>IFERROR(__xludf.DUMMYFUNCTION("""COMPUTED_VALUE"""),"+ 1,2 %")</f>
        <v>+ 1,2 %</v>
      </c>
      <c r="E188" s="1" t="str">
        <f>IFERROR(__xludf.DUMMYFUNCTION("""COMPUTED_VALUE"""),"- 1,0 %")</f>
        <v>- 1,0 %</v>
      </c>
    </row>
    <row r="189">
      <c r="A189" s="2">
        <f>IFERROR(__xludf.DUMMYFUNCTION("""COMPUTED_VALUE"""),40483.0)</f>
        <v>40483</v>
      </c>
      <c r="B189" s="1" t="str">
        <f>IFERROR(__xludf.DUMMYFUNCTION("""COMPUTED_VALUE"""),"2.895 €/m2")</f>
        <v>2.895 €/m2</v>
      </c>
      <c r="C189" s="1" t="str">
        <f>IFERROR(__xludf.DUMMYFUNCTION("""COMPUTED_VALUE"""),"+ 0,5 %")</f>
        <v>+ 0,5 %</v>
      </c>
      <c r="D189" s="1" t="str">
        <f>IFERROR(__xludf.DUMMYFUNCTION("""COMPUTED_VALUE"""),"+ 0,9 %")</f>
        <v>+ 0,9 %</v>
      </c>
      <c r="E189" s="1" t="str">
        <f>IFERROR(__xludf.DUMMYFUNCTION("""COMPUTED_VALUE"""),"- 4,1 %")</f>
        <v>- 4,1 %</v>
      </c>
    </row>
    <row r="190">
      <c r="A190" s="2">
        <f>IFERROR(__xludf.DUMMYFUNCTION("""COMPUTED_VALUE"""),40452.0)</f>
        <v>40452</v>
      </c>
      <c r="B190" s="1" t="str">
        <f>IFERROR(__xludf.DUMMYFUNCTION("""COMPUTED_VALUE"""),"2.881 €/m2")</f>
        <v>2.881 €/m2</v>
      </c>
      <c r="C190" s="1" t="str">
        <f>IFERROR(__xludf.DUMMYFUNCTION("""COMPUTED_VALUE"""),"+ 0,8 %")</f>
        <v>+ 0,8 %</v>
      </c>
      <c r="D190" s="1" t="str">
        <f>IFERROR(__xludf.DUMMYFUNCTION("""COMPUTED_VALUE"""),"- 0,6 %")</f>
        <v>- 0,6 %</v>
      </c>
      <c r="E190" s="1" t="str">
        <f>IFERROR(__xludf.DUMMYFUNCTION("""COMPUTED_VALUE"""),"- 6,5 %")</f>
        <v>- 6,5 %</v>
      </c>
    </row>
    <row r="191">
      <c r="A191" s="2">
        <f>IFERROR(__xludf.DUMMYFUNCTION("""COMPUTED_VALUE"""),40422.0)</f>
        <v>40422</v>
      </c>
      <c r="B191" s="1" t="str">
        <f>IFERROR(__xludf.DUMMYFUNCTION("""COMPUTED_VALUE"""),"2.857 €/m2")</f>
        <v>2.857 €/m2</v>
      </c>
      <c r="C191" s="1" t="str">
        <f>IFERROR(__xludf.DUMMYFUNCTION("""COMPUTED_VALUE"""),"- 0,4 %")</f>
        <v>- 0,4 %</v>
      </c>
      <c r="D191" s="1" t="str">
        <f>IFERROR(__xludf.DUMMYFUNCTION("""COMPUTED_VALUE"""),"- 1,7 %")</f>
        <v>- 1,7 %</v>
      </c>
      <c r="E191" s="1" t="str">
        <f>IFERROR(__xludf.DUMMYFUNCTION("""COMPUTED_VALUE"""),"- 6,9 %")</f>
        <v>- 6,9 %</v>
      </c>
    </row>
    <row r="192">
      <c r="A192" s="2">
        <f>IFERROR(__xludf.DUMMYFUNCTION("""COMPUTED_VALUE"""),40391.0)</f>
        <v>40391</v>
      </c>
      <c r="B192" s="1" t="str">
        <f>IFERROR(__xludf.DUMMYFUNCTION("""COMPUTED_VALUE"""),"2.870 €/m2")</f>
        <v>2.870 €/m2</v>
      </c>
      <c r="C192" s="1" t="str">
        <f>IFERROR(__xludf.DUMMYFUNCTION("""COMPUTED_VALUE"""),"- 1,0 %")</f>
        <v>- 1,0 %</v>
      </c>
      <c r="D192" s="1" t="str">
        <f>IFERROR(__xludf.DUMMYFUNCTION("""COMPUTED_VALUE"""),"- 1,9 %")</f>
        <v>- 1,9 %</v>
      </c>
      <c r="E192" s="1" t="str">
        <f>IFERROR(__xludf.DUMMYFUNCTION("""COMPUTED_VALUE"""),"- 6,4 %")</f>
        <v>- 6,4 %</v>
      </c>
    </row>
    <row r="193">
      <c r="A193" s="2">
        <f>IFERROR(__xludf.DUMMYFUNCTION("""COMPUTED_VALUE"""),40360.0)</f>
        <v>40360</v>
      </c>
      <c r="B193" s="1" t="str">
        <f>IFERROR(__xludf.DUMMYFUNCTION("""COMPUTED_VALUE"""),"2.899 €/m2")</f>
        <v>2.899 €/m2</v>
      </c>
      <c r="C193" s="1" t="str">
        <f>IFERROR(__xludf.DUMMYFUNCTION("""COMPUTED_VALUE"""),"- 0,2 %")</f>
        <v>- 0,2 %</v>
      </c>
      <c r="D193" s="1" t="str">
        <f>IFERROR(__xludf.DUMMYFUNCTION("""COMPUTED_VALUE"""),"- 1,7 %")</f>
        <v>- 1,7 %</v>
      </c>
      <c r="E193" s="1" t="str">
        <f>IFERROR(__xludf.DUMMYFUNCTION("""COMPUTED_VALUE"""),"- 7,3 %")</f>
        <v>- 7,3 %</v>
      </c>
    </row>
    <row r="194">
      <c r="A194" s="2">
        <f>IFERROR(__xludf.DUMMYFUNCTION("""COMPUTED_VALUE"""),40330.0)</f>
        <v>40330</v>
      </c>
      <c r="B194" s="1" t="str">
        <f>IFERROR(__xludf.DUMMYFUNCTION("""COMPUTED_VALUE"""),"2.906 €/m2")</f>
        <v>2.906 €/m2</v>
      </c>
      <c r="C194" s="1" t="str">
        <f>IFERROR(__xludf.DUMMYFUNCTION("""COMPUTED_VALUE"""),"- 0,7 %")</f>
        <v>- 0,7 %</v>
      </c>
      <c r="D194" s="1" t="str">
        <f>IFERROR(__xludf.DUMMYFUNCTION("""COMPUTED_VALUE"""),"- 1,7 %")</f>
        <v>- 1,7 %</v>
      </c>
      <c r="E194" s="1" t="str">
        <f>IFERROR(__xludf.DUMMYFUNCTION("""COMPUTED_VALUE"""),"- 7,7 %")</f>
        <v>- 7,7 %</v>
      </c>
    </row>
    <row r="195">
      <c r="A195" s="2">
        <f>IFERROR(__xludf.DUMMYFUNCTION("""COMPUTED_VALUE"""),40299.0)</f>
        <v>40299</v>
      </c>
      <c r="B195" s="1" t="str">
        <f>IFERROR(__xludf.DUMMYFUNCTION("""COMPUTED_VALUE"""),"2.926 €/m2")</f>
        <v>2.926 €/m2</v>
      </c>
      <c r="C195" s="1" t="str">
        <f>IFERROR(__xludf.DUMMYFUNCTION("""COMPUTED_VALUE"""),"- 0,7 %")</f>
        <v>- 0,7 %</v>
      </c>
      <c r="D195" s="1" t="str">
        <f>IFERROR(__xludf.DUMMYFUNCTION("""COMPUTED_VALUE"""),"+ 0,4 %")</f>
        <v>+ 0,4 %</v>
      </c>
      <c r="E195" s="1" t="str">
        <f>IFERROR(__xludf.DUMMYFUNCTION("""COMPUTED_VALUE"""),"- 7,6 %")</f>
        <v>- 7,6 %</v>
      </c>
    </row>
    <row r="196">
      <c r="A196" s="2">
        <f>IFERROR(__xludf.DUMMYFUNCTION("""COMPUTED_VALUE"""),40269.0)</f>
        <v>40269</v>
      </c>
      <c r="B196" s="1" t="str">
        <f>IFERROR(__xludf.DUMMYFUNCTION("""COMPUTED_VALUE"""),"2.948 €/m2")</f>
        <v>2.948 €/m2</v>
      </c>
      <c r="C196" s="1" t="str">
        <f>IFERROR(__xludf.DUMMYFUNCTION("""COMPUTED_VALUE"""),"- 0,3 %")</f>
        <v>- 0,3 %</v>
      </c>
      <c r="D196" s="1" t="str">
        <f>IFERROR(__xludf.DUMMYFUNCTION("""COMPUTED_VALUE"""),"+ 1,6 %")</f>
        <v>+ 1,6 %</v>
      </c>
      <c r="E196" s="1" t="str">
        <f>IFERROR(__xludf.DUMMYFUNCTION("""COMPUTED_VALUE"""),"- 6,3 %")</f>
        <v>- 6,3 %</v>
      </c>
    </row>
    <row r="197">
      <c r="A197" s="2">
        <f>IFERROR(__xludf.DUMMYFUNCTION("""COMPUTED_VALUE"""),40238.0)</f>
        <v>40238</v>
      </c>
      <c r="B197" s="1" t="str">
        <f>IFERROR(__xludf.DUMMYFUNCTION("""COMPUTED_VALUE"""),"2.956 €/m2")</f>
        <v>2.956 €/m2</v>
      </c>
      <c r="C197" s="1" t="str">
        <f>IFERROR(__xludf.DUMMYFUNCTION("""COMPUTED_VALUE"""),"+ 1,4 %")</f>
        <v>+ 1,4 %</v>
      </c>
      <c r="D197" s="1" t="str">
        <f>IFERROR(__xludf.DUMMYFUNCTION("""COMPUTED_VALUE"""),"+ 1,2 %")</f>
        <v>+ 1,2 %</v>
      </c>
      <c r="E197" s="1" t="str">
        <f>IFERROR(__xludf.DUMMYFUNCTION("""COMPUTED_VALUE"""),"- 5,8 %")</f>
        <v>- 5,8 %</v>
      </c>
    </row>
    <row r="198">
      <c r="A198" s="2">
        <f>IFERROR(__xludf.DUMMYFUNCTION("""COMPUTED_VALUE"""),40210.0)</f>
        <v>40210</v>
      </c>
      <c r="B198" s="1" t="str">
        <f>IFERROR(__xludf.DUMMYFUNCTION("""COMPUTED_VALUE"""),"2.914 €/m2")</f>
        <v>2.914 €/m2</v>
      </c>
      <c r="C198" s="1" t="str">
        <f>IFERROR(__xludf.DUMMYFUNCTION("""COMPUTED_VALUE"""),"+ 0,4 %")</f>
        <v>+ 0,4 %</v>
      </c>
      <c r="D198" s="1" t="str">
        <f>IFERROR(__xludf.DUMMYFUNCTION("""COMPUTED_VALUE"""),"- 3,4 %")</f>
        <v>- 3,4 %</v>
      </c>
      <c r="E198" s="1" t="str">
        <f>IFERROR(__xludf.DUMMYFUNCTION("""COMPUTED_VALUE"""),"- 8,2 %")</f>
        <v>- 8,2 %</v>
      </c>
    </row>
    <row r="199">
      <c r="A199" s="2">
        <f>IFERROR(__xludf.DUMMYFUNCTION("""COMPUTED_VALUE"""),40179.0)</f>
        <v>40179</v>
      </c>
      <c r="B199" s="1" t="str">
        <f>IFERROR(__xludf.DUMMYFUNCTION("""COMPUTED_VALUE"""),"2.903 €/m2")</f>
        <v>2.903 €/m2</v>
      </c>
      <c r="C199" s="1" t="str">
        <f>IFERROR(__xludf.DUMMYFUNCTION("""COMPUTED_VALUE"""),"- 0,6 %")</f>
        <v>- 0,6 %</v>
      </c>
      <c r="D199" s="1" t="str">
        <f>IFERROR(__xludf.DUMMYFUNCTION("""COMPUTED_VALUE"""),"- 5,8 %")</f>
        <v>- 5,8 %</v>
      </c>
      <c r="E199" s="1" t="str">
        <f>IFERROR(__xludf.DUMMYFUNCTION("""COMPUTED_VALUE"""),"- 6,5 %")</f>
        <v>- 6,5 %</v>
      </c>
    </row>
    <row r="200">
      <c r="A200" s="2">
        <f>IFERROR(__xludf.DUMMYFUNCTION("""COMPUTED_VALUE"""),40148.0)</f>
        <v>40148</v>
      </c>
      <c r="B200" s="1" t="str">
        <f>IFERROR(__xludf.DUMMYFUNCTION("""COMPUTED_VALUE"""),"2.921 €/m2")</f>
        <v>2.921 €/m2</v>
      </c>
      <c r="C200" s="1" t="str">
        <f>IFERROR(__xludf.DUMMYFUNCTION("""COMPUTED_VALUE"""),"- 3,2 %")</f>
        <v>- 3,2 %</v>
      </c>
      <c r="D200" s="1" t="str">
        <f>IFERROR(__xludf.DUMMYFUNCTION("""COMPUTED_VALUE"""),"- 4,8 %")</f>
        <v>- 4,8 %</v>
      </c>
      <c r="E200" s="1" t="str">
        <f>IFERROR(__xludf.DUMMYFUNCTION("""COMPUTED_VALUE"""),"- 5,4 %")</f>
        <v>- 5,4 %</v>
      </c>
    </row>
    <row r="201">
      <c r="A201" s="2">
        <f>IFERROR(__xludf.DUMMYFUNCTION("""COMPUTED_VALUE"""),40118.0)</f>
        <v>40118</v>
      </c>
      <c r="B201" s="1" t="str">
        <f>IFERROR(__xludf.DUMMYFUNCTION("""COMPUTED_VALUE"""),"3.018 €/m2")</f>
        <v>3.018 €/m2</v>
      </c>
      <c r="C201" s="1" t="str">
        <f>IFERROR(__xludf.DUMMYFUNCTION("""COMPUTED_VALUE"""),"- 2,1 %")</f>
        <v>- 2,1 %</v>
      </c>
      <c r="D201" s="1" t="str">
        <f>IFERROR(__xludf.DUMMYFUNCTION("""COMPUTED_VALUE"""),"- 1,6 %")</f>
        <v>- 1,6 %</v>
      </c>
      <c r="E201" s="1" t="str">
        <f>IFERROR(__xludf.DUMMYFUNCTION("""COMPUTED_VALUE"""),"- 3,3 %")</f>
        <v>- 3,3 %</v>
      </c>
    </row>
    <row r="202">
      <c r="A202" s="2">
        <f>IFERROR(__xludf.DUMMYFUNCTION("""COMPUTED_VALUE"""),40087.0)</f>
        <v>40087</v>
      </c>
      <c r="B202" s="1" t="str">
        <f>IFERROR(__xludf.DUMMYFUNCTION("""COMPUTED_VALUE"""),"3.082 €/m2")</f>
        <v>3.082 €/m2</v>
      </c>
      <c r="C202" s="1" t="str">
        <f>IFERROR(__xludf.DUMMYFUNCTION("""COMPUTED_VALUE"""),"+ 0,4 %")</f>
        <v>+ 0,4 %</v>
      </c>
      <c r="D202" s="1" t="str">
        <f>IFERROR(__xludf.DUMMYFUNCTION("""COMPUTED_VALUE"""),"- 1,4 %")</f>
        <v>- 1,4 %</v>
      </c>
      <c r="E202" s="1" t="str">
        <f>IFERROR(__xludf.DUMMYFUNCTION("""COMPUTED_VALUE"""),"- 2,8 %")</f>
        <v>- 2,8 %</v>
      </c>
    </row>
    <row r="203">
      <c r="A203" s="2">
        <f>IFERROR(__xludf.DUMMYFUNCTION("""COMPUTED_VALUE"""),40057.0)</f>
        <v>40057</v>
      </c>
      <c r="B203" s="1" t="str">
        <f>IFERROR(__xludf.DUMMYFUNCTION("""COMPUTED_VALUE"""),"3.068 €/m2")</f>
        <v>3.068 €/m2</v>
      </c>
      <c r="C203" s="1" t="str">
        <f>IFERROR(__xludf.DUMMYFUNCTION("""COMPUTED_VALUE"""),"0,0 %")</f>
        <v>0,0 %</v>
      </c>
      <c r="D203" s="1" t="str">
        <f>IFERROR(__xludf.DUMMYFUNCTION("""COMPUTED_VALUE"""),"- 2,5 %")</f>
        <v>- 2,5 %</v>
      </c>
      <c r="E203" s="1" t="str">
        <f>IFERROR(__xludf.DUMMYFUNCTION("""COMPUTED_VALUE"""),"- 4,5 %")</f>
        <v>- 4,5 %</v>
      </c>
    </row>
    <row r="204">
      <c r="A204" s="2">
        <f>IFERROR(__xludf.DUMMYFUNCTION("""COMPUTED_VALUE"""),40026.0)</f>
        <v>40026</v>
      </c>
      <c r="B204" s="1" t="str">
        <f>IFERROR(__xludf.DUMMYFUNCTION("""COMPUTED_VALUE"""),"3.067 €/m2")</f>
        <v>3.067 €/m2</v>
      </c>
      <c r="C204" s="1" t="str">
        <f>IFERROR(__xludf.DUMMYFUNCTION("""COMPUTED_VALUE"""),"- 1,9 %")</f>
        <v>- 1,9 %</v>
      </c>
      <c r="D204" s="1" t="str">
        <f>IFERROR(__xludf.DUMMYFUNCTION("""COMPUTED_VALUE"""),"- 3,2 %")</f>
        <v>- 3,2 %</v>
      </c>
      <c r="E204" s="1" t="str">
        <f>IFERROR(__xludf.DUMMYFUNCTION("""COMPUTED_VALUE"""),"- 3,2 %")</f>
        <v>- 3,2 %</v>
      </c>
    </row>
    <row r="205">
      <c r="A205" s="2">
        <f>IFERROR(__xludf.DUMMYFUNCTION("""COMPUTED_VALUE"""),39995.0)</f>
        <v>39995</v>
      </c>
      <c r="B205" s="1" t="str">
        <f>IFERROR(__xludf.DUMMYFUNCTION("""COMPUTED_VALUE"""),"3.126 €/m2")</f>
        <v>3.126 €/m2</v>
      </c>
      <c r="C205" s="1" t="str">
        <f>IFERROR(__xludf.DUMMYFUNCTION("""COMPUTED_VALUE"""),"- 0,7 %")</f>
        <v>- 0,7 %</v>
      </c>
      <c r="D205" s="1" t="str">
        <f>IFERROR(__xludf.DUMMYFUNCTION("""COMPUTED_VALUE"""),"- 0,7 %")</f>
        <v>- 0,7 %</v>
      </c>
      <c r="E205" s="1" t="str">
        <f>IFERROR(__xludf.DUMMYFUNCTION("""COMPUTED_VALUE"""),"- 2,7 %")</f>
        <v>- 2,7 %</v>
      </c>
    </row>
    <row r="206">
      <c r="A206" s="2">
        <f>IFERROR(__xludf.DUMMYFUNCTION("""COMPUTED_VALUE"""),39965.0)</f>
        <v>39965</v>
      </c>
      <c r="B206" s="1" t="str">
        <f>IFERROR(__xludf.DUMMYFUNCTION("""COMPUTED_VALUE"""),"3.148 €/m2")</f>
        <v>3.148 €/m2</v>
      </c>
      <c r="C206" s="1" t="str">
        <f>IFERROR(__xludf.DUMMYFUNCTION("""COMPUTED_VALUE"""),"- 0,7 %")</f>
        <v>- 0,7 %</v>
      </c>
      <c r="D206" s="1" t="str">
        <f>IFERROR(__xludf.DUMMYFUNCTION("""COMPUTED_VALUE"""),"+ 0,3 %")</f>
        <v>+ 0,3 %</v>
      </c>
      <c r="E206" s="1" t="str">
        <f>IFERROR(__xludf.DUMMYFUNCTION("""COMPUTED_VALUE"""),"- 1,8 %")</f>
        <v>- 1,8 %</v>
      </c>
    </row>
    <row r="207">
      <c r="A207" s="2">
        <f>IFERROR(__xludf.DUMMYFUNCTION("""COMPUTED_VALUE"""),39934.0)</f>
        <v>39934</v>
      </c>
      <c r="B207" s="1" t="str">
        <f>IFERROR(__xludf.DUMMYFUNCTION("""COMPUTED_VALUE"""),"3.168 €/m2")</f>
        <v>3.168 €/m2</v>
      </c>
      <c r="C207" s="1" t="str">
        <f>IFERROR(__xludf.DUMMYFUNCTION("""COMPUTED_VALUE"""),"+ 0,7 %")</f>
        <v>+ 0,7 %</v>
      </c>
      <c r="D207" s="1" t="str">
        <f>IFERROR(__xludf.DUMMYFUNCTION("""COMPUTED_VALUE"""),"- 0,2 %")</f>
        <v>- 0,2 %</v>
      </c>
      <c r="E207" s="1" t="str">
        <f>IFERROR(__xludf.DUMMYFUNCTION("""COMPUTED_VALUE"""),"- 1,0 %")</f>
        <v>- 1,0 %</v>
      </c>
    </row>
    <row r="208">
      <c r="A208" s="2">
        <f>IFERROR(__xludf.DUMMYFUNCTION("""COMPUTED_VALUE"""),39904.0)</f>
        <v>39904</v>
      </c>
      <c r="B208" s="1" t="str">
        <f>IFERROR(__xludf.DUMMYFUNCTION("""COMPUTED_VALUE"""),"3.147 €/m2")</f>
        <v>3.147 €/m2</v>
      </c>
      <c r="C208" s="1" t="str">
        <f>IFERROR(__xludf.DUMMYFUNCTION("""COMPUTED_VALUE"""),"+ 0,2 %")</f>
        <v>+ 0,2 %</v>
      </c>
      <c r="D208" s="1" t="str">
        <f>IFERROR(__xludf.DUMMYFUNCTION("""COMPUTED_VALUE"""),"+ 1,3 %")</f>
        <v>+ 1,3 %</v>
      </c>
      <c r="E208" s="1" t="str">
        <f>IFERROR(__xludf.DUMMYFUNCTION("""COMPUTED_VALUE"""),"- 4,7 %")</f>
        <v>- 4,7 %</v>
      </c>
    </row>
    <row r="209">
      <c r="A209" s="2">
        <f>IFERROR(__xludf.DUMMYFUNCTION("""COMPUTED_VALUE"""),39873.0)</f>
        <v>39873</v>
      </c>
      <c r="B209" s="1" t="str">
        <f>IFERROR(__xludf.DUMMYFUNCTION("""COMPUTED_VALUE"""),"3.140 €/m2")</f>
        <v>3.140 €/m2</v>
      </c>
      <c r="C209" s="1" t="str">
        <f>IFERROR(__xludf.DUMMYFUNCTION("""COMPUTED_VALUE"""),"- 1,1 %")</f>
        <v>- 1,1 %</v>
      </c>
      <c r="D209" s="1" t="str">
        <f>IFERROR(__xludf.DUMMYFUNCTION("""COMPUTED_VALUE"""),"+ 1,7 %")</f>
        <v>+ 1,7 %</v>
      </c>
      <c r="E209" s="1" t="str">
        <f>IFERROR(__xludf.DUMMYFUNCTION("""COMPUTED_VALUE"""),"- 3,2 %")</f>
        <v>- 3,2 %</v>
      </c>
    </row>
    <row r="210">
      <c r="A210" s="2">
        <f>IFERROR(__xludf.DUMMYFUNCTION("""COMPUTED_VALUE"""),39845.0)</f>
        <v>39845</v>
      </c>
      <c r="B210" s="1" t="str">
        <f>IFERROR(__xludf.DUMMYFUNCTION("""COMPUTED_VALUE"""),"3.174 €/m2")</f>
        <v>3.174 €/m2</v>
      </c>
      <c r="C210" s="1" t="str">
        <f>IFERROR(__xludf.DUMMYFUNCTION("""COMPUTED_VALUE"""),"+ 2,2 %")</f>
        <v>+ 2,2 %</v>
      </c>
      <c r="D210" s="1" t="str">
        <f>IFERROR(__xludf.DUMMYFUNCTION("""COMPUTED_VALUE"""),"+ 1,7 %")</f>
        <v>+ 1,7 %</v>
      </c>
      <c r="E210" s="1" t="str">
        <f>IFERROR(__xludf.DUMMYFUNCTION("""COMPUTED_VALUE"""),"- 4,5 %")</f>
        <v>- 4,5 %</v>
      </c>
    </row>
    <row r="211">
      <c r="A211" s="2">
        <f>IFERROR(__xludf.DUMMYFUNCTION("""COMPUTED_VALUE"""),39814.0)</f>
        <v>39814</v>
      </c>
      <c r="B211" s="1" t="str">
        <f>IFERROR(__xludf.DUMMYFUNCTION("""COMPUTED_VALUE"""),"3.106 €/m2")</f>
        <v>3.106 €/m2</v>
      </c>
      <c r="C211" s="1" t="str">
        <f>IFERROR(__xludf.DUMMYFUNCTION("""COMPUTED_VALUE"""),"+ 0,7 %")</f>
        <v>+ 0,7 %</v>
      </c>
      <c r="D211" s="1" t="str">
        <f>IFERROR(__xludf.DUMMYFUNCTION("""COMPUTED_VALUE"""),"- 2,1 %")</f>
        <v>- 2,1 %</v>
      </c>
      <c r="E211" s="1" t="str">
        <f>IFERROR(__xludf.DUMMYFUNCTION("""COMPUTED_VALUE"""),"- 6,2 %")</f>
        <v>- 6,2 %</v>
      </c>
    </row>
    <row r="212">
      <c r="A212" s="2">
        <f>IFERROR(__xludf.DUMMYFUNCTION("""COMPUTED_VALUE"""),39783.0)</f>
        <v>39783</v>
      </c>
      <c r="B212" s="1" t="str">
        <f>IFERROR(__xludf.DUMMYFUNCTION("""COMPUTED_VALUE"""),"3.086 €/m2")</f>
        <v>3.086 €/m2</v>
      </c>
      <c r="C212" s="1" t="str">
        <f>IFERROR(__xludf.DUMMYFUNCTION("""COMPUTED_VALUE"""),"- 1,2 %")</f>
        <v>- 1,2 %</v>
      </c>
      <c r="D212" s="1" t="str">
        <f>IFERROR(__xludf.DUMMYFUNCTION("""COMPUTED_VALUE"""),"- 4,0 %")</f>
        <v>- 4,0 %</v>
      </c>
      <c r="E212" s="1" t="str">
        <f>IFERROR(__xludf.DUMMYFUNCTION("""COMPUTED_VALUE"""),"- 12,7 %")</f>
        <v>- 12,7 %</v>
      </c>
    </row>
    <row r="213">
      <c r="A213" s="2">
        <f>IFERROR(__xludf.DUMMYFUNCTION("""COMPUTED_VALUE"""),39753.0)</f>
        <v>39753</v>
      </c>
      <c r="B213" s="1" t="str">
        <f>IFERROR(__xludf.DUMMYFUNCTION("""COMPUTED_VALUE"""),"3.122 €/m2")</f>
        <v>3.122 €/m2</v>
      </c>
      <c r="C213" s="1" t="str">
        <f>IFERROR(__xludf.DUMMYFUNCTION("""COMPUTED_VALUE"""),"- 1,6 %")</f>
        <v>- 1,6 %</v>
      </c>
      <c r="D213" s="1" t="str">
        <f>IFERROR(__xludf.DUMMYFUNCTION("""COMPUTED_VALUE"""),"- 1,4 %")</f>
        <v>- 1,4 %</v>
      </c>
      <c r="E213" s="1" t="str">
        <f>IFERROR(__xludf.DUMMYFUNCTION("""COMPUTED_VALUE"""),"- 14,6 %")</f>
        <v>- 14,6 %</v>
      </c>
    </row>
    <row r="214">
      <c r="A214" s="2">
        <f>IFERROR(__xludf.DUMMYFUNCTION("""COMPUTED_VALUE"""),39722.0)</f>
        <v>39722</v>
      </c>
      <c r="B214" s="1" t="str">
        <f>IFERROR(__xludf.DUMMYFUNCTION("""COMPUTED_VALUE"""),"3.172 €/m2")</f>
        <v>3.172 €/m2</v>
      </c>
      <c r="C214" s="1" t="str">
        <f>IFERROR(__xludf.DUMMYFUNCTION("""COMPUTED_VALUE"""),"- 1,3 %")</f>
        <v>- 1,3 %</v>
      </c>
      <c r="D214" s="1" t="str">
        <f>IFERROR(__xludf.DUMMYFUNCTION("""COMPUTED_VALUE"""),"- 1,3 %")</f>
        <v>- 1,3 %</v>
      </c>
      <c r="E214" s="1" t="str">
        <f>IFERROR(__xludf.DUMMYFUNCTION("""COMPUTED_VALUE"""),"- 11,4 %")</f>
        <v>- 11,4 %</v>
      </c>
    </row>
    <row r="215">
      <c r="A215" s="2">
        <f>IFERROR(__xludf.DUMMYFUNCTION("""COMPUTED_VALUE"""),39692.0)</f>
        <v>39692</v>
      </c>
      <c r="B215" s="1" t="str">
        <f>IFERROR(__xludf.DUMMYFUNCTION("""COMPUTED_VALUE"""),"3.214 €/m2")</f>
        <v>3.214 €/m2</v>
      </c>
      <c r="C215" s="1" t="str">
        <f>IFERROR(__xludf.DUMMYFUNCTION("""COMPUTED_VALUE"""),"+ 1,5 %")</f>
        <v>+ 1,5 %</v>
      </c>
      <c r="D215" s="1" t="str">
        <f>IFERROR(__xludf.DUMMYFUNCTION("""COMPUTED_VALUE"""),"+ 0,3 %")</f>
        <v>+ 0,3 %</v>
      </c>
      <c r="E215" s="1" t="str">
        <f>IFERROR(__xludf.DUMMYFUNCTION("""COMPUTED_VALUE"""),"- 4,8 %")</f>
        <v>- 4,8 %</v>
      </c>
    </row>
    <row r="216">
      <c r="A216" s="2">
        <f>IFERROR(__xludf.DUMMYFUNCTION("""COMPUTED_VALUE"""),39661.0)</f>
        <v>39661</v>
      </c>
      <c r="B216" s="1" t="str">
        <f>IFERROR(__xludf.DUMMYFUNCTION("""COMPUTED_VALUE"""),"3.167 €/m2")</f>
        <v>3.167 €/m2</v>
      </c>
      <c r="C216" s="1" t="str">
        <f>IFERROR(__xludf.DUMMYFUNCTION("""COMPUTED_VALUE"""),"- 1,4 %")</f>
        <v>- 1,4 %</v>
      </c>
      <c r="D216" s="1" t="str">
        <f>IFERROR(__xludf.DUMMYFUNCTION("""COMPUTED_VALUE"""),"- 1,0 %")</f>
        <v>- 1,0 %</v>
      </c>
      <c r="E216" s="1" t="str">
        <f>IFERROR(__xludf.DUMMYFUNCTION("""COMPUTED_VALUE"""),"- 7,3 %")</f>
        <v>- 7,3 %</v>
      </c>
    </row>
    <row r="217">
      <c r="A217" s="2">
        <f>IFERROR(__xludf.DUMMYFUNCTION("""COMPUTED_VALUE"""),39630.0)</f>
        <v>39630</v>
      </c>
      <c r="B217" s="1" t="str">
        <f>IFERROR(__xludf.DUMMYFUNCTION("""COMPUTED_VALUE"""),"3.212 €/m2")</f>
        <v>3.212 €/m2</v>
      </c>
      <c r="C217" s="1" t="str">
        <f>IFERROR(__xludf.DUMMYFUNCTION("""COMPUTED_VALUE"""),"+ 0,2 %")</f>
        <v>+ 0,2 %</v>
      </c>
      <c r="D217" s="1" t="str">
        <f>IFERROR(__xludf.DUMMYFUNCTION("""COMPUTED_VALUE"""),"- 2,7 %")</f>
        <v>- 2,7 %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IFERROR(__xludf.DUMMYFUNCTION("""COMPUTED_VALUE"""),"3.205 €/m2")</f>
        <v>3.205 €/m2</v>
      </c>
      <c r="C218" s="1" t="str">
        <f>IFERROR(__xludf.DUMMYFUNCTION("""COMPUTED_VALUE"""),"+ 0,2 %")</f>
        <v>+ 0,2 %</v>
      </c>
      <c r="D218" s="1" t="str">
        <f>IFERROR(__xludf.DUMMYFUNCTION("""COMPUTED_VALUE"""),"- 1,2 %")</f>
        <v>- 1,2 %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IFERROR(__xludf.DUMMYFUNCTION("""COMPUTED_VALUE"""),"3.199 €/m2")</f>
        <v>3.199 €/m2</v>
      </c>
      <c r="C219" s="1" t="str">
        <f>IFERROR(__xludf.DUMMYFUNCTION("""COMPUTED_VALUE"""),"- 3,1 %")</f>
        <v>- 3,1 %</v>
      </c>
      <c r="D219" s="1" t="str">
        <f>IFERROR(__xludf.DUMMYFUNCTION("""COMPUTED_VALUE"""),"- 3,7 %")</f>
        <v>- 3,7 %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IFERROR(__xludf.DUMMYFUNCTION("""COMPUTED_VALUE"""),"3.302 €/m2")</f>
        <v>3.302 €/m2</v>
      </c>
      <c r="C220" s="1" t="str">
        <f>IFERROR(__xludf.DUMMYFUNCTION("""COMPUTED_VALUE"""),"+ 1,8 %")</f>
        <v>+ 1,8 %</v>
      </c>
      <c r="D220" s="1" t="str">
        <f>IFERROR(__xludf.DUMMYFUNCTION("""COMPUTED_VALUE"""),"- 0,3 %")</f>
        <v>- 0,3 %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IFERROR(__xludf.DUMMYFUNCTION("""COMPUTED_VALUE"""),"3.243 €/m2")</f>
        <v>3.243 €/m2</v>
      </c>
      <c r="C221" s="1" t="str">
        <f>IFERROR(__xludf.DUMMYFUNCTION("""COMPUTED_VALUE"""),"- 2,4 %")</f>
        <v>- 2,4 %</v>
      </c>
      <c r="D221" s="1" t="str">
        <f>IFERROR(__xludf.DUMMYFUNCTION("""COMPUTED_VALUE"""),"- 8,2 %")</f>
        <v>- 8,2 %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IFERROR(__xludf.DUMMYFUNCTION("""COMPUTED_VALUE"""),"3.323 €/m2")</f>
        <v>3.323 €/m2</v>
      </c>
      <c r="C222" s="1" t="str">
        <f>IFERROR(__xludf.DUMMYFUNCTION("""COMPUTED_VALUE"""),"+ 0,4 %")</f>
        <v>+ 0,4 %</v>
      </c>
      <c r="D222" s="1" t="str">
        <f>IFERROR(__xludf.DUMMYFUNCTION("""COMPUTED_VALUE"""),"- 9,1 %")</f>
        <v>- 9,1 %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IFERROR(__xludf.DUMMYFUNCTION("""COMPUTED_VALUE"""),"3.310 €/m2")</f>
        <v>3.310 €/m2</v>
      </c>
      <c r="C223" s="1" t="str">
        <f>IFERROR(__xludf.DUMMYFUNCTION("""COMPUTED_VALUE"""),"- 6,3 %")</f>
        <v>- 6,3 %</v>
      </c>
      <c r="D223" s="1" t="str">
        <f>IFERROR(__xludf.DUMMYFUNCTION("""COMPUTED_VALUE"""),"- 7,5 %")</f>
        <v>- 7,5 %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IFERROR(__xludf.DUMMYFUNCTION("""COMPUTED_VALUE"""),"3.533 €/m2")</f>
        <v>3.533 €/m2</v>
      </c>
      <c r="C224" s="1" t="str">
        <f>IFERROR(__xludf.DUMMYFUNCTION("""COMPUTED_VALUE"""),"- 3,4 %")</f>
        <v>- 3,4 %</v>
      </c>
      <c r="D224" s="1" t="str">
        <f>IFERROR(__xludf.DUMMYFUNCTION("""COMPUTED_VALUE"""),"+ 4,7 %")</f>
        <v>+ 4,7 %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IFERROR(__xludf.DUMMYFUNCTION("""COMPUTED_VALUE"""),"3.656 €/m2")</f>
        <v>3.656 €/m2</v>
      </c>
      <c r="C225" s="1" t="str">
        <f>IFERROR(__xludf.DUMMYFUNCTION("""COMPUTED_VALUE"""),"+ 2,2 %")</f>
        <v>+ 2,2 %</v>
      </c>
      <c r="D225" s="1" t="str">
        <f>IFERROR(__xludf.DUMMYFUNCTION("""COMPUTED_VALUE"""),"+ 7,0 %")</f>
        <v>+ 7,0 %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IFERROR(__xludf.DUMMYFUNCTION("""COMPUTED_VALUE"""),"3.578 €/m2")</f>
        <v>3.578 €/m2</v>
      </c>
      <c r="C226" s="1" t="str">
        <f>IFERROR(__xludf.DUMMYFUNCTION("""COMPUTED_VALUE"""),"+ 6,0 %")</f>
        <v>+ 6,0 %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IFERROR(__xludf.DUMMYFUNCTION("""COMPUTED_VALUE"""),"3.376 €/m2")</f>
        <v>3.376 €/m2</v>
      </c>
      <c r="C227" s="1" t="str">
        <f>IFERROR(__xludf.DUMMYFUNCTION("""COMPUTED_VALUE"""),"- 1,2 %")</f>
        <v>- 1,2 %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IFERROR(__xludf.DUMMYFUNCTION("""COMPUTED_VALUE"""),"3.418 €/m2")</f>
        <v>3.418 €/m2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IFERROR(__xludf.DUMMYFUNCTION("IMPORTHTML(""https://www.idealista.com/sala-de-prensa/informes-precio-vivienda/venta/madrid-comunidad/madrid-provincia/madrid/tetuan/historico/"",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IFERROR(__xludf.DUMMYFUNCTION("""COMPUTED_VALUE"""),"6.147 €/m2")</f>
        <v>6.147 €/m2</v>
      </c>
      <c r="C2" s="1" t="str">
        <f>IFERROR(__xludf.DUMMYFUNCTION("""COMPUTED_VALUE"""),"+ 0,6 %")</f>
        <v>+ 0,6 %</v>
      </c>
      <c r="D2" s="1" t="str">
        <f>IFERROR(__xludf.DUMMYFUNCTION("""COMPUTED_VALUE"""),"+ 2,8 %")</f>
        <v>+ 2,8 %</v>
      </c>
      <c r="E2" s="1" t="str">
        <f>IFERROR(__xludf.DUMMYFUNCTION("""COMPUTED_VALUE"""),"+ 13,2 %")</f>
        <v>+ 13,2 %</v>
      </c>
    </row>
    <row r="3">
      <c r="A3" s="2">
        <f>IFERROR(__xludf.DUMMYFUNCTION("""COMPUTED_VALUE"""),46143.0)</f>
        <v>46143</v>
      </c>
      <c r="B3" s="1" t="str">
        <f>IFERROR(__xludf.DUMMYFUNCTION("""COMPUTED_VALUE"""),"6.108 €/m2")</f>
        <v>6.108 €/m2</v>
      </c>
      <c r="C3" s="1" t="str">
        <f>IFERROR(__xludf.DUMMYFUNCTION("""COMPUTED_VALUE"""),"+ 1,2 %")</f>
        <v>+ 1,2 %</v>
      </c>
      <c r="D3" s="1" t="str">
        <f>IFERROR(__xludf.DUMMYFUNCTION("""COMPUTED_VALUE"""),"+ 3,1 %")</f>
        <v>+ 3,1 %</v>
      </c>
      <c r="E3" s="1" t="str">
        <f>IFERROR(__xludf.DUMMYFUNCTION("""COMPUTED_VALUE"""),"+ 14,5 %")</f>
        <v>+ 14,5 %</v>
      </c>
    </row>
    <row r="4">
      <c r="A4" s="2">
        <f>IFERROR(__xludf.DUMMYFUNCTION("""COMPUTED_VALUE"""),46113.0)</f>
        <v>46113</v>
      </c>
      <c r="B4" s="1" t="str">
        <f>IFERROR(__xludf.DUMMYFUNCTION("""COMPUTED_VALUE"""),"6.034 €/m2")</f>
        <v>6.034 €/m2</v>
      </c>
      <c r="C4" s="1" t="str">
        <f>IFERROR(__xludf.DUMMYFUNCTION("""COMPUTED_VALUE"""),"+ 0,9 %")</f>
        <v>+ 0,9 %</v>
      </c>
      <c r="D4" s="1" t="str">
        <f>IFERROR(__xludf.DUMMYFUNCTION("""COMPUTED_VALUE"""),"+ 3,0 %")</f>
        <v>+ 3,0 %</v>
      </c>
      <c r="E4" s="1" t="str">
        <f>IFERROR(__xludf.DUMMYFUNCTION("""COMPUTED_VALUE"""),"+ 13,7 %")</f>
        <v>+ 13,7 %</v>
      </c>
    </row>
    <row r="5">
      <c r="A5" s="2">
        <f>IFERROR(__xludf.DUMMYFUNCTION("""COMPUTED_VALUE"""),46082.0)</f>
        <v>46082</v>
      </c>
      <c r="B5" s="1" t="str">
        <f>IFERROR(__xludf.DUMMYFUNCTION("""COMPUTED_VALUE"""),"5.980 €/m2")</f>
        <v>5.980 €/m2</v>
      </c>
      <c r="C5" s="1" t="str">
        <f>IFERROR(__xludf.DUMMYFUNCTION("""COMPUTED_VALUE"""),"+ 0,9 %")</f>
        <v>+ 0,9 %</v>
      </c>
      <c r="D5" s="1" t="str">
        <f>IFERROR(__xludf.DUMMYFUNCTION("""COMPUTED_VALUE"""),"+ 4,2 %")</f>
        <v>+ 4,2 %</v>
      </c>
      <c r="E5" s="1" t="str">
        <f>IFERROR(__xludf.DUMMYFUNCTION("""COMPUTED_VALUE"""),"+ 15,8 %")</f>
        <v>+ 15,8 %</v>
      </c>
    </row>
    <row r="6">
      <c r="A6" s="2">
        <f>IFERROR(__xludf.DUMMYFUNCTION("""COMPUTED_VALUE"""),46054.0)</f>
        <v>46054</v>
      </c>
      <c r="B6" s="1" t="str">
        <f>IFERROR(__xludf.DUMMYFUNCTION("""COMPUTED_VALUE"""),"5.924 €/m2")</f>
        <v>5.924 €/m2</v>
      </c>
      <c r="C6" s="1" t="str">
        <f>IFERROR(__xludf.DUMMYFUNCTION("""COMPUTED_VALUE"""),"+ 1,1 %")</f>
        <v>+ 1,1 %</v>
      </c>
      <c r="D6" s="1" t="str">
        <f>IFERROR(__xludf.DUMMYFUNCTION("""COMPUTED_VALUE"""),"+ 4,5 %")</f>
        <v>+ 4,5 %</v>
      </c>
      <c r="E6" s="1" t="str">
        <f>IFERROR(__xludf.DUMMYFUNCTION("""COMPUTED_VALUE"""),"+ 18,9 %")</f>
        <v>+ 18,9 %</v>
      </c>
    </row>
    <row r="7">
      <c r="A7" s="2">
        <f>IFERROR(__xludf.DUMMYFUNCTION("""COMPUTED_VALUE"""),46023.0)</f>
        <v>46023</v>
      </c>
      <c r="B7" s="1" t="str">
        <f>IFERROR(__xludf.DUMMYFUNCTION("""COMPUTED_VALUE"""),"5.859 €/m2")</f>
        <v>5.859 €/m2</v>
      </c>
      <c r="C7" s="1" t="str">
        <f>IFERROR(__xludf.DUMMYFUNCTION("""COMPUTED_VALUE"""),"+ 2,1 %")</f>
        <v>+ 2,1 %</v>
      </c>
      <c r="D7" s="1" t="str">
        <f>IFERROR(__xludf.DUMMYFUNCTION("""COMPUTED_VALUE"""),"+ 3,2 %")</f>
        <v>+ 3,2 %</v>
      </c>
      <c r="E7" s="1" t="str">
        <f>IFERROR(__xludf.DUMMYFUNCTION("""COMPUTED_VALUE"""),"+ 17,5 %")</f>
        <v>+ 17,5 %</v>
      </c>
    </row>
    <row r="8">
      <c r="A8" s="2">
        <f>IFERROR(__xludf.DUMMYFUNCTION("""COMPUTED_VALUE"""),45992.0)</f>
        <v>45992</v>
      </c>
      <c r="B8" s="1" t="str">
        <f>IFERROR(__xludf.DUMMYFUNCTION("""COMPUTED_VALUE"""),"5.736 €/m2")</f>
        <v>5.736 €/m2</v>
      </c>
      <c r="C8" s="1" t="str">
        <f>IFERROR(__xludf.DUMMYFUNCTION("""COMPUTED_VALUE"""),"+ 1,2 %")</f>
        <v>+ 1,2 %</v>
      </c>
      <c r="D8" s="1" t="str">
        <f>IFERROR(__xludf.DUMMYFUNCTION("""COMPUTED_VALUE"""),"+ 1,6 %")</f>
        <v>+ 1,6 %</v>
      </c>
      <c r="E8" s="1" t="str">
        <f>IFERROR(__xludf.DUMMYFUNCTION("""COMPUTED_VALUE"""),"+ 14,8 %")</f>
        <v>+ 14,8 %</v>
      </c>
    </row>
    <row r="9">
      <c r="A9" s="2">
        <f>IFERROR(__xludf.DUMMYFUNCTION("""COMPUTED_VALUE"""),45962.0)</f>
        <v>45962</v>
      </c>
      <c r="B9" s="1" t="str">
        <f>IFERROR(__xludf.DUMMYFUNCTION("""COMPUTED_VALUE"""),"5.671 €/m2")</f>
        <v>5.671 €/m2</v>
      </c>
      <c r="C9" s="1" t="str">
        <f>IFERROR(__xludf.DUMMYFUNCTION("""COMPUTED_VALUE"""),"- 0,1 %")</f>
        <v>- 0,1 %</v>
      </c>
      <c r="D9" s="1" t="str">
        <f>IFERROR(__xludf.DUMMYFUNCTION("""COMPUTED_VALUE"""),"+ 2,4 %")</f>
        <v>+ 2,4 %</v>
      </c>
      <c r="E9" s="1" t="str">
        <f>IFERROR(__xludf.DUMMYFUNCTION("""COMPUTED_VALUE"""),"+ 14,6 %")</f>
        <v>+ 14,6 %</v>
      </c>
    </row>
    <row r="10">
      <c r="A10" s="2">
        <f>IFERROR(__xludf.DUMMYFUNCTION("""COMPUTED_VALUE"""),45931.0)</f>
        <v>45931</v>
      </c>
      <c r="B10" s="1" t="str">
        <f>IFERROR(__xludf.DUMMYFUNCTION("""COMPUTED_VALUE"""),"5.675 €/m2")</f>
        <v>5.675 €/m2</v>
      </c>
      <c r="C10" s="1" t="str">
        <f>IFERROR(__xludf.DUMMYFUNCTION("""COMPUTED_VALUE"""),"+ 0,6 %")</f>
        <v>+ 0,6 %</v>
      </c>
      <c r="D10" s="1" t="str">
        <f>IFERROR(__xludf.DUMMYFUNCTION("""COMPUTED_VALUE"""),"+ 3,7 %")</f>
        <v>+ 3,7 %</v>
      </c>
      <c r="E10" s="1" t="str">
        <f>IFERROR(__xludf.DUMMYFUNCTION("""COMPUTED_VALUE"""),"+ 17,8 %")</f>
        <v>+ 17,8 %</v>
      </c>
    </row>
    <row r="11">
      <c r="A11" s="2">
        <f>IFERROR(__xludf.DUMMYFUNCTION("""COMPUTED_VALUE"""),45901.0)</f>
        <v>45901</v>
      </c>
      <c r="B11" s="1" t="str">
        <f>IFERROR(__xludf.DUMMYFUNCTION("""COMPUTED_VALUE"""),"5.643 €/m2")</f>
        <v>5.643 €/m2</v>
      </c>
      <c r="C11" s="1" t="str">
        <f>IFERROR(__xludf.DUMMYFUNCTION("""COMPUTED_VALUE"""),"+ 1,9 %")</f>
        <v>+ 1,9 %</v>
      </c>
      <c r="D11" s="1" t="str">
        <f>IFERROR(__xludf.DUMMYFUNCTION("""COMPUTED_VALUE"""),"+ 3,9 %")</f>
        <v>+ 3,9 %</v>
      </c>
      <c r="E11" s="1" t="str">
        <f>IFERROR(__xludf.DUMMYFUNCTION("""COMPUTED_VALUE"""),"+ 20,8 %")</f>
        <v>+ 20,8 %</v>
      </c>
    </row>
    <row r="12">
      <c r="A12" s="2">
        <f>IFERROR(__xludf.DUMMYFUNCTION("""COMPUTED_VALUE"""),45870.0)</f>
        <v>45870</v>
      </c>
      <c r="B12" s="1" t="str">
        <f>IFERROR(__xludf.DUMMYFUNCTION("""COMPUTED_VALUE"""),"5.539 €/m2")</f>
        <v>5.539 €/m2</v>
      </c>
      <c r="C12" s="1" t="str">
        <f>IFERROR(__xludf.DUMMYFUNCTION("""COMPUTED_VALUE"""),"+ 1,2 %")</f>
        <v>+ 1,2 %</v>
      </c>
      <c r="D12" s="1" t="str">
        <f>IFERROR(__xludf.DUMMYFUNCTION("""COMPUTED_VALUE"""),"+ 3,8 %")</f>
        <v>+ 3,8 %</v>
      </c>
      <c r="E12" s="1" t="str">
        <f>IFERROR(__xludf.DUMMYFUNCTION("""COMPUTED_VALUE"""),"+ 19,3 %")</f>
        <v>+ 19,3 %</v>
      </c>
    </row>
    <row r="13">
      <c r="A13" s="2">
        <f>IFERROR(__xludf.DUMMYFUNCTION("""COMPUTED_VALUE"""),45839.0)</f>
        <v>45839</v>
      </c>
      <c r="B13" s="1" t="str">
        <f>IFERROR(__xludf.DUMMYFUNCTION("""COMPUTED_VALUE"""),"5.471 €/m2")</f>
        <v>5.471 €/m2</v>
      </c>
      <c r="C13" s="1" t="str">
        <f>IFERROR(__xludf.DUMMYFUNCTION("""COMPUTED_VALUE"""),"+ 0,8 %")</f>
        <v>+ 0,8 %</v>
      </c>
      <c r="D13" s="1" t="str">
        <f>IFERROR(__xludf.DUMMYFUNCTION("""COMPUTED_VALUE"""),"+ 3,1 %")</f>
        <v>+ 3,1 %</v>
      </c>
      <c r="E13" s="1" t="str">
        <f>IFERROR(__xludf.DUMMYFUNCTION("""COMPUTED_VALUE"""),"+ 18,9 %")</f>
        <v>+ 18,9 %</v>
      </c>
    </row>
    <row r="14">
      <c r="A14" s="2">
        <f>IFERROR(__xludf.DUMMYFUNCTION("""COMPUTED_VALUE"""),45809.0)</f>
        <v>45809</v>
      </c>
      <c r="B14" s="1" t="str">
        <f>IFERROR(__xludf.DUMMYFUNCTION("""COMPUTED_VALUE"""),"5.430 €/m2")</f>
        <v>5.430 €/m2</v>
      </c>
      <c r="C14" s="1" t="str">
        <f>IFERROR(__xludf.DUMMYFUNCTION("""COMPUTED_VALUE"""),"+ 1,8 %")</f>
        <v>+ 1,8 %</v>
      </c>
      <c r="D14" s="1" t="str">
        <f>IFERROR(__xludf.DUMMYFUNCTION("""COMPUTED_VALUE"""),"+ 5,2 %")</f>
        <v>+ 5,2 %</v>
      </c>
      <c r="E14" s="1" t="str">
        <f>IFERROR(__xludf.DUMMYFUNCTION("""COMPUTED_VALUE"""),"+ 19,7 %")</f>
        <v>+ 19,7 %</v>
      </c>
    </row>
    <row r="15">
      <c r="A15" s="2">
        <f>IFERROR(__xludf.DUMMYFUNCTION("""COMPUTED_VALUE"""),45778.0)</f>
        <v>45778</v>
      </c>
      <c r="B15" s="1" t="str">
        <f>IFERROR(__xludf.DUMMYFUNCTION("""COMPUTED_VALUE"""),"5.336 €/m2")</f>
        <v>5.336 €/m2</v>
      </c>
      <c r="C15" s="1" t="str">
        <f>IFERROR(__xludf.DUMMYFUNCTION("""COMPUTED_VALUE"""),"+ 0,6 %")</f>
        <v>+ 0,6 %</v>
      </c>
      <c r="D15" s="1" t="str">
        <f>IFERROR(__xludf.DUMMYFUNCTION("""COMPUTED_VALUE"""),"+ 7,1 %")</f>
        <v>+ 7,1 %</v>
      </c>
      <c r="E15" s="1" t="str">
        <f>IFERROR(__xludf.DUMMYFUNCTION("""COMPUTED_VALUE"""),"+ 18,8 %")</f>
        <v>+ 18,8 %</v>
      </c>
    </row>
    <row r="16">
      <c r="A16" s="2">
        <f>IFERROR(__xludf.DUMMYFUNCTION("""COMPUTED_VALUE"""),45748.0)</f>
        <v>45748</v>
      </c>
      <c r="B16" s="1" t="str">
        <f>IFERROR(__xludf.DUMMYFUNCTION("""COMPUTED_VALUE"""),"5.306 €/m2")</f>
        <v>5.306 €/m2</v>
      </c>
      <c r="C16" s="1" t="str">
        <f>IFERROR(__xludf.DUMMYFUNCTION("""COMPUTED_VALUE"""),"+ 2,8 %")</f>
        <v>+ 2,8 %</v>
      </c>
      <c r="D16" s="1" t="str">
        <f>IFERROR(__xludf.DUMMYFUNCTION("""COMPUTED_VALUE"""),"+ 6,4 %")</f>
        <v>+ 6,4 %</v>
      </c>
      <c r="E16" s="1" t="str">
        <f>IFERROR(__xludf.DUMMYFUNCTION("""COMPUTED_VALUE"""),"+ 18,9 %")</f>
        <v>+ 18,9 %</v>
      </c>
    </row>
    <row r="17">
      <c r="A17" s="2">
        <f>IFERROR(__xludf.DUMMYFUNCTION("""COMPUTED_VALUE"""),45717.0)</f>
        <v>45717</v>
      </c>
      <c r="B17" s="1" t="str">
        <f>IFERROR(__xludf.DUMMYFUNCTION("""COMPUTED_VALUE"""),"5.162 €/m2")</f>
        <v>5.162 €/m2</v>
      </c>
      <c r="C17" s="1" t="str">
        <f>IFERROR(__xludf.DUMMYFUNCTION("""COMPUTED_VALUE"""),"+ 3,6 %")</f>
        <v>+ 3,6 %</v>
      </c>
      <c r="D17" s="1" t="str">
        <f>IFERROR(__xludf.DUMMYFUNCTION("""COMPUTED_VALUE"""),"+ 3,3 %")</f>
        <v>+ 3,3 %</v>
      </c>
      <c r="E17" s="1" t="str">
        <f>IFERROR(__xludf.DUMMYFUNCTION("""COMPUTED_VALUE"""),"+ 18,8 %")</f>
        <v>+ 18,8 %</v>
      </c>
    </row>
    <row r="18">
      <c r="A18" s="2">
        <f>IFERROR(__xludf.DUMMYFUNCTION("""COMPUTED_VALUE"""),45689.0)</f>
        <v>45689</v>
      </c>
      <c r="B18" s="1" t="str">
        <f>IFERROR(__xludf.DUMMYFUNCTION("""COMPUTED_VALUE"""),"4.984 €/m2")</f>
        <v>4.984 €/m2</v>
      </c>
      <c r="C18" s="1" t="str">
        <f>IFERROR(__xludf.DUMMYFUNCTION("""COMPUTED_VALUE"""),"- 0,1 %")</f>
        <v>- 0,1 %</v>
      </c>
      <c r="D18" s="1" t="str">
        <f>IFERROR(__xludf.DUMMYFUNCTION("""COMPUTED_VALUE"""),"+ 0,7 %")</f>
        <v>+ 0,7 %</v>
      </c>
      <c r="E18" s="1" t="str">
        <f>IFERROR(__xludf.DUMMYFUNCTION("""COMPUTED_VALUE"""),"+ 17,0 %")</f>
        <v>+ 17,0 %</v>
      </c>
    </row>
    <row r="19">
      <c r="A19" s="2">
        <f>IFERROR(__xludf.DUMMYFUNCTION("""COMPUTED_VALUE"""),45658.0)</f>
        <v>45658</v>
      </c>
      <c r="B19" s="1" t="str">
        <f>IFERROR(__xludf.DUMMYFUNCTION("""COMPUTED_VALUE"""),"4.988 €/m2")</f>
        <v>4.988 €/m2</v>
      </c>
      <c r="C19" s="1" t="str">
        <f>IFERROR(__xludf.DUMMYFUNCTION("""COMPUTED_VALUE"""),"- 0,1 %")</f>
        <v>- 0,1 %</v>
      </c>
      <c r="D19" s="1" t="str">
        <f>IFERROR(__xludf.DUMMYFUNCTION("""COMPUTED_VALUE"""),"+ 3,5 %")</f>
        <v>+ 3,5 %</v>
      </c>
      <c r="E19" s="1" t="str">
        <f>IFERROR(__xludf.DUMMYFUNCTION("""COMPUTED_VALUE"""),"+ 19,8 %")</f>
        <v>+ 19,8 %</v>
      </c>
    </row>
    <row r="20">
      <c r="A20" s="2">
        <f>IFERROR(__xludf.DUMMYFUNCTION("""COMPUTED_VALUE"""),45627.0)</f>
        <v>45627</v>
      </c>
      <c r="B20" s="1" t="str">
        <f>IFERROR(__xludf.DUMMYFUNCTION("""COMPUTED_VALUE"""),"4.996 €/m2")</f>
        <v>4.996 €/m2</v>
      </c>
      <c r="C20" s="1" t="str">
        <f>IFERROR(__xludf.DUMMYFUNCTION("""COMPUTED_VALUE"""),"+ 0,9 %")</f>
        <v>+ 0,9 %</v>
      </c>
      <c r="D20" s="1" t="str">
        <f>IFERROR(__xludf.DUMMYFUNCTION("""COMPUTED_VALUE"""),"+ 7,0 %")</f>
        <v>+ 7,0 %</v>
      </c>
      <c r="E20" s="1" t="str">
        <f>IFERROR(__xludf.DUMMYFUNCTION("""COMPUTED_VALUE"""),"+ 19,7 %")</f>
        <v>+ 19,7 %</v>
      </c>
    </row>
    <row r="21">
      <c r="A21" s="2">
        <f>IFERROR(__xludf.DUMMYFUNCTION("""COMPUTED_VALUE"""),45597.0)</f>
        <v>45597</v>
      </c>
      <c r="B21" s="1" t="str">
        <f>IFERROR(__xludf.DUMMYFUNCTION("""COMPUTED_VALUE"""),"4.950 €/m2")</f>
        <v>4.950 €/m2</v>
      </c>
      <c r="C21" s="1" t="str">
        <f>IFERROR(__xludf.DUMMYFUNCTION("""COMPUTED_VALUE"""),"+ 2,7 %")</f>
        <v>+ 2,7 %</v>
      </c>
      <c r="D21" s="1" t="str">
        <f>IFERROR(__xludf.DUMMYFUNCTION("""COMPUTED_VALUE"""),"+ 6,6 %")</f>
        <v>+ 6,6 %</v>
      </c>
      <c r="E21" s="1" t="str">
        <f>IFERROR(__xludf.DUMMYFUNCTION("""COMPUTED_VALUE"""),"+ 19,4 %")</f>
        <v>+ 19,4 %</v>
      </c>
    </row>
    <row r="22">
      <c r="A22" s="2">
        <f>IFERROR(__xludf.DUMMYFUNCTION("""COMPUTED_VALUE"""),45566.0)</f>
        <v>45566</v>
      </c>
      <c r="B22" s="1" t="str">
        <f>IFERROR(__xludf.DUMMYFUNCTION("""COMPUTED_VALUE"""),"4.818 €/m2")</f>
        <v>4.818 €/m2</v>
      </c>
      <c r="C22" s="1" t="str">
        <f>IFERROR(__xludf.DUMMYFUNCTION("""COMPUTED_VALUE"""),"+ 3,2 %")</f>
        <v>+ 3,2 %</v>
      </c>
      <c r="D22" s="1" t="str">
        <f>IFERROR(__xludf.DUMMYFUNCTION("""COMPUTED_VALUE"""),"+ 4,7 %")</f>
        <v>+ 4,7 %</v>
      </c>
      <c r="E22" s="1" t="str">
        <f>IFERROR(__xludf.DUMMYFUNCTION("""COMPUTED_VALUE"""),"+ 16,6 %")</f>
        <v>+ 16,6 %</v>
      </c>
    </row>
    <row r="23">
      <c r="A23" s="2">
        <f>IFERROR(__xludf.DUMMYFUNCTION("""COMPUTED_VALUE"""),45536.0)</f>
        <v>45536</v>
      </c>
      <c r="B23" s="1" t="str">
        <f>IFERROR(__xludf.DUMMYFUNCTION("""COMPUTED_VALUE"""),"4.671 €/m2")</f>
        <v>4.671 €/m2</v>
      </c>
      <c r="C23" s="1" t="str">
        <f>IFERROR(__xludf.DUMMYFUNCTION("""COMPUTED_VALUE"""),"+ 0,6 %")</f>
        <v>+ 0,6 %</v>
      </c>
      <c r="D23" s="1" t="str">
        <f>IFERROR(__xludf.DUMMYFUNCTION("""COMPUTED_VALUE"""),"+ 3,0 %")</f>
        <v>+ 3,0 %</v>
      </c>
      <c r="E23" s="1" t="str">
        <f>IFERROR(__xludf.DUMMYFUNCTION("""COMPUTED_VALUE"""),"+ 13,6 %")</f>
        <v>+ 13,6 %</v>
      </c>
    </row>
    <row r="24">
      <c r="A24" s="2">
        <f>IFERROR(__xludf.DUMMYFUNCTION("""COMPUTED_VALUE"""),45505.0)</f>
        <v>45505</v>
      </c>
      <c r="B24" s="1" t="str">
        <f>IFERROR(__xludf.DUMMYFUNCTION("""COMPUTED_VALUE"""),"4.642 €/m2")</f>
        <v>4.642 €/m2</v>
      </c>
      <c r="C24" s="1" t="str">
        <f>IFERROR(__xludf.DUMMYFUNCTION("""COMPUTED_VALUE"""),"+ 0,9 %")</f>
        <v>+ 0,9 %</v>
      </c>
      <c r="D24" s="1" t="str">
        <f>IFERROR(__xludf.DUMMYFUNCTION("""COMPUTED_VALUE"""),"+ 3,3 %")</f>
        <v>+ 3,3 %</v>
      </c>
      <c r="E24" s="1" t="str">
        <f>IFERROR(__xludf.DUMMYFUNCTION("""COMPUTED_VALUE"""),"+ 12,5 %")</f>
        <v>+ 12,5 %</v>
      </c>
    </row>
    <row r="25">
      <c r="A25" s="2">
        <f>IFERROR(__xludf.DUMMYFUNCTION("""COMPUTED_VALUE"""),45474.0)</f>
        <v>45474</v>
      </c>
      <c r="B25" s="1" t="str">
        <f>IFERROR(__xludf.DUMMYFUNCTION("""COMPUTED_VALUE"""),"4.600 €/m2")</f>
        <v>4.600 €/m2</v>
      </c>
      <c r="C25" s="1" t="str">
        <f>IFERROR(__xludf.DUMMYFUNCTION("""COMPUTED_VALUE"""),"+ 1,4 %")</f>
        <v>+ 1,4 %</v>
      </c>
      <c r="D25" s="1" t="str">
        <f>IFERROR(__xludf.DUMMYFUNCTION("""COMPUTED_VALUE"""),"+ 3,1 %")</f>
        <v>+ 3,1 %</v>
      </c>
      <c r="E25" s="1" t="str">
        <f>IFERROR(__xludf.DUMMYFUNCTION("""COMPUTED_VALUE"""),"+ 12,5 %")</f>
        <v>+ 12,5 %</v>
      </c>
    </row>
    <row r="26">
      <c r="A26" s="2">
        <f>IFERROR(__xludf.DUMMYFUNCTION("""COMPUTED_VALUE"""),45444.0)</f>
        <v>45444</v>
      </c>
      <c r="B26" s="1" t="str">
        <f>IFERROR(__xludf.DUMMYFUNCTION("""COMPUTED_VALUE"""),"4.536 €/m2")</f>
        <v>4.536 €/m2</v>
      </c>
      <c r="C26" s="1" t="str">
        <f>IFERROR(__xludf.DUMMYFUNCTION("""COMPUTED_VALUE"""),"+ 1,0 %")</f>
        <v>+ 1,0 %</v>
      </c>
      <c r="D26" s="1" t="str">
        <f>IFERROR(__xludf.DUMMYFUNCTION("""COMPUTED_VALUE"""),"+ 4,4 %")</f>
        <v>+ 4,4 %</v>
      </c>
      <c r="E26" s="1" t="str">
        <f>IFERROR(__xludf.DUMMYFUNCTION("""COMPUTED_VALUE"""),"+ 10,3 %")</f>
        <v>+ 10,3 %</v>
      </c>
    </row>
    <row r="27">
      <c r="A27" s="2">
        <f>IFERROR(__xludf.DUMMYFUNCTION("""COMPUTED_VALUE"""),45413.0)</f>
        <v>45413</v>
      </c>
      <c r="B27" s="1" t="str">
        <f>IFERROR(__xludf.DUMMYFUNCTION("""COMPUTED_VALUE"""),"4.491 €/m2")</f>
        <v>4.491 €/m2</v>
      </c>
      <c r="C27" s="1" t="str">
        <f>IFERROR(__xludf.DUMMYFUNCTION("""COMPUTED_VALUE"""),"+ 0,7 %")</f>
        <v>+ 0,7 %</v>
      </c>
      <c r="D27" s="1" t="str">
        <f>IFERROR(__xludf.DUMMYFUNCTION("""COMPUTED_VALUE"""),"+ 5,4 %")</f>
        <v>+ 5,4 %</v>
      </c>
      <c r="E27" s="1" t="str">
        <f>IFERROR(__xludf.DUMMYFUNCTION("""COMPUTED_VALUE"""),"+ 9,7 %")</f>
        <v>+ 9,7 %</v>
      </c>
    </row>
    <row r="28">
      <c r="A28" s="2">
        <f>IFERROR(__xludf.DUMMYFUNCTION("""COMPUTED_VALUE"""),45383.0)</f>
        <v>45383</v>
      </c>
      <c r="B28" s="1" t="str">
        <f>IFERROR(__xludf.DUMMYFUNCTION("""COMPUTED_VALUE"""),"4.461 €/m2")</f>
        <v>4.461 €/m2</v>
      </c>
      <c r="C28" s="1" t="str">
        <f>IFERROR(__xludf.DUMMYFUNCTION("""COMPUTED_VALUE"""),"+ 2,7 %")</f>
        <v>+ 2,7 %</v>
      </c>
      <c r="D28" s="1" t="str">
        <f>IFERROR(__xludf.DUMMYFUNCTION("""COMPUTED_VALUE"""),"+ 7,1 %")</f>
        <v>+ 7,1 %</v>
      </c>
      <c r="E28" s="1" t="str">
        <f>IFERROR(__xludf.DUMMYFUNCTION("""COMPUTED_VALUE"""),"+ 9,7 %")</f>
        <v>+ 9,7 %</v>
      </c>
    </row>
    <row r="29">
      <c r="A29" s="2">
        <f>IFERROR(__xludf.DUMMYFUNCTION("""COMPUTED_VALUE"""),45352.0)</f>
        <v>45352</v>
      </c>
      <c r="B29" s="1" t="str">
        <f>IFERROR(__xludf.DUMMYFUNCTION("""COMPUTED_VALUE"""),"4.344 €/m2")</f>
        <v>4.344 €/m2</v>
      </c>
      <c r="C29" s="1" t="str">
        <f>IFERROR(__xludf.DUMMYFUNCTION("""COMPUTED_VALUE"""),"+ 2,0 %")</f>
        <v>+ 2,0 %</v>
      </c>
      <c r="D29" s="1" t="str">
        <f>IFERROR(__xludf.DUMMYFUNCTION("""COMPUTED_VALUE"""),"+ 4,0 %")</f>
        <v>+ 4,0 %</v>
      </c>
      <c r="E29" s="1" t="str">
        <f>IFERROR(__xludf.DUMMYFUNCTION("""COMPUTED_VALUE"""),"+ 7,5 %")</f>
        <v>+ 7,5 %</v>
      </c>
    </row>
    <row r="30">
      <c r="A30" s="2">
        <f>IFERROR(__xludf.DUMMYFUNCTION("""COMPUTED_VALUE"""),45323.0)</f>
        <v>45323</v>
      </c>
      <c r="B30" s="1" t="str">
        <f>IFERROR(__xludf.DUMMYFUNCTION("""COMPUTED_VALUE"""),"4.260 €/m2")</f>
        <v>4.260 €/m2</v>
      </c>
      <c r="C30" s="1" t="str">
        <f>IFERROR(__xludf.DUMMYFUNCTION("""COMPUTED_VALUE"""),"+ 2,3 %")</f>
        <v>+ 2,3 %</v>
      </c>
      <c r="D30" s="1" t="str">
        <f>IFERROR(__xludf.DUMMYFUNCTION("""COMPUTED_VALUE"""),"+ 2,8 %")</f>
        <v>+ 2,8 %</v>
      </c>
      <c r="E30" s="1" t="str">
        <f>IFERROR(__xludf.DUMMYFUNCTION("""COMPUTED_VALUE"""),"+ 5,7 %")</f>
        <v>+ 5,7 %</v>
      </c>
    </row>
    <row r="31">
      <c r="A31" s="2">
        <f>IFERROR(__xludf.DUMMYFUNCTION("""COMPUTED_VALUE"""),45292.0)</f>
        <v>45292</v>
      </c>
      <c r="B31" s="1" t="str">
        <f>IFERROR(__xludf.DUMMYFUNCTION("""COMPUTED_VALUE"""),"4.165 €/m2")</f>
        <v>4.165 €/m2</v>
      </c>
      <c r="C31" s="1" t="str">
        <f>IFERROR(__xludf.DUMMYFUNCTION("""COMPUTED_VALUE"""),"- 0,2 %")</f>
        <v>- 0,2 %</v>
      </c>
      <c r="D31" s="1" t="str">
        <f>IFERROR(__xludf.DUMMYFUNCTION("""COMPUTED_VALUE"""),"+ 0,8 %")</f>
        <v>+ 0,8 %</v>
      </c>
      <c r="E31" s="1" t="str">
        <f>IFERROR(__xludf.DUMMYFUNCTION("""COMPUTED_VALUE"""),"+ 4,1 %")</f>
        <v>+ 4,1 %</v>
      </c>
    </row>
    <row r="32">
      <c r="A32" s="2">
        <f>IFERROR(__xludf.DUMMYFUNCTION("""COMPUTED_VALUE"""),45261.0)</f>
        <v>45261</v>
      </c>
      <c r="B32" s="1" t="str">
        <f>IFERROR(__xludf.DUMMYFUNCTION("""COMPUTED_VALUE"""),"4.175 €/m2")</f>
        <v>4.175 €/m2</v>
      </c>
      <c r="C32" s="1" t="str">
        <f>IFERROR(__xludf.DUMMYFUNCTION("""COMPUTED_VALUE"""),"+ 0,7 %")</f>
        <v>+ 0,7 %</v>
      </c>
      <c r="D32" s="1" t="str">
        <f>IFERROR(__xludf.DUMMYFUNCTION("""COMPUTED_VALUE"""),"+ 1,6 %")</f>
        <v>+ 1,6 %</v>
      </c>
      <c r="E32" s="1" t="str">
        <f>IFERROR(__xludf.DUMMYFUNCTION("""COMPUTED_VALUE"""),"+ 4,4 %")</f>
        <v>+ 4,4 %</v>
      </c>
    </row>
    <row r="33">
      <c r="A33" s="2">
        <f>IFERROR(__xludf.DUMMYFUNCTION("""COMPUTED_VALUE"""),45231.0)</f>
        <v>45231</v>
      </c>
      <c r="B33" s="1" t="str">
        <f>IFERROR(__xludf.DUMMYFUNCTION("""COMPUTED_VALUE"""),"4.145 €/m2")</f>
        <v>4.145 €/m2</v>
      </c>
      <c r="C33" s="1" t="str">
        <f>IFERROR(__xludf.DUMMYFUNCTION("""COMPUTED_VALUE"""),"+ 0,3 %")</f>
        <v>+ 0,3 %</v>
      </c>
      <c r="D33" s="1" t="str">
        <f>IFERROR(__xludf.DUMMYFUNCTION("""COMPUTED_VALUE"""),"+ 0,5 %")</f>
        <v>+ 0,5 %</v>
      </c>
      <c r="E33" s="1" t="str">
        <f>IFERROR(__xludf.DUMMYFUNCTION("""COMPUTED_VALUE"""),"+ 4,0 %")</f>
        <v>+ 4,0 %</v>
      </c>
    </row>
    <row r="34">
      <c r="A34" s="2">
        <f>IFERROR(__xludf.DUMMYFUNCTION("""COMPUTED_VALUE"""),45200.0)</f>
        <v>45200</v>
      </c>
      <c r="B34" s="1" t="str">
        <f>IFERROR(__xludf.DUMMYFUNCTION("""COMPUTED_VALUE"""),"4.131 €/m2")</f>
        <v>4.131 €/m2</v>
      </c>
      <c r="C34" s="1" t="str">
        <f>IFERROR(__xludf.DUMMYFUNCTION("""COMPUTED_VALUE"""),"+ 0,5 %")</f>
        <v>+ 0,5 %</v>
      </c>
      <c r="D34" s="1" t="str">
        <f>IFERROR(__xludf.DUMMYFUNCTION("""COMPUTED_VALUE"""),"+ 1,0 %")</f>
        <v>+ 1,0 %</v>
      </c>
      <c r="E34" s="1" t="str">
        <f>IFERROR(__xludf.DUMMYFUNCTION("""COMPUTED_VALUE"""),"+ 5,5 %")</f>
        <v>+ 5,5 %</v>
      </c>
    </row>
    <row r="35">
      <c r="A35" s="2">
        <f>IFERROR(__xludf.DUMMYFUNCTION("""COMPUTED_VALUE"""),45170.0)</f>
        <v>45170</v>
      </c>
      <c r="B35" s="1" t="str">
        <f>IFERROR(__xludf.DUMMYFUNCTION("""COMPUTED_VALUE"""),"4.110 €/m2")</f>
        <v>4.110 €/m2</v>
      </c>
      <c r="C35" s="1" t="str">
        <f>IFERROR(__xludf.DUMMYFUNCTION("""COMPUTED_VALUE"""),"- 0,4 %")</f>
        <v>- 0,4 %</v>
      </c>
      <c r="D35" s="1" t="str">
        <f>IFERROR(__xludf.DUMMYFUNCTION("""COMPUTED_VALUE"""),"0,0 %")</f>
        <v>0,0 %</v>
      </c>
      <c r="E35" s="1" t="str">
        <f>IFERROR(__xludf.DUMMYFUNCTION("""COMPUTED_VALUE"""),"+ 5,1 %")</f>
        <v>+ 5,1 %</v>
      </c>
    </row>
    <row r="36">
      <c r="A36" s="2">
        <f>IFERROR(__xludf.DUMMYFUNCTION("""COMPUTED_VALUE"""),45139.0)</f>
        <v>45139</v>
      </c>
      <c r="B36" s="1" t="str">
        <f>IFERROR(__xludf.DUMMYFUNCTION("""COMPUTED_VALUE"""),"4.125 €/m2")</f>
        <v>4.125 €/m2</v>
      </c>
      <c r="C36" s="1" t="str">
        <f>IFERROR(__xludf.DUMMYFUNCTION("""COMPUTED_VALUE"""),"+ 0,9 %")</f>
        <v>+ 0,9 %</v>
      </c>
      <c r="D36" s="1" t="str">
        <f>IFERROR(__xludf.DUMMYFUNCTION("""COMPUTED_VALUE"""),"+ 0,8 %")</f>
        <v>+ 0,8 %</v>
      </c>
      <c r="E36" s="1" t="str">
        <f>IFERROR(__xludf.DUMMYFUNCTION("""COMPUTED_VALUE"""),"+ 5,3 %")</f>
        <v>+ 5,3 %</v>
      </c>
    </row>
    <row r="37">
      <c r="A37" s="2">
        <f>IFERROR(__xludf.DUMMYFUNCTION("""COMPUTED_VALUE"""),45108.0)</f>
        <v>45108</v>
      </c>
      <c r="B37" s="1" t="str">
        <f>IFERROR(__xludf.DUMMYFUNCTION("""COMPUTED_VALUE"""),"4.088 €/m2")</f>
        <v>4.088 €/m2</v>
      </c>
      <c r="C37" s="1" t="str">
        <f>IFERROR(__xludf.DUMMYFUNCTION("""COMPUTED_VALUE"""),"- 0,5 %")</f>
        <v>- 0,5 %</v>
      </c>
      <c r="D37" s="1" t="str">
        <f>IFERROR(__xludf.DUMMYFUNCTION("""COMPUTED_VALUE"""),"+ 0,5 %")</f>
        <v>+ 0,5 %</v>
      </c>
      <c r="E37" s="1" t="str">
        <f>IFERROR(__xludf.DUMMYFUNCTION("""COMPUTED_VALUE"""),"+ 5,1 %")</f>
        <v>+ 5,1 %</v>
      </c>
    </row>
    <row r="38">
      <c r="A38" s="2">
        <f>IFERROR(__xludf.DUMMYFUNCTION("""COMPUTED_VALUE"""),45078.0)</f>
        <v>45078</v>
      </c>
      <c r="B38" s="1" t="str">
        <f>IFERROR(__xludf.DUMMYFUNCTION("""COMPUTED_VALUE"""),"4.110 €/m2")</f>
        <v>4.110 €/m2</v>
      </c>
      <c r="C38" s="1" t="str">
        <f>IFERROR(__xludf.DUMMYFUNCTION("""COMPUTED_VALUE"""),"+ 0,4 %")</f>
        <v>+ 0,4 %</v>
      </c>
      <c r="D38" s="1" t="str">
        <f>IFERROR(__xludf.DUMMYFUNCTION("""COMPUTED_VALUE"""),"+ 1,7 %")</f>
        <v>+ 1,7 %</v>
      </c>
      <c r="E38" s="1" t="str">
        <f>IFERROR(__xludf.DUMMYFUNCTION("""COMPUTED_VALUE"""),"+ 7,3 %")</f>
        <v>+ 7,3 %</v>
      </c>
    </row>
    <row r="39">
      <c r="A39" s="2">
        <f>IFERROR(__xludf.DUMMYFUNCTION("""COMPUTED_VALUE"""),45047.0)</f>
        <v>45047</v>
      </c>
      <c r="B39" s="1" t="str">
        <f>IFERROR(__xludf.DUMMYFUNCTION("""COMPUTED_VALUE"""),"4.094 €/m2")</f>
        <v>4.094 €/m2</v>
      </c>
      <c r="C39" s="1" t="str">
        <f>IFERROR(__xludf.DUMMYFUNCTION("""COMPUTED_VALUE"""),"+ 0,7 %")</f>
        <v>+ 0,7 %</v>
      </c>
      <c r="D39" s="1" t="str">
        <f>IFERROR(__xludf.DUMMYFUNCTION("""COMPUTED_VALUE"""),"+ 1,6 %")</f>
        <v>+ 1,6 %</v>
      </c>
      <c r="E39" s="1" t="str">
        <f>IFERROR(__xludf.DUMMYFUNCTION("""COMPUTED_VALUE"""),"+ 8,0 %")</f>
        <v>+ 8,0 %</v>
      </c>
    </row>
    <row r="40">
      <c r="A40" s="2">
        <f>IFERROR(__xludf.DUMMYFUNCTION("""COMPUTED_VALUE"""),45017.0)</f>
        <v>45017</v>
      </c>
      <c r="B40" s="1" t="str">
        <f>IFERROR(__xludf.DUMMYFUNCTION("""COMPUTED_VALUE"""),"4.068 €/m2")</f>
        <v>4.068 €/m2</v>
      </c>
      <c r="C40" s="1" t="str">
        <f>IFERROR(__xludf.DUMMYFUNCTION("""COMPUTED_VALUE"""),"+ 0,7 %")</f>
        <v>+ 0,7 %</v>
      </c>
      <c r="D40" s="1" t="str">
        <f>IFERROR(__xludf.DUMMYFUNCTION("""COMPUTED_VALUE"""),"+ 1,7 %")</f>
        <v>+ 1,7 %</v>
      </c>
      <c r="E40" s="1" t="str">
        <f>IFERROR(__xludf.DUMMYFUNCTION("""COMPUTED_VALUE"""),"+ 7,1 %")</f>
        <v>+ 7,1 %</v>
      </c>
    </row>
    <row r="41">
      <c r="A41" s="2">
        <f>IFERROR(__xludf.DUMMYFUNCTION("""COMPUTED_VALUE"""),44986.0)</f>
        <v>44986</v>
      </c>
      <c r="B41" s="1" t="str">
        <f>IFERROR(__xludf.DUMMYFUNCTION("""COMPUTED_VALUE"""),"4.041 €/m2")</f>
        <v>4.041 €/m2</v>
      </c>
      <c r="C41" s="1" t="str">
        <f>IFERROR(__xludf.DUMMYFUNCTION("""COMPUTED_VALUE"""),"+ 0,3 %")</f>
        <v>+ 0,3 %</v>
      </c>
      <c r="D41" s="1" t="str">
        <f>IFERROR(__xludf.DUMMYFUNCTION("""COMPUTED_VALUE"""),"+ 1,1 %")</f>
        <v>+ 1,1 %</v>
      </c>
      <c r="E41" s="1" t="str">
        <f>IFERROR(__xludf.DUMMYFUNCTION("""COMPUTED_VALUE"""),"+ 7,9 %")</f>
        <v>+ 7,9 %</v>
      </c>
    </row>
    <row r="42">
      <c r="A42" s="2">
        <f>IFERROR(__xludf.DUMMYFUNCTION("""COMPUTED_VALUE"""),44958.0)</f>
        <v>44958</v>
      </c>
      <c r="B42" s="1" t="str">
        <f>IFERROR(__xludf.DUMMYFUNCTION("""COMPUTED_VALUE"""),"4.030 €/m2")</f>
        <v>4.030 €/m2</v>
      </c>
      <c r="C42" s="1" t="str">
        <f>IFERROR(__xludf.DUMMYFUNCTION("""COMPUTED_VALUE"""),"+ 0,8 %")</f>
        <v>+ 0,8 %</v>
      </c>
      <c r="D42" s="1" t="str">
        <f>IFERROR(__xludf.DUMMYFUNCTION("""COMPUTED_VALUE"""),"+ 1,2 %")</f>
        <v>+ 1,2 %</v>
      </c>
      <c r="E42" s="1" t="str">
        <f>IFERROR(__xludf.DUMMYFUNCTION("""COMPUTED_VALUE"""),"+ 9,2 %")</f>
        <v>+ 9,2 %</v>
      </c>
    </row>
    <row r="43">
      <c r="A43" s="2">
        <f>IFERROR(__xludf.DUMMYFUNCTION("""COMPUTED_VALUE"""),44927.0)</f>
        <v>44927</v>
      </c>
      <c r="B43" s="1" t="str">
        <f>IFERROR(__xludf.DUMMYFUNCTION("""COMPUTED_VALUE"""),"4.000 €/m2")</f>
        <v>4.000 €/m2</v>
      </c>
      <c r="C43" s="1" t="str">
        <f>IFERROR(__xludf.DUMMYFUNCTION("""COMPUTED_VALUE"""),"0,0 %")</f>
        <v>0,0 %</v>
      </c>
      <c r="D43" s="1" t="str">
        <f>IFERROR(__xludf.DUMMYFUNCTION("""COMPUTED_VALUE"""),"+ 2,2 %")</f>
        <v>+ 2,2 %</v>
      </c>
      <c r="E43" s="1" t="str">
        <f>IFERROR(__xludf.DUMMYFUNCTION("""COMPUTED_VALUE"""),"+ 9,0 %")</f>
        <v>+ 9,0 %</v>
      </c>
    </row>
    <row r="44">
      <c r="A44" s="2">
        <f>IFERROR(__xludf.DUMMYFUNCTION("""COMPUTED_VALUE"""),44896.0)</f>
        <v>44896</v>
      </c>
      <c r="B44" s="1" t="str">
        <f>IFERROR(__xludf.DUMMYFUNCTION("""COMPUTED_VALUE"""),"3.999 €/m2")</f>
        <v>3.999 €/m2</v>
      </c>
      <c r="C44" s="1" t="str">
        <f>IFERROR(__xludf.DUMMYFUNCTION("""COMPUTED_VALUE"""),"+ 0,4 %")</f>
        <v>+ 0,4 %</v>
      </c>
      <c r="D44" s="1" t="str">
        <f>IFERROR(__xludf.DUMMYFUNCTION("""COMPUTED_VALUE"""),"+ 2,3 %")</f>
        <v>+ 2,3 %</v>
      </c>
      <c r="E44" s="1" t="str">
        <f>IFERROR(__xludf.DUMMYFUNCTION("""COMPUTED_VALUE"""),"+ 9,1 %")</f>
        <v>+ 9,1 %</v>
      </c>
    </row>
    <row r="45">
      <c r="A45" s="2">
        <f>IFERROR(__xludf.DUMMYFUNCTION("""COMPUTED_VALUE"""),44866.0)</f>
        <v>44866</v>
      </c>
      <c r="B45" s="1" t="str">
        <f>IFERROR(__xludf.DUMMYFUNCTION("""COMPUTED_VALUE"""),"3.984 €/m2")</f>
        <v>3.984 €/m2</v>
      </c>
      <c r="C45" s="1" t="str">
        <f>IFERROR(__xludf.DUMMYFUNCTION("""COMPUTED_VALUE"""),"+ 1,8 %")</f>
        <v>+ 1,8 %</v>
      </c>
      <c r="D45" s="1" t="str">
        <f>IFERROR(__xludf.DUMMYFUNCTION("""COMPUTED_VALUE"""),"+ 1,7 %")</f>
        <v>+ 1,7 %</v>
      </c>
      <c r="E45" s="1" t="str">
        <f>IFERROR(__xludf.DUMMYFUNCTION("""COMPUTED_VALUE"""),"+ 9,0 %")</f>
        <v>+ 9,0 %</v>
      </c>
    </row>
    <row r="46">
      <c r="A46" s="2">
        <f>IFERROR(__xludf.DUMMYFUNCTION("""COMPUTED_VALUE"""),44835.0)</f>
        <v>44835</v>
      </c>
      <c r="B46" s="1" t="str">
        <f>IFERROR(__xludf.DUMMYFUNCTION("""COMPUTED_VALUE"""),"3.914 €/m2")</f>
        <v>3.914 €/m2</v>
      </c>
      <c r="C46" s="1" t="str">
        <f>IFERROR(__xludf.DUMMYFUNCTION("""COMPUTED_VALUE"""),"+ 0,1 %")</f>
        <v>+ 0,1 %</v>
      </c>
      <c r="D46" s="1" t="str">
        <f>IFERROR(__xludf.DUMMYFUNCTION("""COMPUTED_VALUE"""),"+ 0,6 %")</f>
        <v>+ 0,6 %</v>
      </c>
      <c r="E46" s="1" t="str">
        <f>IFERROR(__xludf.DUMMYFUNCTION("""COMPUTED_VALUE"""),"+ 6,8 %")</f>
        <v>+ 6,8 %</v>
      </c>
    </row>
    <row r="47">
      <c r="A47" s="2">
        <f>IFERROR(__xludf.DUMMYFUNCTION("""COMPUTED_VALUE"""),44805.0)</f>
        <v>44805</v>
      </c>
      <c r="B47" s="1" t="str">
        <f>IFERROR(__xludf.DUMMYFUNCTION("""COMPUTED_VALUE"""),"3.909 €/m2")</f>
        <v>3.909 €/m2</v>
      </c>
      <c r="C47" s="1" t="str">
        <f>IFERROR(__xludf.DUMMYFUNCTION("""COMPUTED_VALUE"""),"- 0,2 %")</f>
        <v>- 0,2 %</v>
      </c>
      <c r="D47" s="1" t="str">
        <f>IFERROR(__xludf.DUMMYFUNCTION("""COMPUTED_VALUE"""),"+ 2,0 %")</f>
        <v>+ 2,0 %</v>
      </c>
      <c r="E47" s="1" t="str">
        <f>IFERROR(__xludf.DUMMYFUNCTION("""COMPUTED_VALUE"""),"+ 6,8 %")</f>
        <v>+ 6,8 %</v>
      </c>
    </row>
    <row r="48">
      <c r="A48" s="2">
        <f>IFERROR(__xludf.DUMMYFUNCTION("""COMPUTED_VALUE"""),44774.0)</f>
        <v>44774</v>
      </c>
      <c r="B48" s="1" t="str">
        <f>IFERROR(__xludf.DUMMYFUNCTION("""COMPUTED_VALUE"""),"3.918 €/m2")</f>
        <v>3.918 €/m2</v>
      </c>
      <c r="C48" s="1" t="str">
        <f>IFERROR(__xludf.DUMMYFUNCTION("""COMPUTED_VALUE"""),"+ 0,7 %")</f>
        <v>+ 0,7 %</v>
      </c>
      <c r="D48" s="1" t="str">
        <f>IFERROR(__xludf.DUMMYFUNCTION("""COMPUTED_VALUE"""),"+ 3,4 %")</f>
        <v>+ 3,4 %</v>
      </c>
      <c r="E48" s="1" t="str">
        <f>IFERROR(__xludf.DUMMYFUNCTION("""COMPUTED_VALUE"""),"+ 7,4 %")</f>
        <v>+ 7,4 %</v>
      </c>
    </row>
    <row r="49">
      <c r="A49" s="2">
        <f>IFERROR(__xludf.DUMMYFUNCTION("""COMPUTED_VALUE"""),44743.0)</f>
        <v>44743</v>
      </c>
      <c r="B49" s="1" t="str">
        <f>IFERROR(__xludf.DUMMYFUNCTION("""COMPUTED_VALUE"""),"3.889 €/m2")</f>
        <v>3.889 €/m2</v>
      </c>
      <c r="C49" s="1" t="str">
        <f>IFERROR(__xludf.DUMMYFUNCTION("""COMPUTED_VALUE"""),"+ 1,5 %")</f>
        <v>+ 1,5 %</v>
      </c>
      <c r="D49" s="1" t="str">
        <f>IFERROR(__xludf.DUMMYFUNCTION("""COMPUTED_VALUE"""),"+ 2,4 %")</f>
        <v>+ 2,4 %</v>
      </c>
      <c r="E49" s="1" t="str">
        <f>IFERROR(__xludf.DUMMYFUNCTION("""COMPUTED_VALUE"""),"+ 6,3 %")</f>
        <v>+ 6,3 %</v>
      </c>
    </row>
    <row r="50">
      <c r="A50" s="2">
        <f>IFERROR(__xludf.DUMMYFUNCTION("""COMPUTED_VALUE"""),44713.0)</f>
        <v>44713</v>
      </c>
      <c r="B50" s="1" t="str">
        <f>IFERROR(__xludf.DUMMYFUNCTION("""COMPUTED_VALUE"""),"3.833 €/m2")</f>
        <v>3.833 €/m2</v>
      </c>
      <c r="C50" s="1" t="str">
        <f>IFERROR(__xludf.DUMMYFUNCTION("""COMPUTED_VALUE"""),"+ 1,1 %")</f>
        <v>+ 1,1 %</v>
      </c>
      <c r="D50" s="1" t="str">
        <f>IFERROR(__xludf.DUMMYFUNCTION("""COMPUTED_VALUE"""),"+ 2,3 %")</f>
        <v>+ 2,3 %</v>
      </c>
      <c r="E50" s="1" t="str">
        <f>IFERROR(__xludf.DUMMYFUNCTION("""COMPUTED_VALUE"""),"+ 4,6 %")</f>
        <v>+ 4,6 %</v>
      </c>
    </row>
    <row r="51">
      <c r="A51" s="2">
        <f>IFERROR(__xludf.DUMMYFUNCTION("""COMPUTED_VALUE"""),44682.0)</f>
        <v>44682</v>
      </c>
      <c r="B51" s="1" t="str">
        <f>IFERROR(__xludf.DUMMYFUNCTION("""COMPUTED_VALUE"""),"3.791 €/m2")</f>
        <v>3.791 €/m2</v>
      </c>
      <c r="C51" s="1" t="str">
        <f>IFERROR(__xludf.DUMMYFUNCTION("""COMPUTED_VALUE"""),"- 0,2 %")</f>
        <v>- 0,2 %</v>
      </c>
      <c r="D51" s="1" t="str">
        <f>IFERROR(__xludf.DUMMYFUNCTION("""COMPUTED_VALUE"""),"+ 2,7 %")</f>
        <v>+ 2,7 %</v>
      </c>
      <c r="E51" s="1" t="str">
        <f>IFERROR(__xludf.DUMMYFUNCTION("""COMPUTED_VALUE"""),"+ 4,1 %")</f>
        <v>+ 4,1 %</v>
      </c>
    </row>
    <row r="52">
      <c r="A52" s="2">
        <f>IFERROR(__xludf.DUMMYFUNCTION("""COMPUTED_VALUE"""),44652.0)</f>
        <v>44652</v>
      </c>
      <c r="B52" s="1" t="str">
        <f>IFERROR(__xludf.DUMMYFUNCTION("""COMPUTED_VALUE"""),"3.798 €/m2")</f>
        <v>3.798 €/m2</v>
      </c>
      <c r="C52" s="1" t="str">
        <f>IFERROR(__xludf.DUMMYFUNCTION("""COMPUTED_VALUE"""),"+ 1,4 %")</f>
        <v>+ 1,4 %</v>
      </c>
      <c r="D52" s="1" t="str">
        <f>IFERROR(__xludf.DUMMYFUNCTION("""COMPUTED_VALUE"""),"+ 3,5 %")</f>
        <v>+ 3,5 %</v>
      </c>
      <c r="E52" s="1" t="str">
        <f>IFERROR(__xludf.DUMMYFUNCTION("""COMPUTED_VALUE"""),"+ 3,9 %")</f>
        <v>+ 3,9 %</v>
      </c>
    </row>
    <row r="53">
      <c r="A53" s="2">
        <f>IFERROR(__xludf.DUMMYFUNCTION("""COMPUTED_VALUE"""),44621.0)</f>
        <v>44621</v>
      </c>
      <c r="B53" s="1" t="str">
        <f>IFERROR(__xludf.DUMMYFUNCTION("""COMPUTED_VALUE"""),"3.747 €/m2")</f>
        <v>3.747 €/m2</v>
      </c>
      <c r="C53" s="1" t="str">
        <f>IFERROR(__xludf.DUMMYFUNCTION("""COMPUTED_VALUE"""),"+ 1,5 %")</f>
        <v>+ 1,5 %</v>
      </c>
      <c r="D53" s="1" t="str">
        <f>IFERROR(__xludf.DUMMYFUNCTION("""COMPUTED_VALUE"""),"+ 2,2 %")</f>
        <v>+ 2,2 %</v>
      </c>
      <c r="E53" s="1" t="str">
        <f>IFERROR(__xludf.DUMMYFUNCTION("""COMPUTED_VALUE"""),"+ 1,9 %")</f>
        <v>+ 1,9 %</v>
      </c>
    </row>
    <row r="54">
      <c r="A54" s="2">
        <f>IFERROR(__xludf.DUMMYFUNCTION("""COMPUTED_VALUE"""),44593.0)</f>
        <v>44593</v>
      </c>
      <c r="B54" s="1" t="str">
        <f>IFERROR(__xludf.DUMMYFUNCTION("""COMPUTED_VALUE"""),"3.690 €/m2")</f>
        <v>3.690 €/m2</v>
      </c>
      <c r="C54" s="1" t="str">
        <f>IFERROR(__xludf.DUMMYFUNCTION("""COMPUTED_VALUE"""),"+ 0,6 %")</f>
        <v>+ 0,6 %</v>
      </c>
      <c r="D54" s="1" t="str">
        <f>IFERROR(__xludf.DUMMYFUNCTION("""COMPUTED_VALUE"""),"+ 0,9 %")</f>
        <v>+ 0,9 %</v>
      </c>
      <c r="E54" s="1" t="str">
        <f>IFERROR(__xludf.DUMMYFUNCTION("""COMPUTED_VALUE"""),"+ 0,3 %")</f>
        <v>+ 0,3 %</v>
      </c>
    </row>
    <row r="55">
      <c r="A55" s="2">
        <f>IFERROR(__xludf.DUMMYFUNCTION("""COMPUTED_VALUE"""),44562.0)</f>
        <v>44562</v>
      </c>
      <c r="B55" s="1" t="str">
        <f>IFERROR(__xludf.DUMMYFUNCTION("""COMPUTED_VALUE"""),"3.670 €/m2")</f>
        <v>3.670 €/m2</v>
      </c>
      <c r="C55" s="1" t="str">
        <f>IFERROR(__xludf.DUMMYFUNCTION("""COMPUTED_VALUE"""),"+ 0,1 %")</f>
        <v>+ 0,1 %</v>
      </c>
      <c r="D55" s="1" t="str">
        <f>IFERROR(__xludf.DUMMYFUNCTION("""COMPUTED_VALUE"""),"+ 0,1 %")</f>
        <v>+ 0,1 %</v>
      </c>
      <c r="E55" s="1" t="str">
        <f>IFERROR(__xludf.DUMMYFUNCTION("""COMPUTED_VALUE"""),"- 0,1 %")</f>
        <v>- 0,1 %</v>
      </c>
    </row>
    <row r="56">
      <c r="A56" s="2">
        <f>IFERROR(__xludf.DUMMYFUNCTION("""COMPUTED_VALUE"""),44531.0)</f>
        <v>44531</v>
      </c>
      <c r="B56" s="1" t="str">
        <f>IFERROR(__xludf.DUMMYFUNCTION("""COMPUTED_VALUE"""),"3.666 €/m2")</f>
        <v>3.666 €/m2</v>
      </c>
      <c r="C56" s="1" t="str">
        <f>IFERROR(__xludf.DUMMYFUNCTION("""COMPUTED_VALUE"""),"+ 0,3 %")</f>
        <v>+ 0,3 %</v>
      </c>
      <c r="D56" s="1" t="str">
        <f>IFERROR(__xludf.DUMMYFUNCTION("""COMPUTED_VALUE"""),"+ 0,1 %")</f>
        <v>+ 0,1 %</v>
      </c>
      <c r="E56" s="1" t="str">
        <f>IFERROR(__xludf.DUMMYFUNCTION("""COMPUTED_VALUE"""),"+ 0,2 %")</f>
        <v>+ 0,2 %</v>
      </c>
    </row>
    <row r="57">
      <c r="A57" s="2">
        <f>IFERROR(__xludf.DUMMYFUNCTION("""COMPUTED_VALUE"""),44501.0)</f>
        <v>44501</v>
      </c>
      <c r="B57" s="1" t="str">
        <f>IFERROR(__xludf.DUMMYFUNCTION("""COMPUTED_VALUE"""),"3.657 €/m2")</f>
        <v>3.657 €/m2</v>
      </c>
      <c r="C57" s="1" t="str">
        <f>IFERROR(__xludf.DUMMYFUNCTION("""COMPUTED_VALUE"""),"- 0,2 %")</f>
        <v>- 0,2 %</v>
      </c>
      <c r="D57" s="1" t="str">
        <f>IFERROR(__xludf.DUMMYFUNCTION("""COMPUTED_VALUE"""),"+ 0,3 %")</f>
        <v>+ 0,3 %</v>
      </c>
      <c r="E57" s="1" t="str">
        <f>IFERROR(__xludf.DUMMYFUNCTION("""COMPUTED_VALUE"""),"- 0,6 %")</f>
        <v>- 0,6 %</v>
      </c>
    </row>
    <row r="58">
      <c r="A58" s="2">
        <f>IFERROR(__xludf.DUMMYFUNCTION("""COMPUTED_VALUE"""),44470.0)</f>
        <v>44470</v>
      </c>
      <c r="B58" s="1" t="str">
        <f>IFERROR(__xludf.DUMMYFUNCTION("""COMPUTED_VALUE"""),"3.664 €/m2")</f>
        <v>3.664 €/m2</v>
      </c>
      <c r="C58" s="1" t="str">
        <f>IFERROR(__xludf.DUMMYFUNCTION("""COMPUTED_VALUE"""),"+ 0,1 %")</f>
        <v>+ 0,1 %</v>
      </c>
      <c r="D58" s="1" t="str">
        <f>IFERROR(__xludf.DUMMYFUNCTION("""COMPUTED_VALUE"""),"+ 0,1 %")</f>
        <v>+ 0,1 %</v>
      </c>
      <c r="E58" s="1" t="str">
        <f>IFERROR(__xludf.DUMMYFUNCTION("""COMPUTED_VALUE"""),"+ 0,1 %")</f>
        <v>+ 0,1 %</v>
      </c>
    </row>
    <row r="59">
      <c r="A59" s="2">
        <f>IFERROR(__xludf.DUMMYFUNCTION("""COMPUTED_VALUE"""),44440.0)</f>
        <v>44440</v>
      </c>
      <c r="B59" s="1" t="str">
        <f>IFERROR(__xludf.DUMMYFUNCTION("""COMPUTED_VALUE"""),"3.661 €/m2")</f>
        <v>3.661 €/m2</v>
      </c>
      <c r="C59" s="1" t="str">
        <f>IFERROR(__xludf.DUMMYFUNCTION("""COMPUTED_VALUE"""),"+ 0,4 %")</f>
        <v>+ 0,4 %</v>
      </c>
      <c r="D59" s="1" t="str">
        <f>IFERROR(__xludf.DUMMYFUNCTION("""COMPUTED_VALUE"""),"- 0,1 %")</f>
        <v>- 0,1 %</v>
      </c>
      <c r="E59" s="1" t="str">
        <f>IFERROR(__xludf.DUMMYFUNCTION("""COMPUTED_VALUE"""),"- 0,6 %")</f>
        <v>- 0,6 %</v>
      </c>
    </row>
    <row r="60">
      <c r="A60" s="2">
        <f>IFERROR(__xludf.DUMMYFUNCTION("""COMPUTED_VALUE"""),44409.0)</f>
        <v>44409</v>
      </c>
      <c r="B60" s="1" t="str">
        <f>IFERROR(__xludf.DUMMYFUNCTION("""COMPUTED_VALUE"""),"3.647 €/m2")</f>
        <v>3.647 €/m2</v>
      </c>
      <c r="C60" s="1" t="str">
        <f>IFERROR(__xludf.DUMMYFUNCTION("""COMPUTED_VALUE"""),"- 0,4 %")</f>
        <v>- 0,4 %</v>
      </c>
      <c r="D60" s="1" t="str">
        <f>IFERROR(__xludf.DUMMYFUNCTION("""COMPUTED_VALUE"""),"+ 0,2 %")</f>
        <v>+ 0,2 %</v>
      </c>
      <c r="E60" s="1" t="str">
        <f>IFERROR(__xludf.DUMMYFUNCTION("""COMPUTED_VALUE"""),"- 1,1 %")</f>
        <v>- 1,1 %</v>
      </c>
    </row>
    <row r="61">
      <c r="A61" s="2">
        <f>IFERROR(__xludf.DUMMYFUNCTION("""COMPUTED_VALUE"""),44378.0)</f>
        <v>44378</v>
      </c>
      <c r="B61" s="1" t="str">
        <f>IFERROR(__xludf.DUMMYFUNCTION("""COMPUTED_VALUE"""),"3.660 €/m2")</f>
        <v>3.660 €/m2</v>
      </c>
      <c r="C61" s="1" t="str">
        <f>IFERROR(__xludf.DUMMYFUNCTION("""COMPUTED_VALUE"""),"- 0,2 %")</f>
        <v>- 0,2 %</v>
      </c>
      <c r="D61" s="1" t="str">
        <f>IFERROR(__xludf.DUMMYFUNCTION("""COMPUTED_VALUE"""),"+ 0,1 %")</f>
        <v>+ 0,1 %</v>
      </c>
      <c r="E61" s="1" t="str">
        <f>IFERROR(__xludf.DUMMYFUNCTION("""COMPUTED_VALUE"""),"- 1,3 %")</f>
        <v>- 1,3 %</v>
      </c>
    </row>
    <row r="62">
      <c r="A62" s="2">
        <f>IFERROR(__xludf.DUMMYFUNCTION("""COMPUTED_VALUE"""),44348.0)</f>
        <v>44348</v>
      </c>
      <c r="B62" s="1" t="str">
        <f>IFERROR(__xludf.DUMMYFUNCTION("""COMPUTED_VALUE"""),"3.665 €/m2")</f>
        <v>3.665 €/m2</v>
      </c>
      <c r="C62" s="1" t="str">
        <f>IFERROR(__xludf.DUMMYFUNCTION("""COMPUTED_VALUE"""),"+ 0,7 %")</f>
        <v>+ 0,7 %</v>
      </c>
      <c r="D62" s="1" t="str">
        <f>IFERROR(__xludf.DUMMYFUNCTION("""COMPUTED_VALUE"""),"- 0,4 %")</f>
        <v>- 0,4 %</v>
      </c>
      <c r="E62" s="1" t="str">
        <f>IFERROR(__xludf.DUMMYFUNCTION("""COMPUTED_VALUE"""),"- 1,9 %")</f>
        <v>- 1,9 %</v>
      </c>
    </row>
    <row r="63">
      <c r="A63" s="2">
        <f>IFERROR(__xludf.DUMMYFUNCTION("""COMPUTED_VALUE"""),44317.0)</f>
        <v>44317</v>
      </c>
      <c r="B63" s="1" t="str">
        <f>IFERROR(__xludf.DUMMYFUNCTION("""COMPUTED_VALUE"""),"3.640 €/m2")</f>
        <v>3.640 €/m2</v>
      </c>
      <c r="C63" s="1" t="str">
        <f>IFERROR(__xludf.DUMMYFUNCTION("""COMPUTED_VALUE"""),"- 0,4 %")</f>
        <v>- 0,4 %</v>
      </c>
      <c r="D63" s="1" t="str">
        <f>IFERROR(__xludf.DUMMYFUNCTION("""COMPUTED_VALUE"""),"- 1,1 %")</f>
        <v>- 1,1 %</v>
      </c>
      <c r="E63" s="1" t="str">
        <f>IFERROR(__xludf.DUMMYFUNCTION("""COMPUTED_VALUE"""),"- 1,8 %")</f>
        <v>- 1,8 %</v>
      </c>
    </row>
    <row r="64">
      <c r="A64" s="2">
        <f>IFERROR(__xludf.DUMMYFUNCTION("""COMPUTED_VALUE"""),44287.0)</f>
        <v>44287</v>
      </c>
      <c r="B64" s="1" t="str">
        <f>IFERROR(__xludf.DUMMYFUNCTION("""COMPUTED_VALUE"""),"3.656 €/m2")</f>
        <v>3.656 €/m2</v>
      </c>
      <c r="C64" s="1" t="str">
        <f>IFERROR(__xludf.DUMMYFUNCTION("""COMPUTED_VALUE"""),"- 0,6 %")</f>
        <v>- 0,6 %</v>
      </c>
      <c r="D64" s="1" t="str">
        <f>IFERROR(__xludf.DUMMYFUNCTION("""COMPUTED_VALUE"""),"- 0,5 %")</f>
        <v>- 0,5 %</v>
      </c>
      <c r="E64" s="1" t="str">
        <f>IFERROR(__xludf.DUMMYFUNCTION("""COMPUTED_VALUE"""),"- 1,3 %")</f>
        <v>- 1,3 %</v>
      </c>
    </row>
    <row r="65">
      <c r="A65" s="2">
        <f>IFERROR(__xludf.DUMMYFUNCTION("""COMPUTED_VALUE"""),44256.0)</f>
        <v>44256</v>
      </c>
      <c r="B65" s="1" t="str">
        <f>IFERROR(__xludf.DUMMYFUNCTION("""COMPUTED_VALUE"""),"3.678 €/m2")</f>
        <v>3.678 €/m2</v>
      </c>
      <c r="C65" s="1" t="str">
        <f>IFERROR(__xludf.DUMMYFUNCTION("""COMPUTED_VALUE"""),"0,0 %")</f>
        <v>0,0 %</v>
      </c>
      <c r="D65" s="1" t="str">
        <f>IFERROR(__xludf.DUMMYFUNCTION("""COMPUTED_VALUE"""),"+ 0,5 %")</f>
        <v>+ 0,5 %</v>
      </c>
      <c r="E65" s="1" t="str">
        <f>IFERROR(__xludf.DUMMYFUNCTION("""COMPUTED_VALUE"""),"- 0,4 %")</f>
        <v>- 0,4 %</v>
      </c>
    </row>
    <row r="66">
      <c r="A66" s="2">
        <f>IFERROR(__xludf.DUMMYFUNCTION("""COMPUTED_VALUE"""),44228.0)</f>
        <v>44228</v>
      </c>
      <c r="B66" s="1" t="str">
        <f>IFERROR(__xludf.DUMMYFUNCTION("""COMPUTED_VALUE"""),"3.679 €/m2")</f>
        <v>3.679 €/m2</v>
      </c>
      <c r="C66" s="1" t="str">
        <f>IFERROR(__xludf.DUMMYFUNCTION("""COMPUTED_VALUE"""),"+ 0,2 %")</f>
        <v>+ 0,2 %</v>
      </c>
      <c r="D66" s="1" t="str">
        <f>IFERROR(__xludf.DUMMYFUNCTION("""COMPUTED_VALUE"""),"0,0 %")</f>
        <v>0,0 %</v>
      </c>
      <c r="E66" s="1" t="str">
        <f>IFERROR(__xludf.DUMMYFUNCTION("""COMPUTED_VALUE"""),"- 0,2 %")</f>
        <v>- 0,2 %</v>
      </c>
    </row>
    <row r="67">
      <c r="A67" s="2">
        <f>IFERROR(__xludf.DUMMYFUNCTION("""COMPUTED_VALUE"""),44197.0)</f>
        <v>44197</v>
      </c>
      <c r="B67" s="1" t="str">
        <f>IFERROR(__xludf.DUMMYFUNCTION("""COMPUTED_VALUE"""),"3.672 €/m2")</f>
        <v>3.672 €/m2</v>
      </c>
      <c r="C67" s="1" t="str">
        <f>IFERROR(__xludf.DUMMYFUNCTION("""COMPUTED_VALUE"""),"+ 0,3 %")</f>
        <v>+ 0,3 %</v>
      </c>
      <c r="D67" s="1" t="str">
        <f>IFERROR(__xludf.DUMMYFUNCTION("""COMPUTED_VALUE"""),"+ 0,3 %")</f>
        <v>+ 0,3 %</v>
      </c>
      <c r="E67" s="1" t="str">
        <f>IFERROR(__xludf.DUMMYFUNCTION("""COMPUTED_VALUE"""),"+ 1,1 %")</f>
        <v>+ 1,1 %</v>
      </c>
    </row>
    <row r="68">
      <c r="A68" s="2">
        <f>IFERROR(__xludf.DUMMYFUNCTION("""COMPUTED_VALUE"""),44166.0)</f>
        <v>44166</v>
      </c>
      <c r="B68" s="1" t="str">
        <f>IFERROR(__xludf.DUMMYFUNCTION("""COMPUTED_VALUE"""),"3.660 €/m2")</f>
        <v>3.660 €/m2</v>
      </c>
      <c r="C68" s="1" t="str">
        <f>IFERROR(__xludf.DUMMYFUNCTION("""COMPUTED_VALUE"""),"- 0,5 %")</f>
        <v>- 0,5 %</v>
      </c>
      <c r="D68" s="1" t="str">
        <f>IFERROR(__xludf.DUMMYFUNCTION("""COMPUTED_VALUE"""),"- 0,7 %")</f>
        <v>- 0,7 %</v>
      </c>
      <c r="E68" s="1" t="str">
        <f>IFERROR(__xludf.DUMMYFUNCTION("""COMPUTED_VALUE"""),"- 0,4 %")</f>
        <v>- 0,4 %</v>
      </c>
    </row>
    <row r="69">
      <c r="A69" s="2">
        <f>IFERROR(__xludf.DUMMYFUNCTION("""COMPUTED_VALUE"""),44136.0)</f>
        <v>44136</v>
      </c>
      <c r="B69" s="1" t="str">
        <f>IFERROR(__xludf.DUMMYFUNCTION("""COMPUTED_VALUE"""),"3.678 €/m2")</f>
        <v>3.678 €/m2</v>
      </c>
      <c r="C69" s="1" t="str">
        <f>IFERROR(__xludf.DUMMYFUNCTION("""COMPUTED_VALUE"""),"+ 0,4 %")</f>
        <v>+ 0,4 %</v>
      </c>
      <c r="D69" s="1" t="str">
        <f>IFERROR(__xludf.DUMMYFUNCTION("""COMPUTED_VALUE"""),"- 0,2 %")</f>
        <v>- 0,2 %</v>
      </c>
      <c r="E69" s="1" t="str">
        <f>IFERROR(__xludf.DUMMYFUNCTION("""COMPUTED_VALUE"""),"- 0,2 %")</f>
        <v>- 0,2 %</v>
      </c>
    </row>
    <row r="70">
      <c r="A70" s="2">
        <f>IFERROR(__xludf.DUMMYFUNCTION("""COMPUTED_VALUE"""),44105.0)</f>
        <v>44105</v>
      </c>
      <c r="B70" s="1" t="str">
        <f>IFERROR(__xludf.DUMMYFUNCTION("""COMPUTED_VALUE"""),"3.662 €/m2")</f>
        <v>3.662 €/m2</v>
      </c>
      <c r="C70" s="1" t="str">
        <f>IFERROR(__xludf.DUMMYFUNCTION("""COMPUTED_VALUE"""),"- 0,6 %")</f>
        <v>- 0,6 %</v>
      </c>
      <c r="D70" s="1" t="str">
        <f>IFERROR(__xludf.DUMMYFUNCTION("""COMPUTED_VALUE"""),"- 1,3 %")</f>
        <v>- 1,3 %</v>
      </c>
      <c r="E70" s="1" t="str">
        <f>IFERROR(__xludf.DUMMYFUNCTION("""COMPUTED_VALUE"""),"- 1,1 %")</f>
        <v>- 1,1 %</v>
      </c>
    </row>
    <row r="71">
      <c r="A71" s="2">
        <f>IFERROR(__xludf.DUMMYFUNCTION("""COMPUTED_VALUE"""),44075.0)</f>
        <v>44075</v>
      </c>
      <c r="B71" s="1" t="str">
        <f>IFERROR(__xludf.DUMMYFUNCTION("""COMPUTED_VALUE"""),"3.684 €/m2")</f>
        <v>3.684 €/m2</v>
      </c>
      <c r="C71" s="1" t="str">
        <f>IFERROR(__xludf.DUMMYFUNCTION("""COMPUTED_VALUE"""),"- 0,1 %")</f>
        <v>- 0,1 %</v>
      </c>
      <c r="D71" s="1" t="str">
        <f>IFERROR(__xludf.DUMMYFUNCTION("""COMPUTED_VALUE"""),"- 1,4 %")</f>
        <v>- 1,4 %</v>
      </c>
      <c r="E71" s="1" t="str">
        <f>IFERROR(__xludf.DUMMYFUNCTION("""COMPUTED_VALUE"""),"+ 0,1 %")</f>
        <v>+ 0,1 %</v>
      </c>
    </row>
    <row r="72">
      <c r="A72" s="2">
        <f>IFERROR(__xludf.DUMMYFUNCTION("""COMPUTED_VALUE"""),44044.0)</f>
        <v>44044</v>
      </c>
      <c r="B72" s="1" t="str">
        <f>IFERROR(__xludf.DUMMYFUNCTION("""COMPUTED_VALUE"""),"3.687 €/m2")</f>
        <v>3.687 €/m2</v>
      </c>
      <c r="C72" s="1" t="str">
        <f>IFERROR(__xludf.DUMMYFUNCTION("""COMPUTED_VALUE"""),"- 0,6 %")</f>
        <v>- 0,6 %</v>
      </c>
      <c r="D72" s="1" t="str">
        <f>IFERROR(__xludf.DUMMYFUNCTION("""COMPUTED_VALUE"""),"- 0,5 %")</f>
        <v>- 0,5 %</v>
      </c>
      <c r="E72" s="1" t="str">
        <f>IFERROR(__xludf.DUMMYFUNCTION("""COMPUTED_VALUE"""),"+ 0,1 %")</f>
        <v>+ 0,1 %</v>
      </c>
    </row>
    <row r="73">
      <c r="A73" s="2">
        <f>IFERROR(__xludf.DUMMYFUNCTION("""COMPUTED_VALUE"""),44013.0)</f>
        <v>44013</v>
      </c>
      <c r="B73" s="1" t="str">
        <f>IFERROR(__xludf.DUMMYFUNCTION("""COMPUTED_VALUE"""),"3.709 €/m2")</f>
        <v>3.709 €/m2</v>
      </c>
      <c r="C73" s="1" t="str">
        <f>IFERROR(__xludf.DUMMYFUNCTION("""COMPUTED_VALUE"""),"- 0,7 %")</f>
        <v>- 0,7 %</v>
      </c>
      <c r="D73" s="1" t="str">
        <f>IFERROR(__xludf.DUMMYFUNCTION("""COMPUTED_VALUE"""),"+ 0,2 %")</f>
        <v>+ 0,2 %</v>
      </c>
      <c r="E73" s="1" t="str">
        <f>IFERROR(__xludf.DUMMYFUNCTION("""COMPUTED_VALUE"""),"+ 0,7 %")</f>
        <v>+ 0,7 %</v>
      </c>
    </row>
    <row r="74">
      <c r="A74" s="2">
        <f>IFERROR(__xludf.DUMMYFUNCTION("""COMPUTED_VALUE"""),43983.0)</f>
        <v>43983</v>
      </c>
      <c r="B74" s="1" t="str">
        <f>IFERROR(__xludf.DUMMYFUNCTION("""COMPUTED_VALUE"""),"3.736 €/m2")</f>
        <v>3.736 €/m2</v>
      </c>
      <c r="C74" s="1" t="str">
        <f>IFERROR(__xludf.DUMMYFUNCTION("""COMPUTED_VALUE"""),"+ 0,8 %")</f>
        <v>+ 0,8 %</v>
      </c>
      <c r="D74" s="1" t="str">
        <f>IFERROR(__xludf.DUMMYFUNCTION("""COMPUTED_VALUE"""),"+ 1,2 %")</f>
        <v>+ 1,2 %</v>
      </c>
      <c r="E74" s="1" t="str">
        <f>IFERROR(__xludf.DUMMYFUNCTION("""COMPUTED_VALUE"""),"+ 0,8 %")</f>
        <v>+ 0,8 %</v>
      </c>
    </row>
    <row r="75">
      <c r="A75" s="2">
        <f>IFERROR(__xludf.DUMMYFUNCTION("""COMPUTED_VALUE"""),43952.0)</f>
        <v>43952</v>
      </c>
      <c r="B75" s="1" t="str">
        <f>IFERROR(__xludf.DUMMYFUNCTION("""COMPUTED_VALUE"""),"3.706 €/m2")</f>
        <v>3.706 €/m2</v>
      </c>
      <c r="C75" s="1" t="str">
        <f>IFERROR(__xludf.DUMMYFUNCTION("""COMPUTED_VALUE"""),"+ 0,1 %")</f>
        <v>+ 0,1 %</v>
      </c>
      <c r="D75" s="1" t="str">
        <f>IFERROR(__xludf.DUMMYFUNCTION("""COMPUTED_VALUE"""),"+ 0,6 %")</f>
        <v>+ 0,6 %</v>
      </c>
      <c r="E75" s="1" t="str">
        <f>IFERROR(__xludf.DUMMYFUNCTION("""COMPUTED_VALUE"""),"+ 0,2 %")</f>
        <v>+ 0,2 %</v>
      </c>
    </row>
    <row r="76">
      <c r="A76" s="2">
        <f>IFERROR(__xludf.DUMMYFUNCTION("""COMPUTED_VALUE"""),43922.0)</f>
        <v>43922</v>
      </c>
      <c r="B76" s="1" t="str">
        <f>IFERROR(__xludf.DUMMYFUNCTION("""COMPUTED_VALUE"""),"3.702 €/m2")</f>
        <v>3.702 €/m2</v>
      </c>
      <c r="C76" s="1" t="str">
        <f>IFERROR(__xludf.DUMMYFUNCTION("""COMPUTED_VALUE"""),"+ 0,3 %")</f>
        <v>+ 0,3 %</v>
      </c>
      <c r="D76" s="1" t="str">
        <f>IFERROR(__xludf.DUMMYFUNCTION("""COMPUTED_VALUE"""),"+ 2,0 %")</f>
        <v>+ 2,0 %</v>
      </c>
      <c r="E76" s="1" t="str">
        <f>IFERROR(__xludf.DUMMYFUNCTION("""COMPUTED_VALUE"""),"- 0,5 %")</f>
        <v>- 0,5 %</v>
      </c>
    </row>
    <row r="77">
      <c r="A77" s="2">
        <f>IFERROR(__xludf.DUMMYFUNCTION("""COMPUTED_VALUE"""),43891.0)</f>
        <v>43891</v>
      </c>
      <c r="B77" s="1" t="str">
        <f>IFERROR(__xludf.DUMMYFUNCTION("""COMPUTED_VALUE"""),"3.692 €/m2")</f>
        <v>3.692 €/m2</v>
      </c>
      <c r="C77" s="1" t="str">
        <f>IFERROR(__xludf.DUMMYFUNCTION("""COMPUTED_VALUE"""),"+ 0,2 %")</f>
        <v>+ 0,2 %</v>
      </c>
      <c r="D77" s="1" t="str">
        <f>IFERROR(__xludf.DUMMYFUNCTION("""COMPUTED_VALUE"""),"+ 0,5 %")</f>
        <v>+ 0,5 %</v>
      </c>
      <c r="E77" s="1" t="str">
        <f>IFERROR(__xludf.DUMMYFUNCTION("""COMPUTED_VALUE"""),"- 0,8 %")</f>
        <v>- 0,8 %</v>
      </c>
    </row>
    <row r="78">
      <c r="A78" s="2">
        <f>IFERROR(__xludf.DUMMYFUNCTION("""COMPUTED_VALUE"""),43862.0)</f>
        <v>43862</v>
      </c>
      <c r="B78" s="1" t="str">
        <f>IFERROR(__xludf.DUMMYFUNCTION("""COMPUTED_VALUE"""),"3.685 €/m2")</f>
        <v>3.685 €/m2</v>
      </c>
      <c r="C78" s="1" t="str">
        <f>IFERROR(__xludf.DUMMYFUNCTION("""COMPUTED_VALUE"""),"+ 1,5 %")</f>
        <v>+ 1,5 %</v>
      </c>
      <c r="D78" s="1" t="str">
        <f>IFERROR(__xludf.DUMMYFUNCTION("""COMPUTED_VALUE"""),"0,0 %")</f>
        <v>0,0 %</v>
      </c>
      <c r="E78" s="1" t="str">
        <f>IFERROR(__xludf.DUMMYFUNCTION("""COMPUTED_VALUE"""),"+ 0,1 %")</f>
        <v>+ 0,1 %</v>
      </c>
    </row>
    <row r="79">
      <c r="A79" s="2">
        <f>IFERROR(__xludf.DUMMYFUNCTION("""COMPUTED_VALUE"""),43831.0)</f>
        <v>43831</v>
      </c>
      <c r="B79" s="1" t="str">
        <f>IFERROR(__xludf.DUMMYFUNCTION("""COMPUTED_VALUE"""),"3.631 €/m2")</f>
        <v>3.631 €/m2</v>
      </c>
      <c r="C79" s="1" t="str">
        <f>IFERROR(__xludf.DUMMYFUNCTION("""COMPUTED_VALUE"""),"- 1,2 %")</f>
        <v>- 1,2 %</v>
      </c>
      <c r="D79" s="1" t="str">
        <f>IFERROR(__xludf.DUMMYFUNCTION("""COMPUTED_VALUE"""),"- 1,9 %")</f>
        <v>- 1,9 %</v>
      </c>
      <c r="E79" s="1" t="str">
        <f>IFERROR(__xludf.DUMMYFUNCTION("""COMPUTED_VALUE"""),"- 0,2 %")</f>
        <v>- 0,2 %</v>
      </c>
    </row>
    <row r="80">
      <c r="A80" s="2">
        <f>IFERROR(__xludf.DUMMYFUNCTION("""COMPUTED_VALUE"""),43800.0)</f>
        <v>43800</v>
      </c>
      <c r="B80" s="1" t="str">
        <f>IFERROR(__xludf.DUMMYFUNCTION("""COMPUTED_VALUE"""),"3.674 €/m2")</f>
        <v>3.674 €/m2</v>
      </c>
      <c r="C80" s="1" t="str">
        <f>IFERROR(__xludf.DUMMYFUNCTION("""COMPUTED_VALUE"""),"- 0,3 %")</f>
        <v>- 0,3 %</v>
      </c>
      <c r="D80" s="1" t="str">
        <f>IFERROR(__xludf.DUMMYFUNCTION("""COMPUTED_VALUE"""),"- 0,2 %")</f>
        <v>- 0,2 %</v>
      </c>
      <c r="E80" s="1" t="str">
        <f>IFERROR(__xludf.DUMMYFUNCTION("""COMPUTED_VALUE"""),"+ 1,7 %")</f>
        <v>+ 1,7 %</v>
      </c>
    </row>
    <row r="81">
      <c r="A81" s="2">
        <f>IFERROR(__xludf.DUMMYFUNCTION("""COMPUTED_VALUE"""),43770.0)</f>
        <v>43770</v>
      </c>
      <c r="B81" s="1" t="str">
        <f>IFERROR(__xludf.DUMMYFUNCTION("""COMPUTED_VALUE"""),"3.686 €/m2")</f>
        <v>3.686 €/m2</v>
      </c>
      <c r="C81" s="1" t="str">
        <f>IFERROR(__xludf.DUMMYFUNCTION("""COMPUTED_VALUE"""),"- 0,4 %")</f>
        <v>- 0,4 %</v>
      </c>
      <c r="D81" s="1" t="str">
        <f>IFERROR(__xludf.DUMMYFUNCTION("""COMPUTED_VALUE"""),"0,0 %")</f>
        <v>0,0 %</v>
      </c>
      <c r="E81" s="1" t="str">
        <f>IFERROR(__xludf.DUMMYFUNCTION("""COMPUTED_VALUE"""),"+ 1,0 %")</f>
        <v>+ 1,0 %</v>
      </c>
    </row>
    <row r="82">
      <c r="A82" s="2">
        <f>IFERROR(__xludf.DUMMYFUNCTION("""COMPUTED_VALUE"""),43739.0)</f>
        <v>43739</v>
      </c>
      <c r="B82" s="1" t="str">
        <f>IFERROR(__xludf.DUMMYFUNCTION("""COMPUTED_VALUE"""),"3.703 €/m2")</f>
        <v>3.703 €/m2</v>
      </c>
      <c r="C82" s="1" t="str">
        <f>IFERROR(__xludf.DUMMYFUNCTION("""COMPUTED_VALUE"""),"+ 0,6 %")</f>
        <v>+ 0,6 %</v>
      </c>
      <c r="D82" s="1" t="str">
        <f>IFERROR(__xludf.DUMMYFUNCTION("""COMPUTED_VALUE"""),"+ 0,6 %")</f>
        <v>+ 0,6 %</v>
      </c>
      <c r="E82" s="1" t="str">
        <f>IFERROR(__xludf.DUMMYFUNCTION("""COMPUTED_VALUE"""),"+ 2,1 %")</f>
        <v>+ 2,1 %</v>
      </c>
    </row>
    <row r="83">
      <c r="A83" s="2">
        <f>IFERROR(__xludf.DUMMYFUNCTION("""COMPUTED_VALUE"""),43709.0)</f>
        <v>43709</v>
      </c>
      <c r="B83" s="1" t="str">
        <f>IFERROR(__xludf.DUMMYFUNCTION("""COMPUTED_VALUE"""),"3.682 €/m2")</f>
        <v>3.682 €/m2</v>
      </c>
      <c r="C83" s="1" t="str">
        <f>IFERROR(__xludf.DUMMYFUNCTION("""COMPUTED_VALUE"""),"- 0,1 %")</f>
        <v>- 0,1 %</v>
      </c>
      <c r="D83" s="1" t="str">
        <f>IFERROR(__xludf.DUMMYFUNCTION("""COMPUTED_VALUE"""),"- 0,7 %")</f>
        <v>- 0,7 %</v>
      </c>
      <c r="E83" s="1" t="str">
        <f>IFERROR(__xludf.DUMMYFUNCTION("""COMPUTED_VALUE"""),"+ 3,1 %")</f>
        <v>+ 3,1 %</v>
      </c>
    </row>
    <row r="84">
      <c r="A84" s="2">
        <f>IFERROR(__xludf.DUMMYFUNCTION("""COMPUTED_VALUE"""),43678.0)</f>
        <v>43678</v>
      </c>
      <c r="B84" s="1" t="str">
        <f>IFERROR(__xludf.DUMMYFUNCTION("""COMPUTED_VALUE"""),"3.685 €/m2")</f>
        <v>3.685 €/m2</v>
      </c>
      <c r="C84" s="1" t="str">
        <f>IFERROR(__xludf.DUMMYFUNCTION("""COMPUTED_VALUE"""),"+ 0,1 %")</f>
        <v>+ 0,1 %</v>
      </c>
      <c r="D84" s="1" t="str">
        <f>IFERROR(__xludf.DUMMYFUNCTION("""COMPUTED_VALUE"""),"- 0,3 %")</f>
        <v>- 0,3 %</v>
      </c>
      <c r="E84" s="1" t="str">
        <f>IFERROR(__xludf.DUMMYFUNCTION("""COMPUTED_VALUE"""),"+ 4,3 %")</f>
        <v>+ 4,3 %</v>
      </c>
    </row>
    <row r="85">
      <c r="A85" s="2">
        <f>IFERROR(__xludf.DUMMYFUNCTION("""COMPUTED_VALUE"""),43647.0)</f>
        <v>43647</v>
      </c>
      <c r="B85" s="1" t="str">
        <f>IFERROR(__xludf.DUMMYFUNCTION("""COMPUTED_VALUE"""),"3.681 €/m2")</f>
        <v>3.681 €/m2</v>
      </c>
      <c r="C85" s="1" t="str">
        <f>IFERROR(__xludf.DUMMYFUNCTION("""COMPUTED_VALUE"""),"- 0,7 %")</f>
        <v>- 0,7 %</v>
      </c>
      <c r="D85" s="1" t="str">
        <f>IFERROR(__xludf.DUMMYFUNCTION("""COMPUTED_VALUE"""),"- 1,0 %")</f>
        <v>- 1,0 %</v>
      </c>
      <c r="E85" s="1" t="str">
        <f>IFERROR(__xludf.DUMMYFUNCTION("""COMPUTED_VALUE"""),"+ 6,5 %")</f>
        <v>+ 6,5 %</v>
      </c>
    </row>
    <row r="86">
      <c r="A86" s="2">
        <f>IFERROR(__xludf.DUMMYFUNCTION("""COMPUTED_VALUE"""),43617.0)</f>
        <v>43617</v>
      </c>
      <c r="B86" s="1" t="str">
        <f>IFERROR(__xludf.DUMMYFUNCTION("""COMPUTED_VALUE"""),"3.707 €/m2")</f>
        <v>3.707 €/m2</v>
      </c>
      <c r="C86" s="1" t="str">
        <f>IFERROR(__xludf.DUMMYFUNCTION("""COMPUTED_VALUE"""),"+ 0,2 %")</f>
        <v>+ 0,2 %</v>
      </c>
      <c r="D86" s="1" t="str">
        <f>IFERROR(__xludf.DUMMYFUNCTION("""COMPUTED_VALUE"""),"- 0,4 %")</f>
        <v>- 0,4 %</v>
      </c>
      <c r="E86" s="1" t="str">
        <f>IFERROR(__xludf.DUMMYFUNCTION("""COMPUTED_VALUE"""),"+ 7,6 %")</f>
        <v>+ 7,6 %</v>
      </c>
    </row>
    <row r="87">
      <c r="A87" s="2">
        <f>IFERROR(__xludf.DUMMYFUNCTION("""COMPUTED_VALUE"""),43586.0)</f>
        <v>43586</v>
      </c>
      <c r="B87" s="1" t="str">
        <f>IFERROR(__xludf.DUMMYFUNCTION("""COMPUTED_VALUE"""),"3.698 €/m2")</f>
        <v>3.698 €/m2</v>
      </c>
      <c r="C87" s="1" t="str">
        <f>IFERROR(__xludf.DUMMYFUNCTION("""COMPUTED_VALUE"""),"- 0,6 %")</f>
        <v>- 0,6 %</v>
      </c>
      <c r="D87" s="1" t="str">
        <f>IFERROR(__xludf.DUMMYFUNCTION("""COMPUTED_VALUE"""),"+ 0,4 %")</f>
        <v>+ 0,4 %</v>
      </c>
      <c r="E87" s="1" t="str">
        <f>IFERROR(__xludf.DUMMYFUNCTION("""COMPUTED_VALUE"""),"+ 8,5 %")</f>
        <v>+ 8,5 %</v>
      </c>
    </row>
    <row r="88">
      <c r="A88" s="2">
        <f>IFERROR(__xludf.DUMMYFUNCTION("""COMPUTED_VALUE"""),43556.0)</f>
        <v>43556</v>
      </c>
      <c r="B88" s="1" t="str">
        <f>IFERROR(__xludf.DUMMYFUNCTION("""COMPUTED_VALUE"""),"3.720 €/m2")</f>
        <v>3.720 €/m2</v>
      </c>
      <c r="C88" s="1" t="str">
        <f>IFERROR(__xludf.DUMMYFUNCTION("""COMPUTED_VALUE"""),"- 0,1 %")</f>
        <v>- 0,1 %</v>
      </c>
      <c r="D88" s="1" t="str">
        <f>IFERROR(__xludf.DUMMYFUNCTION("""COMPUTED_VALUE"""),"+ 2,3 %")</f>
        <v>+ 2,3 %</v>
      </c>
      <c r="E88" s="1" t="str">
        <f>IFERROR(__xludf.DUMMYFUNCTION("""COMPUTED_VALUE"""),"+ 11,3 %")</f>
        <v>+ 11,3 %</v>
      </c>
    </row>
    <row r="89">
      <c r="A89" s="2">
        <f>IFERROR(__xludf.DUMMYFUNCTION("""COMPUTED_VALUE"""),43525.0)</f>
        <v>43525</v>
      </c>
      <c r="B89" s="1" t="str">
        <f>IFERROR(__xludf.DUMMYFUNCTION("""COMPUTED_VALUE"""),"3.723 €/m2")</f>
        <v>3.723 €/m2</v>
      </c>
      <c r="C89" s="1" t="str">
        <f>IFERROR(__xludf.DUMMYFUNCTION("""COMPUTED_VALUE"""),"+ 1,1 %")</f>
        <v>+ 1,1 %</v>
      </c>
      <c r="D89" s="1" t="str">
        <f>IFERROR(__xludf.DUMMYFUNCTION("""COMPUTED_VALUE"""),"+ 3,1 %")</f>
        <v>+ 3,1 %</v>
      </c>
      <c r="E89" s="1" t="str">
        <f>IFERROR(__xludf.DUMMYFUNCTION("""COMPUTED_VALUE"""),"+ 13,2 %")</f>
        <v>+ 13,2 %</v>
      </c>
    </row>
    <row r="90">
      <c r="A90" s="2">
        <f>IFERROR(__xludf.DUMMYFUNCTION("""COMPUTED_VALUE"""),43497.0)</f>
        <v>43497</v>
      </c>
      <c r="B90" s="1" t="str">
        <f>IFERROR(__xludf.DUMMYFUNCTION("""COMPUTED_VALUE"""),"3.682 €/m2")</f>
        <v>3.682 €/m2</v>
      </c>
      <c r="C90" s="1" t="str">
        <f>IFERROR(__xludf.DUMMYFUNCTION("""COMPUTED_VALUE"""),"+ 1,2 %")</f>
        <v>+ 1,2 %</v>
      </c>
      <c r="D90" s="1" t="str">
        <f>IFERROR(__xludf.DUMMYFUNCTION("""COMPUTED_VALUE"""),"+ 0,8 %")</f>
        <v>+ 0,8 %</v>
      </c>
      <c r="E90" s="1" t="str">
        <f>IFERROR(__xludf.DUMMYFUNCTION("""COMPUTED_VALUE"""),"+ 14,7 %")</f>
        <v>+ 14,7 %</v>
      </c>
    </row>
    <row r="91">
      <c r="A91" s="2">
        <f>IFERROR(__xludf.DUMMYFUNCTION("""COMPUTED_VALUE"""),43466.0)</f>
        <v>43466</v>
      </c>
      <c r="B91" s="1" t="str">
        <f>IFERROR(__xludf.DUMMYFUNCTION("""COMPUTED_VALUE"""),"3.637 €/m2")</f>
        <v>3.637 €/m2</v>
      </c>
      <c r="C91" s="1" t="str">
        <f>IFERROR(__xludf.DUMMYFUNCTION("""COMPUTED_VALUE"""),"+ 0,7 %")</f>
        <v>+ 0,7 %</v>
      </c>
      <c r="D91" s="1" t="str">
        <f>IFERROR(__xludf.DUMMYFUNCTION("""COMPUTED_VALUE"""),"+ 0,3 %")</f>
        <v>+ 0,3 %</v>
      </c>
      <c r="E91" s="1" t="str">
        <f>IFERROR(__xludf.DUMMYFUNCTION("""COMPUTED_VALUE"""),"+ 16,1 %")</f>
        <v>+ 16,1 %</v>
      </c>
    </row>
    <row r="92">
      <c r="A92" s="2">
        <f>IFERROR(__xludf.DUMMYFUNCTION("""COMPUTED_VALUE"""),43435.0)</f>
        <v>43435</v>
      </c>
      <c r="B92" s="1" t="str">
        <f>IFERROR(__xludf.DUMMYFUNCTION("""COMPUTED_VALUE"""),"3.612 €/m2")</f>
        <v>3.612 €/m2</v>
      </c>
      <c r="C92" s="1" t="str">
        <f>IFERROR(__xludf.DUMMYFUNCTION("""COMPUTED_VALUE"""),"- 1,1 %")</f>
        <v>- 1,1 %</v>
      </c>
      <c r="D92" s="1" t="str">
        <f>IFERROR(__xludf.DUMMYFUNCTION("""COMPUTED_VALUE"""),"+ 1,1 %")</f>
        <v>+ 1,1 %</v>
      </c>
      <c r="E92" s="1" t="str">
        <f>IFERROR(__xludf.DUMMYFUNCTION("""COMPUTED_VALUE"""),"+ 16,7 %")</f>
        <v>+ 16,7 %</v>
      </c>
    </row>
    <row r="93">
      <c r="A93" s="2">
        <f>IFERROR(__xludf.DUMMYFUNCTION("""COMPUTED_VALUE"""),43405.0)</f>
        <v>43405</v>
      </c>
      <c r="B93" s="1" t="str">
        <f>IFERROR(__xludf.DUMMYFUNCTION("""COMPUTED_VALUE"""),"3.651 €/m2")</f>
        <v>3.651 €/m2</v>
      </c>
      <c r="C93" s="1" t="str">
        <f>IFERROR(__xludf.DUMMYFUNCTION("""COMPUTED_VALUE"""),"+ 0,7 %")</f>
        <v>+ 0,7 %</v>
      </c>
      <c r="D93" s="1" t="str">
        <f>IFERROR(__xludf.DUMMYFUNCTION("""COMPUTED_VALUE"""),"+ 3,4 %")</f>
        <v>+ 3,4 %</v>
      </c>
      <c r="E93" s="1" t="str">
        <f>IFERROR(__xludf.DUMMYFUNCTION("""COMPUTED_VALUE"""),"+ 17,8 %")</f>
        <v>+ 17,8 %</v>
      </c>
    </row>
    <row r="94">
      <c r="A94" s="2">
        <f>IFERROR(__xludf.DUMMYFUNCTION("""COMPUTED_VALUE"""),43374.0)</f>
        <v>43374</v>
      </c>
      <c r="B94" s="1" t="str">
        <f>IFERROR(__xludf.DUMMYFUNCTION("""COMPUTED_VALUE"""),"3.627 €/m2")</f>
        <v>3.627 €/m2</v>
      </c>
      <c r="C94" s="1" t="str">
        <f>IFERROR(__xludf.DUMMYFUNCTION("""COMPUTED_VALUE"""),"+ 1,5 %")</f>
        <v>+ 1,5 %</v>
      </c>
      <c r="D94" s="1" t="str">
        <f>IFERROR(__xludf.DUMMYFUNCTION("""COMPUTED_VALUE"""),"+ 4,9 %")</f>
        <v>+ 4,9 %</v>
      </c>
      <c r="E94" s="1" t="str">
        <f>IFERROR(__xludf.DUMMYFUNCTION("""COMPUTED_VALUE"""),"+ 16,6 %")</f>
        <v>+ 16,6 %</v>
      </c>
    </row>
    <row r="95">
      <c r="A95" s="2">
        <f>IFERROR(__xludf.DUMMYFUNCTION("""COMPUTED_VALUE"""),43344.0)</f>
        <v>43344</v>
      </c>
      <c r="B95" s="1" t="str">
        <f>IFERROR(__xludf.DUMMYFUNCTION("""COMPUTED_VALUE"""),"3.572 €/m2")</f>
        <v>3.572 €/m2</v>
      </c>
      <c r="C95" s="1" t="str">
        <f>IFERROR(__xludf.DUMMYFUNCTION("""COMPUTED_VALUE"""),"+ 1,1 %")</f>
        <v>+ 1,1 %</v>
      </c>
      <c r="D95" s="1" t="str">
        <f>IFERROR(__xludf.DUMMYFUNCTION("""COMPUTED_VALUE"""),"+ 3,7 %")</f>
        <v>+ 3,7 %</v>
      </c>
      <c r="E95" s="1" t="str">
        <f>IFERROR(__xludf.DUMMYFUNCTION("""COMPUTED_VALUE"""),"+ 18,8 %")</f>
        <v>+ 18,8 %</v>
      </c>
    </row>
    <row r="96">
      <c r="A96" s="2">
        <f>IFERROR(__xludf.DUMMYFUNCTION("""COMPUTED_VALUE"""),43313.0)</f>
        <v>43313</v>
      </c>
      <c r="B96" s="1" t="str">
        <f>IFERROR(__xludf.DUMMYFUNCTION("""COMPUTED_VALUE"""),"3.532 €/m2")</f>
        <v>3.532 €/m2</v>
      </c>
      <c r="C96" s="1" t="str">
        <f>IFERROR(__xludf.DUMMYFUNCTION("""COMPUTED_VALUE"""),"+ 2,2 %")</f>
        <v>+ 2,2 %</v>
      </c>
      <c r="D96" s="1" t="str">
        <f>IFERROR(__xludf.DUMMYFUNCTION("""COMPUTED_VALUE"""),"+ 3,6 %")</f>
        <v>+ 3,6 %</v>
      </c>
      <c r="E96" s="1" t="str">
        <f>IFERROR(__xludf.DUMMYFUNCTION("""COMPUTED_VALUE"""),"+ 18,4 %")</f>
        <v>+ 18,4 %</v>
      </c>
    </row>
    <row r="97">
      <c r="A97" s="2">
        <f>IFERROR(__xludf.DUMMYFUNCTION("""COMPUTED_VALUE"""),43282.0)</f>
        <v>43282</v>
      </c>
      <c r="B97" s="1" t="str">
        <f>IFERROR(__xludf.DUMMYFUNCTION("""COMPUTED_VALUE"""),"3.457 €/m2")</f>
        <v>3.457 €/m2</v>
      </c>
      <c r="C97" s="1" t="str">
        <f>IFERROR(__xludf.DUMMYFUNCTION("""COMPUTED_VALUE"""),"+ 0,3 %")</f>
        <v>+ 0,3 %</v>
      </c>
      <c r="D97" s="1" t="str">
        <f>IFERROR(__xludf.DUMMYFUNCTION("""COMPUTED_VALUE"""),"+ 3,5 %")</f>
        <v>+ 3,5 %</v>
      </c>
      <c r="E97" s="1" t="str">
        <f>IFERROR(__xludf.DUMMYFUNCTION("""COMPUTED_VALUE"""),"+ 16,4 %")</f>
        <v>+ 16,4 %</v>
      </c>
    </row>
    <row r="98">
      <c r="A98" s="2">
        <f>IFERROR(__xludf.DUMMYFUNCTION("""COMPUTED_VALUE"""),43252.0)</f>
        <v>43252</v>
      </c>
      <c r="B98" s="1" t="str">
        <f>IFERROR(__xludf.DUMMYFUNCTION("""COMPUTED_VALUE"""),"3.446 €/m2")</f>
        <v>3.446 €/m2</v>
      </c>
      <c r="C98" s="1" t="str">
        <f>IFERROR(__xludf.DUMMYFUNCTION("""COMPUTED_VALUE"""),"+ 1,1 %")</f>
        <v>+ 1,1 %</v>
      </c>
      <c r="D98" s="1" t="str">
        <f>IFERROR(__xludf.DUMMYFUNCTION("""COMPUTED_VALUE"""),"+ 4,8 %")</f>
        <v>+ 4,8 %</v>
      </c>
      <c r="E98" s="1" t="str">
        <f>IFERROR(__xludf.DUMMYFUNCTION("""COMPUTED_VALUE"""),"+ 17,8 %")</f>
        <v>+ 17,8 %</v>
      </c>
    </row>
    <row r="99">
      <c r="A99" s="2">
        <f>IFERROR(__xludf.DUMMYFUNCTION("""COMPUTED_VALUE"""),43221.0)</f>
        <v>43221</v>
      </c>
      <c r="B99" s="1" t="str">
        <f>IFERROR(__xludf.DUMMYFUNCTION("""COMPUTED_VALUE"""),"3.408 €/m2")</f>
        <v>3.408 €/m2</v>
      </c>
      <c r="C99" s="1" t="str">
        <f>IFERROR(__xludf.DUMMYFUNCTION("""COMPUTED_VALUE"""),"+ 2,0 %")</f>
        <v>+ 2,0 %</v>
      </c>
      <c r="D99" s="1" t="str">
        <f>IFERROR(__xludf.DUMMYFUNCTION("""COMPUTED_VALUE"""),"+ 6,2 %")</f>
        <v>+ 6,2 %</v>
      </c>
      <c r="E99" s="1" t="str">
        <f>IFERROR(__xludf.DUMMYFUNCTION("""COMPUTED_VALUE"""),"+ 17,1 %")</f>
        <v>+ 17,1 %</v>
      </c>
    </row>
    <row r="100">
      <c r="A100" s="2">
        <f>IFERROR(__xludf.DUMMYFUNCTION("""COMPUTED_VALUE"""),43191.0)</f>
        <v>43191</v>
      </c>
      <c r="B100" s="1" t="str">
        <f>IFERROR(__xludf.DUMMYFUNCTION("""COMPUTED_VALUE"""),"3.341 €/m2")</f>
        <v>3.341 €/m2</v>
      </c>
      <c r="C100" s="1" t="str">
        <f>IFERROR(__xludf.DUMMYFUNCTION("""COMPUTED_VALUE"""),"+ 1,6 %")</f>
        <v>+ 1,6 %</v>
      </c>
      <c r="D100" s="1" t="str">
        <f>IFERROR(__xludf.DUMMYFUNCTION("""COMPUTED_VALUE"""),"+ 6,6 %")</f>
        <v>+ 6,6 %</v>
      </c>
      <c r="E100" s="1" t="str">
        <f>IFERROR(__xludf.DUMMYFUNCTION("""COMPUTED_VALUE"""),"+ 16,8 %")</f>
        <v>+ 16,8 %</v>
      </c>
    </row>
    <row r="101">
      <c r="A101" s="2">
        <f>IFERROR(__xludf.DUMMYFUNCTION("""COMPUTED_VALUE"""),43160.0)</f>
        <v>43160</v>
      </c>
      <c r="B101" s="1" t="str">
        <f>IFERROR(__xludf.DUMMYFUNCTION("""COMPUTED_VALUE"""),"3.287 €/m2")</f>
        <v>3.287 €/m2</v>
      </c>
      <c r="C101" s="1" t="str">
        <f>IFERROR(__xludf.DUMMYFUNCTION("""COMPUTED_VALUE"""),"+ 2,4 %")</f>
        <v>+ 2,4 %</v>
      </c>
      <c r="D101" s="1" t="str">
        <f>IFERROR(__xludf.DUMMYFUNCTION("""COMPUTED_VALUE"""),"+ 6,2 %")</f>
        <v>+ 6,2 %</v>
      </c>
      <c r="E101" s="1" t="str">
        <f>IFERROR(__xludf.DUMMYFUNCTION("""COMPUTED_VALUE"""),"+ 15,9 %")</f>
        <v>+ 15,9 %</v>
      </c>
    </row>
    <row r="102">
      <c r="A102" s="2">
        <f>IFERROR(__xludf.DUMMYFUNCTION("""COMPUTED_VALUE"""),43132.0)</f>
        <v>43132</v>
      </c>
      <c r="B102" s="1" t="str">
        <f>IFERROR(__xludf.DUMMYFUNCTION("""COMPUTED_VALUE"""),"3.209 €/m2")</f>
        <v>3.209 €/m2</v>
      </c>
      <c r="C102" s="1" t="str">
        <f>IFERROR(__xludf.DUMMYFUNCTION("""COMPUTED_VALUE"""),"+ 2,4 %")</f>
        <v>+ 2,4 %</v>
      </c>
      <c r="D102" s="1" t="str">
        <f>IFERROR(__xludf.DUMMYFUNCTION("""COMPUTED_VALUE"""),"+ 3,6 %")</f>
        <v>+ 3,6 %</v>
      </c>
      <c r="E102" s="1" t="str">
        <f>IFERROR(__xludf.DUMMYFUNCTION("""COMPUTED_VALUE"""),"+ 13,7 %")</f>
        <v>+ 13,7 %</v>
      </c>
    </row>
    <row r="103">
      <c r="A103" s="2">
        <f>IFERROR(__xludf.DUMMYFUNCTION("""COMPUTED_VALUE"""),43101.0)</f>
        <v>43101</v>
      </c>
      <c r="B103" s="1" t="str">
        <f>IFERROR(__xludf.DUMMYFUNCTION("""COMPUTED_VALUE"""),"3.133 €/m2")</f>
        <v>3.133 €/m2</v>
      </c>
      <c r="C103" s="1" t="str">
        <f>IFERROR(__xludf.DUMMYFUNCTION("""COMPUTED_VALUE"""),"+ 1,2 %")</f>
        <v>+ 1,2 %</v>
      </c>
      <c r="D103" s="1" t="str">
        <f>IFERROR(__xludf.DUMMYFUNCTION("""COMPUTED_VALUE"""),"+ 0,8 %")</f>
        <v>+ 0,8 %</v>
      </c>
      <c r="E103" s="1" t="str">
        <f>IFERROR(__xludf.DUMMYFUNCTION("""COMPUTED_VALUE"""),"+ 11,4 %")</f>
        <v>+ 11,4 %</v>
      </c>
    </row>
    <row r="104">
      <c r="A104" s="2">
        <f>IFERROR(__xludf.DUMMYFUNCTION("""COMPUTED_VALUE"""),43070.0)</f>
        <v>43070</v>
      </c>
      <c r="B104" s="1" t="str">
        <f>IFERROR(__xludf.DUMMYFUNCTION("""COMPUTED_VALUE"""),"3.096 €/m2")</f>
        <v>3.096 €/m2</v>
      </c>
      <c r="C104" s="1" t="str">
        <f>IFERROR(__xludf.DUMMYFUNCTION("""COMPUTED_VALUE"""),"- 0,1 %")</f>
        <v>- 0,1 %</v>
      </c>
      <c r="D104" s="1" t="str">
        <f>IFERROR(__xludf.DUMMYFUNCTION("""COMPUTED_VALUE"""),"+ 2,9 %")</f>
        <v>+ 2,9 %</v>
      </c>
      <c r="E104" s="1" t="str">
        <f>IFERROR(__xludf.DUMMYFUNCTION("""COMPUTED_VALUE"""),"+ 11,5 %")</f>
        <v>+ 11,5 %</v>
      </c>
    </row>
    <row r="105">
      <c r="A105" s="2">
        <f>IFERROR(__xludf.DUMMYFUNCTION("""COMPUTED_VALUE"""),43040.0)</f>
        <v>43040</v>
      </c>
      <c r="B105" s="1" t="str">
        <f>IFERROR(__xludf.DUMMYFUNCTION("""COMPUTED_VALUE"""),"3.099 €/m2")</f>
        <v>3.099 €/m2</v>
      </c>
      <c r="C105" s="1" t="str">
        <f>IFERROR(__xludf.DUMMYFUNCTION("""COMPUTED_VALUE"""),"- 0,3 %")</f>
        <v>- 0,3 %</v>
      </c>
      <c r="D105" s="1" t="str">
        <f>IFERROR(__xludf.DUMMYFUNCTION("""COMPUTED_VALUE"""),"+ 3,8 %")</f>
        <v>+ 3,8 %</v>
      </c>
      <c r="E105" s="1" t="str">
        <f>IFERROR(__xludf.DUMMYFUNCTION("""COMPUTED_VALUE"""),"+ 12,1 %")</f>
        <v>+ 12,1 %</v>
      </c>
    </row>
    <row r="106">
      <c r="A106" s="2">
        <f>IFERROR(__xludf.DUMMYFUNCTION("""COMPUTED_VALUE"""),43009.0)</f>
        <v>43009</v>
      </c>
      <c r="B106" s="1" t="str">
        <f>IFERROR(__xludf.DUMMYFUNCTION("""COMPUTED_VALUE"""),"3.109 €/m2")</f>
        <v>3.109 €/m2</v>
      </c>
      <c r="C106" s="1" t="str">
        <f>IFERROR(__xludf.DUMMYFUNCTION("""COMPUTED_VALUE"""),"+ 3,4 %")</f>
        <v>+ 3,4 %</v>
      </c>
      <c r="D106" s="1" t="str">
        <f>IFERROR(__xludf.DUMMYFUNCTION("""COMPUTED_VALUE"""),"+ 4,7 %")</f>
        <v>+ 4,7 %</v>
      </c>
      <c r="E106" s="1" t="str">
        <f>IFERROR(__xludf.DUMMYFUNCTION("""COMPUTED_VALUE"""),"+ 13,3 %")</f>
        <v>+ 13,3 %</v>
      </c>
    </row>
    <row r="107">
      <c r="A107" s="2">
        <f>IFERROR(__xludf.DUMMYFUNCTION("""COMPUTED_VALUE"""),42979.0)</f>
        <v>42979</v>
      </c>
      <c r="B107" s="1" t="str">
        <f>IFERROR(__xludf.DUMMYFUNCTION("""COMPUTED_VALUE"""),"3.007 €/m2")</f>
        <v>3.007 €/m2</v>
      </c>
      <c r="C107" s="1" t="str">
        <f>IFERROR(__xludf.DUMMYFUNCTION("""COMPUTED_VALUE"""),"+ 0,8 %")</f>
        <v>+ 0,8 %</v>
      </c>
      <c r="D107" s="1" t="str">
        <f>IFERROR(__xludf.DUMMYFUNCTION("""COMPUTED_VALUE"""),"+ 2,8 %")</f>
        <v>+ 2,8 %</v>
      </c>
      <c r="E107" s="1" t="str">
        <f>IFERROR(__xludf.DUMMYFUNCTION("""COMPUTED_VALUE"""),"+ 9,8 %")</f>
        <v>+ 9,8 %</v>
      </c>
    </row>
    <row r="108">
      <c r="A108" s="2">
        <f>IFERROR(__xludf.DUMMYFUNCTION("""COMPUTED_VALUE"""),42948.0)</f>
        <v>42948</v>
      </c>
      <c r="B108" s="1" t="str">
        <f>IFERROR(__xludf.DUMMYFUNCTION("""COMPUTED_VALUE"""),"2.984 €/m2")</f>
        <v>2.984 €/m2</v>
      </c>
      <c r="C108" s="1" t="str">
        <f>IFERROR(__xludf.DUMMYFUNCTION("""COMPUTED_VALUE"""),"+ 0,5 %")</f>
        <v>+ 0,5 %</v>
      </c>
      <c r="D108" s="1" t="str">
        <f>IFERROR(__xludf.DUMMYFUNCTION("""COMPUTED_VALUE"""),"+ 2,5 %")</f>
        <v>+ 2,5 %</v>
      </c>
      <c r="E108" s="1" t="str">
        <f>IFERROR(__xludf.DUMMYFUNCTION("""COMPUTED_VALUE"""),"+ 9,1 %")</f>
        <v>+ 9,1 %</v>
      </c>
    </row>
    <row r="109">
      <c r="A109" s="2">
        <f>IFERROR(__xludf.DUMMYFUNCTION("""COMPUTED_VALUE"""),42917.0)</f>
        <v>42917</v>
      </c>
      <c r="B109" s="1" t="str">
        <f>IFERROR(__xludf.DUMMYFUNCTION("""COMPUTED_VALUE"""),"2.970 €/m2")</f>
        <v>2.970 €/m2</v>
      </c>
      <c r="C109" s="1" t="str">
        <f>IFERROR(__xludf.DUMMYFUNCTION("""COMPUTED_VALUE"""),"+ 1,5 %")</f>
        <v>+ 1,5 %</v>
      </c>
      <c r="D109" s="1" t="str">
        <f>IFERROR(__xludf.DUMMYFUNCTION("""COMPUTED_VALUE"""),"+ 3,8 %")</f>
        <v>+ 3,8 %</v>
      </c>
      <c r="E109" s="1" t="str">
        <f>IFERROR(__xludf.DUMMYFUNCTION("""COMPUTED_VALUE"""),"+ 9,7 %")</f>
        <v>+ 9,7 %</v>
      </c>
    </row>
    <row r="110">
      <c r="A110" s="2">
        <f>IFERROR(__xludf.DUMMYFUNCTION("""COMPUTED_VALUE"""),42887.0)</f>
        <v>42887</v>
      </c>
      <c r="B110" s="1" t="str">
        <f>IFERROR(__xludf.DUMMYFUNCTION("""COMPUTED_VALUE"""),"2.925 €/m2")</f>
        <v>2.925 €/m2</v>
      </c>
      <c r="C110" s="1" t="str">
        <f>IFERROR(__xludf.DUMMYFUNCTION("""COMPUTED_VALUE"""),"+ 0,5 %")</f>
        <v>+ 0,5 %</v>
      </c>
      <c r="D110" s="1" t="str">
        <f>IFERROR(__xludf.DUMMYFUNCTION("""COMPUTED_VALUE"""),"+ 3,1 %")</f>
        <v>+ 3,1 %</v>
      </c>
      <c r="E110" s="1" t="str">
        <f>IFERROR(__xludf.DUMMYFUNCTION("""COMPUTED_VALUE"""),"+ 8,5 %")</f>
        <v>+ 8,5 %</v>
      </c>
    </row>
    <row r="111">
      <c r="A111" s="2">
        <f>IFERROR(__xludf.DUMMYFUNCTION("""COMPUTED_VALUE"""),42856.0)</f>
        <v>42856</v>
      </c>
      <c r="B111" s="1" t="str">
        <f>IFERROR(__xludf.DUMMYFUNCTION("""COMPUTED_VALUE"""),"2.911 €/m2")</f>
        <v>2.911 €/m2</v>
      </c>
      <c r="C111" s="1" t="str">
        <f>IFERROR(__xludf.DUMMYFUNCTION("""COMPUTED_VALUE"""),"+ 1,7 %")</f>
        <v>+ 1,7 %</v>
      </c>
      <c r="D111" s="1" t="str">
        <f>IFERROR(__xludf.DUMMYFUNCTION("""COMPUTED_VALUE"""),"+ 3,1 %")</f>
        <v>+ 3,1 %</v>
      </c>
      <c r="E111" s="1" t="str">
        <f>IFERROR(__xludf.DUMMYFUNCTION("""COMPUTED_VALUE"""),"+ 8,9 %")</f>
        <v>+ 8,9 %</v>
      </c>
    </row>
    <row r="112">
      <c r="A112" s="2">
        <f>IFERROR(__xludf.DUMMYFUNCTION("""COMPUTED_VALUE"""),42826.0)</f>
        <v>42826</v>
      </c>
      <c r="B112" s="1" t="str">
        <f>IFERROR(__xludf.DUMMYFUNCTION("""COMPUTED_VALUE"""),"2.861 €/m2")</f>
        <v>2.861 €/m2</v>
      </c>
      <c r="C112" s="1" t="str">
        <f>IFERROR(__xludf.DUMMYFUNCTION("""COMPUTED_VALUE"""),"+ 0,9 %")</f>
        <v>+ 0,9 %</v>
      </c>
      <c r="D112" s="1" t="str">
        <f>IFERROR(__xludf.DUMMYFUNCTION("""COMPUTED_VALUE"""),"+ 1,7 %")</f>
        <v>+ 1,7 %</v>
      </c>
      <c r="E112" s="1" t="str">
        <f>IFERROR(__xludf.DUMMYFUNCTION("""COMPUTED_VALUE"""),"+ 8,3 %")</f>
        <v>+ 8,3 %</v>
      </c>
    </row>
    <row r="113">
      <c r="A113" s="2">
        <f>IFERROR(__xludf.DUMMYFUNCTION("""COMPUTED_VALUE"""),42795.0)</f>
        <v>42795</v>
      </c>
      <c r="B113" s="1" t="str">
        <f>IFERROR(__xludf.DUMMYFUNCTION("""COMPUTED_VALUE"""),"2.836 €/m2")</f>
        <v>2.836 €/m2</v>
      </c>
      <c r="C113" s="1" t="str">
        <f>IFERROR(__xludf.DUMMYFUNCTION("""COMPUTED_VALUE"""),"+ 0,5 %")</f>
        <v>+ 0,5 %</v>
      </c>
      <c r="D113" s="1" t="str">
        <f>IFERROR(__xludf.DUMMYFUNCTION("""COMPUTED_VALUE"""),"+ 2,2 %")</f>
        <v>+ 2,2 %</v>
      </c>
      <c r="E113" s="1" t="str">
        <f>IFERROR(__xludf.DUMMYFUNCTION("""COMPUTED_VALUE"""),"+ 8,1 %")</f>
        <v>+ 8,1 %</v>
      </c>
    </row>
    <row r="114">
      <c r="A114" s="2">
        <f>IFERROR(__xludf.DUMMYFUNCTION("""COMPUTED_VALUE"""),42767.0)</f>
        <v>42767</v>
      </c>
      <c r="B114" s="1" t="str">
        <f>IFERROR(__xludf.DUMMYFUNCTION("""COMPUTED_VALUE"""),"2.823 €/m2")</f>
        <v>2.823 €/m2</v>
      </c>
      <c r="C114" s="1" t="str">
        <f>IFERROR(__xludf.DUMMYFUNCTION("""COMPUTED_VALUE"""),"+ 0,4 %")</f>
        <v>+ 0,4 %</v>
      </c>
      <c r="D114" s="1" t="str">
        <f>IFERROR(__xludf.DUMMYFUNCTION("""COMPUTED_VALUE"""),"+ 2,2 %")</f>
        <v>+ 2,2 %</v>
      </c>
      <c r="E114" s="1" t="str">
        <f>IFERROR(__xludf.DUMMYFUNCTION("""COMPUTED_VALUE"""),"+ 7,7 %")</f>
        <v>+ 7,7 %</v>
      </c>
    </row>
    <row r="115">
      <c r="A115" s="2">
        <f>IFERROR(__xludf.DUMMYFUNCTION("""COMPUTED_VALUE"""),42736.0)</f>
        <v>42736</v>
      </c>
      <c r="B115" s="1" t="str">
        <f>IFERROR(__xludf.DUMMYFUNCTION("""COMPUTED_VALUE"""),"2.813 €/m2")</f>
        <v>2.813 €/m2</v>
      </c>
      <c r="C115" s="1" t="str">
        <f>IFERROR(__xludf.DUMMYFUNCTION("""COMPUTED_VALUE"""),"+ 1,3 %")</f>
        <v>+ 1,3 %</v>
      </c>
      <c r="D115" s="1" t="str">
        <f>IFERROR(__xludf.DUMMYFUNCTION("""COMPUTED_VALUE"""),"+ 2,5 %")</f>
        <v>+ 2,5 %</v>
      </c>
      <c r="E115" s="1" t="str">
        <f>IFERROR(__xludf.DUMMYFUNCTION("""COMPUTED_VALUE"""),"+ 6,6 %")</f>
        <v>+ 6,6 %</v>
      </c>
    </row>
    <row r="116">
      <c r="A116" s="2">
        <f>IFERROR(__xludf.DUMMYFUNCTION("""COMPUTED_VALUE"""),42705.0)</f>
        <v>42705</v>
      </c>
      <c r="B116" s="1" t="str">
        <f>IFERROR(__xludf.DUMMYFUNCTION("""COMPUTED_VALUE"""),"2.776 €/m2")</f>
        <v>2.776 €/m2</v>
      </c>
      <c r="C116" s="1" t="str">
        <f>IFERROR(__xludf.DUMMYFUNCTION("""COMPUTED_VALUE"""),"+ 0,5 %")</f>
        <v>+ 0,5 %</v>
      </c>
      <c r="D116" s="1" t="str">
        <f>IFERROR(__xludf.DUMMYFUNCTION("""COMPUTED_VALUE"""),"+ 1,4 %")</f>
        <v>+ 1,4 %</v>
      </c>
      <c r="E116" s="1" t="str">
        <f>IFERROR(__xludf.DUMMYFUNCTION("""COMPUTED_VALUE"""),"+ 5,9 %")</f>
        <v>+ 5,9 %</v>
      </c>
    </row>
    <row r="117">
      <c r="A117" s="2">
        <f>IFERROR(__xludf.DUMMYFUNCTION("""COMPUTED_VALUE"""),42675.0)</f>
        <v>42675</v>
      </c>
      <c r="B117" s="1" t="str">
        <f>IFERROR(__xludf.DUMMYFUNCTION("""COMPUTED_VALUE"""),"2.763 €/m2")</f>
        <v>2.763 €/m2</v>
      </c>
      <c r="C117" s="1" t="str">
        <f>IFERROR(__xludf.DUMMYFUNCTION("""COMPUTED_VALUE"""),"+ 0,7 %")</f>
        <v>+ 0,7 %</v>
      </c>
      <c r="D117" s="1" t="str">
        <f>IFERROR(__xludf.DUMMYFUNCTION("""COMPUTED_VALUE"""),"+ 1,0 %")</f>
        <v>+ 1,0 %</v>
      </c>
      <c r="E117" s="1" t="str">
        <f>IFERROR(__xludf.DUMMYFUNCTION("""COMPUTED_VALUE"""),"+ 5,1 %")</f>
        <v>+ 5,1 %</v>
      </c>
    </row>
    <row r="118">
      <c r="A118" s="2">
        <f>IFERROR(__xludf.DUMMYFUNCTION("""COMPUTED_VALUE"""),42644.0)</f>
        <v>42644</v>
      </c>
      <c r="B118" s="1" t="str">
        <f>IFERROR(__xludf.DUMMYFUNCTION("""COMPUTED_VALUE"""),"2.745 €/m2")</f>
        <v>2.745 €/m2</v>
      </c>
      <c r="C118" s="1" t="str">
        <f>IFERROR(__xludf.DUMMYFUNCTION("""COMPUTED_VALUE"""),"+ 0,3 %")</f>
        <v>+ 0,3 %</v>
      </c>
      <c r="D118" s="1" t="str">
        <f>IFERROR(__xludf.DUMMYFUNCTION("""COMPUTED_VALUE"""),"+ 1,4 %")</f>
        <v>+ 1,4 %</v>
      </c>
      <c r="E118" s="1" t="str">
        <f>IFERROR(__xludf.DUMMYFUNCTION("""COMPUTED_VALUE"""),"+ 4,9 %")</f>
        <v>+ 4,9 %</v>
      </c>
    </row>
    <row r="119">
      <c r="A119" s="2">
        <f>IFERROR(__xludf.DUMMYFUNCTION("""COMPUTED_VALUE"""),42614.0)</f>
        <v>42614</v>
      </c>
      <c r="B119" s="1" t="str">
        <f>IFERROR(__xludf.DUMMYFUNCTION("""COMPUTED_VALUE"""),"2.738 €/m2")</f>
        <v>2.738 €/m2</v>
      </c>
      <c r="C119" s="1" t="str">
        <f>IFERROR(__xludf.DUMMYFUNCTION("""COMPUTED_VALUE"""),"+ 0,1 %")</f>
        <v>+ 0,1 %</v>
      </c>
      <c r="D119" s="1" t="str">
        <f>IFERROR(__xludf.DUMMYFUNCTION("""COMPUTED_VALUE"""),"+ 1,6 %")</f>
        <v>+ 1,6 %</v>
      </c>
      <c r="E119" s="1" t="str">
        <f>IFERROR(__xludf.DUMMYFUNCTION("""COMPUTED_VALUE"""),"+ 4,5 %")</f>
        <v>+ 4,5 %</v>
      </c>
    </row>
    <row r="120">
      <c r="A120" s="2">
        <f>IFERROR(__xludf.DUMMYFUNCTION("""COMPUTED_VALUE"""),42583.0)</f>
        <v>42583</v>
      </c>
      <c r="B120" s="1" t="str">
        <f>IFERROR(__xludf.DUMMYFUNCTION("""COMPUTED_VALUE"""),"2.735 €/m2")</f>
        <v>2.735 €/m2</v>
      </c>
      <c r="C120" s="1" t="str">
        <f>IFERROR(__xludf.DUMMYFUNCTION("""COMPUTED_VALUE"""),"+ 1,0 %")</f>
        <v>+ 1,0 %</v>
      </c>
      <c r="D120" s="1" t="str">
        <f>IFERROR(__xludf.DUMMYFUNCTION("""COMPUTED_VALUE"""),"+ 2,3 %")</f>
        <v>+ 2,3 %</v>
      </c>
      <c r="E120" s="1" t="str">
        <f>IFERROR(__xludf.DUMMYFUNCTION("""COMPUTED_VALUE"""),"+ 4,6 %")</f>
        <v>+ 4,6 %</v>
      </c>
    </row>
    <row r="121">
      <c r="A121" s="2">
        <f>IFERROR(__xludf.DUMMYFUNCTION("""COMPUTED_VALUE"""),42552.0)</f>
        <v>42552</v>
      </c>
      <c r="B121" s="1" t="str">
        <f>IFERROR(__xludf.DUMMYFUNCTION("""COMPUTED_VALUE"""),"2.707 €/m2")</f>
        <v>2.707 €/m2</v>
      </c>
      <c r="C121" s="1" t="str">
        <f>IFERROR(__xludf.DUMMYFUNCTION("""COMPUTED_VALUE"""),"+ 0,4 %")</f>
        <v>+ 0,4 %</v>
      </c>
      <c r="D121" s="1" t="str">
        <f>IFERROR(__xludf.DUMMYFUNCTION("""COMPUTED_VALUE"""),"+ 2,5 %")</f>
        <v>+ 2,5 %</v>
      </c>
      <c r="E121" s="1" t="str">
        <f>IFERROR(__xludf.DUMMYFUNCTION("""COMPUTED_VALUE"""),"+ 3,6 %")</f>
        <v>+ 3,6 %</v>
      </c>
    </row>
    <row r="122">
      <c r="A122" s="2">
        <f>IFERROR(__xludf.DUMMYFUNCTION("""COMPUTED_VALUE"""),42522.0)</f>
        <v>42522</v>
      </c>
      <c r="B122" s="1" t="str">
        <f>IFERROR(__xludf.DUMMYFUNCTION("""COMPUTED_VALUE"""),"2.695 €/m2")</f>
        <v>2.695 €/m2</v>
      </c>
      <c r="C122" s="1" t="str">
        <f>IFERROR(__xludf.DUMMYFUNCTION("""COMPUTED_VALUE"""),"+ 0,9 %")</f>
        <v>+ 0,9 %</v>
      </c>
      <c r="D122" s="1" t="str">
        <f>IFERROR(__xludf.DUMMYFUNCTION("""COMPUTED_VALUE"""),"+ 2,7 %")</f>
        <v>+ 2,7 %</v>
      </c>
      <c r="E122" s="1" t="str">
        <f>IFERROR(__xludf.DUMMYFUNCTION("""COMPUTED_VALUE"""),"+ 3,7 %")</f>
        <v>+ 3,7 %</v>
      </c>
    </row>
    <row r="123">
      <c r="A123" s="2">
        <f>IFERROR(__xludf.DUMMYFUNCTION("""COMPUTED_VALUE"""),42491.0)</f>
        <v>42491</v>
      </c>
      <c r="B123" s="1" t="str">
        <f>IFERROR(__xludf.DUMMYFUNCTION("""COMPUTED_VALUE"""),"2.673 €/m2")</f>
        <v>2.673 €/m2</v>
      </c>
      <c r="C123" s="1" t="str">
        <f>IFERROR(__xludf.DUMMYFUNCTION("""COMPUTED_VALUE"""),"+ 1,2 %")</f>
        <v>+ 1,2 %</v>
      </c>
      <c r="D123" s="1" t="str">
        <f>IFERROR(__xludf.DUMMYFUNCTION("""COMPUTED_VALUE"""),"+ 2,0 %")</f>
        <v>+ 2,0 %</v>
      </c>
      <c r="E123" s="1" t="str">
        <f>IFERROR(__xludf.DUMMYFUNCTION("""COMPUTED_VALUE"""),"+ 3,3 %")</f>
        <v>+ 3,3 %</v>
      </c>
    </row>
    <row r="124">
      <c r="A124" s="2">
        <f>IFERROR(__xludf.DUMMYFUNCTION("""COMPUTED_VALUE"""),42461.0)</f>
        <v>42461</v>
      </c>
      <c r="B124" s="1" t="str">
        <f>IFERROR(__xludf.DUMMYFUNCTION("""COMPUTED_VALUE"""),"2.641 €/m2")</f>
        <v>2.641 €/m2</v>
      </c>
      <c r="C124" s="1" t="str">
        <f>IFERROR(__xludf.DUMMYFUNCTION("""COMPUTED_VALUE"""),"+ 0,7 %")</f>
        <v>+ 0,7 %</v>
      </c>
      <c r="D124" s="1" t="str">
        <f>IFERROR(__xludf.DUMMYFUNCTION("""COMPUTED_VALUE"""),"+ 0,1 %")</f>
        <v>+ 0,1 %</v>
      </c>
      <c r="E124" s="1" t="str">
        <f>IFERROR(__xludf.DUMMYFUNCTION("""COMPUTED_VALUE"""),"+ 2,2 %")</f>
        <v>+ 2,2 %</v>
      </c>
    </row>
    <row r="125">
      <c r="A125" s="2">
        <f>IFERROR(__xludf.DUMMYFUNCTION("""COMPUTED_VALUE"""),42430.0)</f>
        <v>42430</v>
      </c>
      <c r="B125" s="1" t="str">
        <f>IFERROR(__xludf.DUMMYFUNCTION("""COMPUTED_VALUE"""),"2.624 €/m2")</f>
        <v>2.624 €/m2</v>
      </c>
      <c r="C125" s="1" t="str">
        <f>IFERROR(__xludf.DUMMYFUNCTION("""COMPUTED_VALUE"""),"+ 0,1 %")</f>
        <v>+ 0,1 %</v>
      </c>
      <c r="D125" s="1" t="str">
        <f>IFERROR(__xludf.DUMMYFUNCTION("""COMPUTED_VALUE"""),"+ 0,1 %")</f>
        <v>+ 0,1 %</v>
      </c>
      <c r="E125" s="1" t="str">
        <f>IFERROR(__xludf.DUMMYFUNCTION("""COMPUTED_VALUE"""),"+ 2,0 %")</f>
        <v>+ 2,0 %</v>
      </c>
    </row>
    <row r="126">
      <c r="A126" s="2">
        <f>IFERROR(__xludf.DUMMYFUNCTION("""COMPUTED_VALUE"""),42401.0)</f>
        <v>42401</v>
      </c>
      <c r="B126" s="1" t="str">
        <f>IFERROR(__xludf.DUMMYFUNCTION("""COMPUTED_VALUE"""),"2.621 €/m2")</f>
        <v>2.621 €/m2</v>
      </c>
      <c r="C126" s="1" t="str">
        <f>IFERROR(__xludf.DUMMYFUNCTION("""COMPUTED_VALUE"""),"- 0,7 %")</f>
        <v>- 0,7 %</v>
      </c>
      <c r="D126" s="1" t="str">
        <f>IFERROR(__xludf.DUMMYFUNCTION("""COMPUTED_VALUE"""),"- 0,3 %")</f>
        <v>- 0,3 %</v>
      </c>
      <c r="E126" s="1" t="str">
        <f>IFERROR(__xludf.DUMMYFUNCTION("""COMPUTED_VALUE"""),"+ 1,3 %")</f>
        <v>+ 1,3 %</v>
      </c>
    </row>
    <row r="127">
      <c r="A127" s="2">
        <f>IFERROR(__xludf.DUMMYFUNCTION("""COMPUTED_VALUE"""),42370.0)</f>
        <v>42370</v>
      </c>
      <c r="B127" s="1" t="str">
        <f>IFERROR(__xludf.DUMMYFUNCTION("""COMPUTED_VALUE"""),"2.638 €/m2")</f>
        <v>2.638 €/m2</v>
      </c>
      <c r="C127" s="1" t="str">
        <f>IFERROR(__xludf.DUMMYFUNCTION("""COMPUTED_VALUE"""),"+ 0,7 %")</f>
        <v>+ 0,7 %</v>
      </c>
      <c r="D127" s="1" t="str">
        <f>IFERROR(__xludf.DUMMYFUNCTION("""COMPUTED_VALUE"""),"+ 0,8 %")</f>
        <v>+ 0,8 %</v>
      </c>
      <c r="E127" s="1" t="str">
        <f>IFERROR(__xludf.DUMMYFUNCTION("""COMPUTED_VALUE"""),"+ 1,0 %")</f>
        <v>+ 1,0 %</v>
      </c>
    </row>
    <row r="128">
      <c r="A128" s="2">
        <f>IFERROR(__xludf.DUMMYFUNCTION("""COMPUTED_VALUE"""),42339.0)</f>
        <v>42339</v>
      </c>
      <c r="B128" s="1" t="str">
        <f>IFERROR(__xludf.DUMMYFUNCTION("""COMPUTED_VALUE"""),"2.621 €/m2")</f>
        <v>2.621 €/m2</v>
      </c>
      <c r="C128" s="1" t="str">
        <f>IFERROR(__xludf.DUMMYFUNCTION("""COMPUTED_VALUE"""),"- 0,3 %")</f>
        <v>- 0,3 %</v>
      </c>
      <c r="D128" s="1" t="str">
        <f>IFERROR(__xludf.DUMMYFUNCTION("""COMPUTED_VALUE"""),"0,0 %")</f>
        <v>0,0 %</v>
      </c>
      <c r="E128" s="1" t="str">
        <f>IFERROR(__xludf.DUMMYFUNCTION("""COMPUTED_VALUE"""),"+ 0,9 %")</f>
        <v>+ 0,9 %</v>
      </c>
    </row>
    <row r="129">
      <c r="A129" s="2">
        <f>IFERROR(__xludf.DUMMYFUNCTION("""COMPUTED_VALUE"""),42309.0)</f>
        <v>42309</v>
      </c>
      <c r="B129" s="1" t="str">
        <f>IFERROR(__xludf.DUMMYFUNCTION("""COMPUTED_VALUE"""),"2.629 €/m2")</f>
        <v>2.629 €/m2</v>
      </c>
      <c r="C129" s="1" t="str">
        <f>IFERROR(__xludf.DUMMYFUNCTION("""COMPUTED_VALUE"""),"+ 0,4 %")</f>
        <v>+ 0,4 %</v>
      </c>
      <c r="D129" s="1" t="str">
        <f>IFERROR(__xludf.DUMMYFUNCTION("""COMPUTED_VALUE"""),"+ 0,5 %")</f>
        <v>+ 0,5 %</v>
      </c>
      <c r="E129" s="1" t="str">
        <f>IFERROR(__xludf.DUMMYFUNCTION("""COMPUTED_VALUE"""),"+ 1,0 %")</f>
        <v>+ 1,0 %</v>
      </c>
    </row>
    <row r="130">
      <c r="A130" s="2">
        <f>IFERROR(__xludf.DUMMYFUNCTION("""COMPUTED_VALUE"""),42278.0)</f>
        <v>42278</v>
      </c>
      <c r="B130" s="1" t="str">
        <f>IFERROR(__xludf.DUMMYFUNCTION("""COMPUTED_VALUE"""),"2.617 €/m2")</f>
        <v>2.617 €/m2</v>
      </c>
      <c r="C130" s="1" t="str">
        <f>IFERROR(__xludf.DUMMYFUNCTION("""COMPUTED_VALUE"""),"- 0,1 %")</f>
        <v>- 0,1 %</v>
      </c>
      <c r="D130" s="1" t="str">
        <f>IFERROR(__xludf.DUMMYFUNCTION("""COMPUTED_VALUE"""),"+ 0,1 %")</f>
        <v>+ 0,1 %</v>
      </c>
      <c r="E130" s="1" t="str">
        <f>IFERROR(__xludf.DUMMYFUNCTION("""COMPUTED_VALUE"""),"+ 0,8 %")</f>
        <v>+ 0,8 %</v>
      </c>
    </row>
    <row r="131">
      <c r="A131" s="2">
        <f>IFERROR(__xludf.DUMMYFUNCTION("""COMPUTED_VALUE"""),42248.0)</f>
        <v>42248</v>
      </c>
      <c r="B131" s="1" t="str">
        <f>IFERROR(__xludf.DUMMYFUNCTION("""COMPUTED_VALUE"""),"2.620 €/m2")</f>
        <v>2.620 €/m2</v>
      </c>
      <c r="C131" s="1" t="str">
        <f>IFERROR(__xludf.DUMMYFUNCTION("""COMPUTED_VALUE"""),"+ 0,2 %")</f>
        <v>+ 0,2 %</v>
      </c>
      <c r="D131" s="1" t="str">
        <f>IFERROR(__xludf.DUMMYFUNCTION("""COMPUTED_VALUE"""),"+ 0,8 %")</f>
        <v>+ 0,8 %</v>
      </c>
      <c r="E131" s="1" t="str">
        <f>IFERROR(__xludf.DUMMYFUNCTION("""COMPUTED_VALUE"""),"+ 0,7 %")</f>
        <v>+ 0,7 %</v>
      </c>
    </row>
    <row r="132">
      <c r="A132" s="2">
        <f>IFERROR(__xludf.DUMMYFUNCTION("""COMPUTED_VALUE"""),42217.0)</f>
        <v>42217</v>
      </c>
      <c r="B132" s="1" t="str">
        <f>IFERROR(__xludf.DUMMYFUNCTION("""COMPUTED_VALUE"""),"2.615 €/m2")</f>
        <v>2.615 €/m2</v>
      </c>
      <c r="C132" s="1" t="str">
        <f>IFERROR(__xludf.DUMMYFUNCTION("""COMPUTED_VALUE"""),"0,0 %")</f>
        <v>0,0 %</v>
      </c>
      <c r="D132" s="1" t="str">
        <f>IFERROR(__xludf.DUMMYFUNCTION("""COMPUTED_VALUE"""),"+ 1,1 %")</f>
        <v>+ 1,1 %</v>
      </c>
      <c r="E132" s="1" t="str">
        <f>IFERROR(__xludf.DUMMYFUNCTION("""COMPUTED_VALUE"""),"+ 1,2 %")</f>
        <v>+ 1,2 %</v>
      </c>
    </row>
    <row r="133">
      <c r="A133" s="2">
        <f>IFERROR(__xludf.DUMMYFUNCTION("""COMPUTED_VALUE"""),42186.0)</f>
        <v>42186</v>
      </c>
      <c r="B133" s="1" t="str">
        <f>IFERROR(__xludf.DUMMYFUNCTION("""COMPUTED_VALUE"""),"2.614 €/m2")</f>
        <v>2.614 €/m2</v>
      </c>
      <c r="C133" s="1" t="str">
        <f>IFERROR(__xludf.DUMMYFUNCTION("""COMPUTED_VALUE"""),"+ 0,6 %")</f>
        <v>+ 0,6 %</v>
      </c>
      <c r="D133" s="1" t="str">
        <f>IFERROR(__xludf.DUMMYFUNCTION("""COMPUTED_VALUE"""),"+ 1,2 %")</f>
        <v>+ 1,2 %</v>
      </c>
      <c r="E133" s="1" t="str">
        <f>IFERROR(__xludf.DUMMYFUNCTION("""COMPUTED_VALUE"""),"+ 0,4 %")</f>
        <v>+ 0,4 %</v>
      </c>
    </row>
    <row r="134">
      <c r="A134" s="2">
        <f>IFERROR(__xludf.DUMMYFUNCTION("""COMPUTED_VALUE"""),42156.0)</f>
        <v>42156</v>
      </c>
      <c r="B134" s="1" t="str">
        <f>IFERROR(__xludf.DUMMYFUNCTION("""COMPUTED_VALUE"""),"2.598 €/m2")</f>
        <v>2.598 €/m2</v>
      </c>
      <c r="C134" s="1" t="str">
        <f>IFERROR(__xludf.DUMMYFUNCTION("""COMPUTED_VALUE"""),"+ 0,4 %")</f>
        <v>+ 0,4 %</v>
      </c>
      <c r="D134" s="1" t="str">
        <f>IFERROR(__xludf.DUMMYFUNCTION("""COMPUTED_VALUE"""),"+ 1,0 %")</f>
        <v>+ 1,0 %</v>
      </c>
      <c r="E134" s="1" t="str">
        <f>IFERROR(__xludf.DUMMYFUNCTION("""COMPUTED_VALUE"""),"- 0,2 %")</f>
        <v>- 0,2 %</v>
      </c>
    </row>
    <row r="135">
      <c r="A135" s="2">
        <f>IFERROR(__xludf.DUMMYFUNCTION("""COMPUTED_VALUE"""),42125.0)</f>
        <v>42125</v>
      </c>
      <c r="B135" s="1" t="str">
        <f>IFERROR(__xludf.DUMMYFUNCTION("""COMPUTED_VALUE"""),"2.587 €/m2")</f>
        <v>2.587 €/m2</v>
      </c>
      <c r="C135" s="1" t="str">
        <f>IFERROR(__xludf.DUMMYFUNCTION("""COMPUTED_VALUE"""),"+ 0,1 %")</f>
        <v>+ 0,1 %</v>
      </c>
      <c r="D135" s="1" t="str">
        <f>IFERROR(__xludf.DUMMYFUNCTION("""COMPUTED_VALUE"""),"0,0 %")</f>
        <v>0,0 %</v>
      </c>
      <c r="E135" s="1" t="str">
        <f>IFERROR(__xludf.DUMMYFUNCTION("""COMPUTED_VALUE"""),"- 0,8 %")</f>
        <v>- 0,8 %</v>
      </c>
    </row>
    <row r="136">
      <c r="A136" s="2">
        <f>IFERROR(__xludf.DUMMYFUNCTION("""COMPUTED_VALUE"""),42095.0)</f>
        <v>42095</v>
      </c>
      <c r="B136" s="1" t="str">
        <f>IFERROR(__xludf.DUMMYFUNCTION("""COMPUTED_VALUE"""),"2.583 €/m2")</f>
        <v>2.583 €/m2</v>
      </c>
      <c r="C136" s="1" t="str">
        <f>IFERROR(__xludf.DUMMYFUNCTION("""COMPUTED_VALUE"""),"+ 0,4 %")</f>
        <v>+ 0,4 %</v>
      </c>
      <c r="D136" s="1" t="str">
        <f>IFERROR(__xludf.DUMMYFUNCTION("""COMPUTED_VALUE"""),"- 1,1 %")</f>
        <v>- 1,1 %</v>
      </c>
      <c r="E136" s="1" t="str">
        <f>IFERROR(__xludf.DUMMYFUNCTION("""COMPUTED_VALUE"""),"- 0,2 %")</f>
        <v>- 0,2 %</v>
      </c>
    </row>
    <row r="137">
      <c r="A137" s="2">
        <f>IFERROR(__xludf.DUMMYFUNCTION("""COMPUTED_VALUE"""),42064.0)</f>
        <v>42064</v>
      </c>
      <c r="B137" s="1" t="str">
        <f>IFERROR(__xludf.DUMMYFUNCTION("""COMPUTED_VALUE"""),"2.573 €/m2")</f>
        <v>2.573 €/m2</v>
      </c>
      <c r="C137" s="1" t="str">
        <f>IFERROR(__xludf.DUMMYFUNCTION("""COMPUTED_VALUE"""),"- 0,6 %")</f>
        <v>- 0,6 %</v>
      </c>
      <c r="D137" s="1" t="str">
        <f>IFERROR(__xludf.DUMMYFUNCTION("""COMPUTED_VALUE"""),"- 1,0 %")</f>
        <v>- 1,0 %</v>
      </c>
      <c r="E137" s="1" t="str">
        <f>IFERROR(__xludf.DUMMYFUNCTION("""COMPUTED_VALUE"""),"- 2,2 %")</f>
        <v>- 2,2 %</v>
      </c>
    </row>
    <row r="138">
      <c r="A138" s="2">
        <f>IFERROR(__xludf.DUMMYFUNCTION("""COMPUTED_VALUE"""),42036.0)</f>
        <v>42036</v>
      </c>
      <c r="B138" s="1" t="str">
        <f>IFERROR(__xludf.DUMMYFUNCTION("""COMPUTED_VALUE"""),"2.588 €/m2")</f>
        <v>2.588 €/m2</v>
      </c>
      <c r="C138" s="1" t="str">
        <f>IFERROR(__xludf.DUMMYFUNCTION("""COMPUTED_VALUE"""),"- 1,0 %")</f>
        <v>- 1,0 %</v>
      </c>
      <c r="D138" s="1" t="str">
        <f>IFERROR(__xludf.DUMMYFUNCTION("""COMPUTED_VALUE"""),"- 0,5 %")</f>
        <v>- 0,5 %</v>
      </c>
      <c r="E138" s="1" t="str">
        <f>IFERROR(__xludf.DUMMYFUNCTION("""COMPUTED_VALUE"""),"- 0,6 %")</f>
        <v>- 0,6 %</v>
      </c>
    </row>
    <row r="139">
      <c r="A139" s="2">
        <f>IFERROR(__xludf.DUMMYFUNCTION("""COMPUTED_VALUE"""),42005.0)</f>
        <v>42005</v>
      </c>
      <c r="B139" s="1" t="str">
        <f>IFERROR(__xludf.DUMMYFUNCTION("""COMPUTED_VALUE"""),"2.613 €/m2")</f>
        <v>2.613 €/m2</v>
      </c>
      <c r="C139" s="1" t="str">
        <f>IFERROR(__xludf.DUMMYFUNCTION("""COMPUTED_VALUE"""),"+ 0,6 %")</f>
        <v>+ 0,6 %</v>
      </c>
      <c r="D139" s="1" t="str">
        <f>IFERROR(__xludf.DUMMYFUNCTION("""COMPUTED_VALUE"""),"+ 0,7 %")</f>
        <v>+ 0,7 %</v>
      </c>
      <c r="E139" s="1" t="str">
        <f>IFERROR(__xludf.DUMMYFUNCTION("""COMPUTED_VALUE"""),"- 0,4 %")</f>
        <v>- 0,4 %</v>
      </c>
    </row>
    <row r="140">
      <c r="A140" s="2">
        <f>IFERROR(__xludf.DUMMYFUNCTION("""COMPUTED_VALUE"""),41974.0)</f>
        <v>41974</v>
      </c>
      <c r="B140" s="1" t="str">
        <f>IFERROR(__xludf.DUMMYFUNCTION("""COMPUTED_VALUE"""),"2.599 €/m2")</f>
        <v>2.599 €/m2</v>
      </c>
      <c r="C140" s="1" t="str">
        <f>IFERROR(__xludf.DUMMYFUNCTION("""COMPUTED_VALUE"""),"- 0,1 %")</f>
        <v>- 0,1 %</v>
      </c>
      <c r="D140" s="1" t="str">
        <f>IFERROR(__xludf.DUMMYFUNCTION("""COMPUTED_VALUE"""),"- 0,1 %")</f>
        <v>- 0,1 %</v>
      </c>
      <c r="E140" s="1" t="str">
        <f>IFERROR(__xludf.DUMMYFUNCTION("""COMPUTED_VALUE"""),"- 1,9 %")</f>
        <v>- 1,9 %</v>
      </c>
    </row>
    <row r="141">
      <c r="A141" s="2">
        <f>IFERROR(__xludf.DUMMYFUNCTION("""COMPUTED_VALUE"""),41944.0)</f>
        <v>41944</v>
      </c>
      <c r="B141" s="1" t="str">
        <f>IFERROR(__xludf.DUMMYFUNCTION("""COMPUTED_VALUE"""),"2.602 €/m2")</f>
        <v>2.602 €/m2</v>
      </c>
      <c r="C141" s="1" t="str">
        <f>IFERROR(__xludf.DUMMYFUNCTION("""COMPUTED_VALUE"""),"+ 0,3 %")</f>
        <v>+ 0,3 %</v>
      </c>
      <c r="D141" s="1" t="str">
        <f>IFERROR(__xludf.DUMMYFUNCTION("""COMPUTED_VALUE"""),"+ 0,7 %")</f>
        <v>+ 0,7 %</v>
      </c>
      <c r="E141" s="1" t="str">
        <f>IFERROR(__xludf.DUMMYFUNCTION("""COMPUTED_VALUE"""),"- 2,7 %")</f>
        <v>- 2,7 %</v>
      </c>
    </row>
    <row r="142">
      <c r="A142" s="2">
        <f>IFERROR(__xludf.DUMMYFUNCTION("""COMPUTED_VALUE"""),41913.0)</f>
        <v>41913</v>
      </c>
      <c r="B142" s="1" t="str">
        <f>IFERROR(__xludf.DUMMYFUNCTION("""COMPUTED_VALUE"""),"2.595 €/m2")</f>
        <v>2.595 €/m2</v>
      </c>
      <c r="C142" s="1" t="str">
        <f>IFERROR(__xludf.DUMMYFUNCTION("""COMPUTED_VALUE"""),"- 0,2 %")</f>
        <v>- 0,2 %</v>
      </c>
      <c r="D142" s="1" t="str">
        <f>IFERROR(__xludf.DUMMYFUNCTION("""COMPUTED_VALUE"""),"- 0,3 %")</f>
        <v>- 0,3 %</v>
      </c>
      <c r="E142" s="1" t="str">
        <f>IFERROR(__xludf.DUMMYFUNCTION("""COMPUTED_VALUE"""),"- 3,5 %")</f>
        <v>- 3,5 %</v>
      </c>
    </row>
    <row r="143">
      <c r="A143" s="2">
        <f>IFERROR(__xludf.DUMMYFUNCTION("""COMPUTED_VALUE"""),41883.0)</f>
        <v>41883</v>
      </c>
      <c r="B143" s="1" t="str">
        <f>IFERROR(__xludf.DUMMYFUNCTION("""COMPUTED_VALUE"""),"2.601 €/m2")</f>
        <v>2.601 €/m2</v>
      </c>
      <c r="C143" s="1" t="str">
        <f>IFERROR(__xludf.DUMMYFUNCTION("""COMPUTED_VALUE"""),"+ 0,7 %")</f>
        <v>+ 0,7 %</v>
      </c>
      <c r="D143" s="1" t="str">
        <f>IFERROR(__xludf.DUMMYFUNCTION("""COMPUTED_VALUE"""),"- 0,1 %")</f>
        <v>- 0,1 %</v>
      </c>
      <c r="E143" s="1" t="str">
        <f>IFERROR(__xludf.DUMMYFUNCTION("""COMPUTED_VALUE"""),"- 3,9 %")</f>
        <v>- 3,9 %</v>
      </c>
    </row>
    <row r="144">
      <c r="A144" s="2">
        <f>IFERROR(__xludf.DUMMYFUNCTION("""COMPUTED_VALUE"""),41852.0)</f>
        <v>41852</v>
      </c>
      <c r="B144" s="1" t="str">
        <f>IFERROR(__xludf.DUMMYFUNCTION("""COMPUTED_VALUE"""),"2.583 €/m2")</f>
        <v>2.583 €/m2</v>
      </c>
      <c r="C144" s="1" t="str">
        <f>IFERROR(__xludf.DUMMYFUNCTION("""COMPUTED_VALUE"""),"- 0,7 %")</f>
        <v>- 0,7 %</v>
      </c>
      <c r="D144" s="1" t="str">
        <f>IFERROR(__xludf.DUMMYFUNCTION("""COMPUTED_VALUE"""),"- 1,0 %")</f>
        <v>- 1,0 %</v>
      </c>
      <c r="E144" s="1" t="str">
        <f>IFERROR(__xludf.DUMMYFUNCTION("""COMPUTED_VALUE"""),"- 3,2 %")</f>
        <v>- 3,2 %</v>
      </c>
    </row>
    <row r="145">
      <c r="A145" s="2">
        <f>IFERROR(__xludf.DUMMYFUNCTION("""COMPUTED_VALUE"""),41821.0)</f>
        <v>41821</v>
      </c>
      <c r="B145" s="1" t="str">
        <f>IFERROR(__xludf.DUMMYFUNCTION("""COMPUTED_VALUE"""),"2.603 €/m2")</f>
        <v>2.603 €/m2</v>
      </c>
      <c r="C145" s="1" t="str">
        <f>IFERROR(__xludf.DUMMYFUNCTION("""COMPUTED_VALUE"""),"0,0 %")</f>
        <v>0,0 %</v>
      </c>
      <c r="D145" s="1" t="str">
        <f>IFERROR(__xludf.DUMMYFUNCTION("""COMPUTED_VALUE"""),"+ 0,5 %")</f>
        <v>+ 0,5 %</v>
      </c>
      <c r="E145" s="1" t="str">
        <f>IFERROR(__xludf.DUMMYFUNCTION("""COMPUTED_VALUE"""),"- 3,7 %")</f>
        <v>- 3,7 %</v>
      </c>
    </row>
    <row r="146">
      <c r="A146" s="2">
        <f>IFERROR(__xludf.DUMMYFUNCTION("""COMPUTED_VALUE"""),41791.0)</f>
        <v>41791</v>
      </c>
      <c r="B146" s="1" t="str">
        <f>IFERROR(__xludf.DUMMYFUNCTION("""COMPUTED_VALUE"""),"2.603 €/m2")</f>
        <v>2.603 €/m2</v>
      </c>
      <c r="C146" s="1" t="str">
        <f>IFERROR(__xludf.DUMMYFUNCTION("""COMPUTED_VALUE"""),"- 0,2 %")</f>
        <v>- 0,2 %</v>
      </c>
      <c r="D146" s="1" t="str">
        <f>IFERROR(__xludf.DUMMYFUNCTION("""COMPUTED_VALUE"""),"- 1,0 %")</f>
        <v>- 1,0 %</v>
      </c>
      <c r="E146" s="1" t="str">
        <f>IFERROR(__xludf.DUMMYFUNCTION("""COMPUTED_VALUE"""),"- 3,5 %")</f>
        <v>- 3,5 %</v>
      </c>
    </row>
    <row r="147">
      <c r="A147" s="2">
        <f>IFERROR(__xludf.DUMMYFUNCTION("""COMPUTED_VALUE"""),41760.0)</f>
        <v>41760</v>
      </c>
      <c r="B147" s="1" t="str">
        <f>IFERROR(__xludf.DUMMYFUNCTION("""COMPUTED_VALUE"""),"2.609 €/m2")</f>
        <v>2.609 €/m2</v>
      </c>
      <c r="C147" s="1" t="str">
        <f>IFERROR(__xludf.DUMMYFUNCTION("""COMPUTED_VALUE"""),"+ 0,8 %")</f>
        <v>+ 0,8 %</v>
      </c>
      <c r="D147" s="1" t="str">
        <f>IFERROR(__xludf.DUMMYFUNCTION("""COMPUTED_VALUE"""),"+ 0,2 %")</f>
        <v>+ 0,2 %</v>
      </c>
      <c r="E147" s="1" t="str">
        <f>IFERROR(__xludf.DUMMYFUNCTION("""COMPUTED_VALUE"""),"- 4,1 %")</f>
        <v>- 4,1 %</v>
      </c>
    </row>
    <row r="148">
      <c r="A148" s="2">
        <f>IFERROR(__xludf.DUMMYFUNCTION("""COMPUTED_VALUE"""),41730.0)</f>
        <v>41730</v>
      </c>
      <c r="B148" s="1" t="str">
        <f>IFERROR(__xludf.DUMMYFUNCTION("""COMPUTED_VALUE"""),"2.589 €/m2")</f>
        <v>2.589 €/m2</v>
      </c>
      <c r="C148" s="1" t="str">
        <f>IFERROR(__xludf.DUMMYFUNCTION("""COMPUTED_VALUE"""),"- 1,6 %")</f>
        <v>- 1,6 %</v>
      </c>
      <c r="D148" s="1" t="str">
        <f>IFERROR(__xludf.DUMMYFUNCTION("""COMPUTED_VALUE"""),"- 1,3 %")</f>
        <v>- 1,3 %</v>
      </c>
      <c r="E148" s="1" t="str">
        <f>IFERROR(__xludf.DUMMYFUNCTION("""COMPUTED_VALUE"""),"- 6,0 %")</f>
        <v>- 6,0 %</v>
      </c>
    </row>
    <row r="149">
      <c r="A149" s="2">
        <f>IFERROR(__xludf.DUMMYFUNCTION("""COMPUTED_VALUE"""),41699.0)</f>
        <v>41699</v>
      </c>
      <c r="B149" s="1" t="str">
        <f>IFERROR(__xludf.DUMMYFUNCTION("""COMPUTED_VALUE"""),"2.631 €/m2")</f>
        <v>2.631 €/m2</v>
      </c>
      <c r="C149" s="1" t="str">
        <f>IFERROR(__xludf.DUMMYFUNCTION("""COMPUTED_VALUE"""),"+ 1,1 %")</f>
        <v>+ 1,1 %</v>
      </c>
      <c r="D149" s="1" t="str">
        <f>IFERROR(__xludf.DUMMYFUNCTION("""COMPUTED_VALUE"""),"- 0,6 %")</f>
        <v>- 0,6 %</v>
      </c>
      <c r="E149" s="1" t="str">
        <f>IFERROR(__xludf.DUMMYFUNCTION("""COMPUTED_VALUE"""),"- 5,3 %")</f>
        <v>- 5,3 %</v>
      </c>
    </row>
    <row r="150">
      <c r="A150" s="2">
        <f>IFERROR(__xludf.DUMMYFUNCTION("""COMPUTED_VALUE"""),41671.0)</f>
        <v>41671</v>
      </c>
      <c r="B150" s="1" t="str">
        <f>IFERROR(__xludf.DUMMYFUNCTION("""COMPUTED_VALUE"""),"2.603 €/m2")</f>
        <v>2.603 €/m2</v>
      </c>
      <c r="C150" s="1" t="str">
        <f>IFERROR(__xludf.DUMMYFUNCTION("""COMPUTED_VALUE"""),"- 0,8 %")</f>
        <v>- 0,8 %</v>
      </c>
      <c r="D150" s="1" t="str">
        <f>IFERROR(__xludf.DUMMYFUNCTION("""COMPUTED_VALUE"""),"- 2,6 %")</f>
        <v>- 2,6 %</v>
      </c>
      <c r="E150" s="1" t="str">
        <f>IFERROR(__xludf.DUMMYFUNCTION("""COMPUTED_VALUE"""),"- 6,1 %")</f>
        <v>- 6,1 %</v>
      </c>
    </row>
    <row r="151">
      <c r="A151" s="2">
        <f>IFERROR(__xludf.DUMMYFUNCTION("""COMPUTED_VALUE"""),41640.0)</f>
        <v>41640</v>
      </c>
      <c r="B151" s="1" t="str">
        <f>IFERROR(__xludf.DUMMYFUNCTION("""COMPUTED_VALUE"""),"2.623 €/m2")</f>
        <v>2.623 €/m2</v>
      </c>
      <c r="C151" s="1" t="str">
        <f>IFERROR(__xludf.DUMMYFUNCTION("""COMPUTED_VALUE"""),"- 0,9 %")</f>
        <v>- 0,9 %</v>
      </c>
      <c r="D151" s="1" t="str">
        <f>IFERROR(__xludf.DUMMYFUNCTION("""COMPUTED_VALUE"""),"- 2,5 %")</f>
        <v>- 2,5 %</v>
      </c>
      <c r="E151" s="1" t="str">
        <f>IFERROR(__xludf.DUMMYFUNCTION("""COMPUTED_VALUE"""),"- 5,8 %")</f>
        <v>- 5,8 %</v>
      </c>
    </row>
    <row r="152">
      <c r="A152" s="2">
        <f>IFERROR(__xludf.DUMMYFUNCTION("""COMPUTED_VALUE"""),41609.0)</f>
        <v>41609</v>
      </c>
      <c r="B152" s="1" t="str">
        <f>IFERROR(__xludf.DUMMYFUNCTION("""COMPUTED_VALUE"""),"2.648 €/m2")</f>
        <v>2.648 €/m2</v>
      </c>
      <c r="C152" s="1" t="str">
        <f>IFERROR(__xludf.DUMMYFUNCTION("""COMPUTED_VALUE"""),"- 1,0 %")</f>
        <v>- 1,0 %</v>
      </c>
      <c r="D152" s="1" t="str">
        <f>IFERROR(__xludf.DUMMYFUNCTION("""COMPUTED_VALUE"""),"- 2,1 %")</f>
        <v>- 2,1 %</v>
      </c>
      <c r="E152" s="1" t="str">
        <f>IFERROR(__xludf.DUMMYFUNCTION("""COMPUTED_VALUE"""),"- 5,7 %")</f>
        <v>- 5,7 %</v>
      </c>
    </row>
    <row r="153">
      <c r="A153" s="2">
        <f>IFERROR(__xludf.DUMMYFUNCTION("""COMPUTED_VALUE"""),41579.0)</f>
        <v>41579</v>
      </c>
      <c r="B153" s="1" t="str">
        <f>IFERROR(__xludf.DUMMYFUNCTION("""COMPUTED_VALUE"""),"2.674 €/m2")</f>
        <v>2.674 €/m2</v>
      </c>
      <c r="C153" s="1" t="str">
        <f>IFERROR(__xludf.DUMMYFUNCTION("""COMPUTED_VALUE"""),"- 0,6 %")</f>
        <v>- 0,6 %</v>
      </c>
      <c r="D153" s="1" t="str">
        <f>IFERROR(__xludf.DUMMYFUNCTION("""COMPUTED_VALUE"""),"+ 0,2 %")</f>
        <v>+ 0,2 %</v>
      </c>
      <c r="E153" s="1" t="str">
        <f>IFERROR(__xludf.DUMMYFUNCTION("""COMPUTED_VALUE"""),"- 6,5 %")</f>
        <v>- 6,5 %</v>
      </c>
    </row>
    <row r="154">
      <c r="A154" s="2">
        <f>IFERROR(__xludf.DUMMYFUNCTION("""COMPUTED_VALUE"""),41548.0)</f>
        <v>41548</v>
      </c>
      <c r="B154" s="1" t="str">
        <f>IFERROR(__xludf.DUMMYFUNCTION("""COMPUTED_VALUE"""),"2.690 €/m2")</f>
        <v>2.690 €/m2</v>
      </c>
      <c r="C154" s="1" t="str">
        <f>IFERROR(__xludf.DUMMYFUNCTION("""COMPUTED_VALUE"""),"- 0,5 %")</f>
        <v>- 0,5 %</v>
      </c>
      <c r="D154" s="1" t="str">
        <f>IFERROR(__xludf.DUMMYFUNCTION("""COMPUTED_VALUE"""),"- 0,5 %")</f>
        <v>- 0,5 %</v>
      </c>
      <c r="E154" s="1" t="str">
        <f>IFERROR(__xludf.DUMMYFUNCTION("""COMPUTED_VALUE"""),"- 8,3 %")</f>
        <v>- 8,3 %</v>
      </c>
    </row>
    <row r="155">
      <c r="A155" s="2">
        <f>IFERROR(__xludf.DUMMYFUNCTION("""COMPUTED_VALUE"""),41518.0)</f>
        <v>41518</v>
      </c>
      <c r="B155" s="1" t="str">
        <f>IFERROR(__xludf.DUMMYFUNCTION("""COMPUTED_VALUE"""),"2.705 €/m2")</f>
        <v>2.705 €/m2</v>
      </c>
      <c r="C155" s="1" t="str">
        <f>IFERROR(__xludf.DUMMYFUNCTION("""COMPUTED_VALUE"""),"+ 1,4 %")</f>
        <v>+ 1,4 %</v>
      </c>
      <c r="D155" s="1" t="str">
        <f>IFERROR(__xludf.DUMMYFUNCTION("""COMPUTED_VALUE"""),"+ 0,3 %")</f>
        <v>+ 0,3 %</v>
      </c>
      <c r="E155" s="1" t="str">
        <f>IFERROR(__xludf.DUMMYFUNCTION("""COMPUTED_VALUE"""),"- 8,0 %")</f>
        <v>- 8,0 %</v>
      </c>
    </row>
    <row r="156">
      <c r="A156" s="2">
        <f>IFERROR(__xludf.DUMMYFUNCTION("""COMPUTED_VALUE"""),41487.0)</f>
        <v>41487</v>
      </c>
      <c r="B156" s="1" t="str">
        <f>IFERROR(__xludf.DUMMYFUNCTION("""COMPUTED_VALUE"""),"2.668 €/m2")</f>
        <v>2.668 €/m2</v>
      </c>
      <c r="C156" s="1" t="str">
        <f>IFERROR(__xludf.DUMMYFUNCTION("""COMPUTED_VALUE"""),"- 1,3 %")</f>
        <v>- 1,3 %</v>
      </c>
      <c r="D156" s="1" t="str">
        <f>IFERROR(__xludf.DUMMYFUNCTION("""COMPUTED_VALUE"""),"- 1,9 %")</f>
        <v>- 1,9 %</v>
      </c>
      <c r="E156" s="1" t="str">
        <f>IFERROR(__xludf.DUMMYFUNCTION("""COMPUTED_VALUE"""),"- 8,5 %")</f>
        <v>- 8,5 %</v>
      </c>
    </row>
    <row r="157">
      <c r="A157" s="2">
        <f>IFERROR(__xludf.DUMMYFUNCTION("""COMPUTED_VALUE"""),41456.0)</f>
        <v>41456</v>
      </c>
      <c r="B157" s="1" t="str">
        <f>IFERROR(__xludf.DUMMYFUNCTION("""COMPUTED_VALUE"""),"2.703 €/m2")</f>
        <v>2.703 €/m2</v>
      </c>
      <c r="C157" s="1" t="str">
        <f>IFERROR(__xludf.DUMMYFUNCTION("""COMPUTED_VALUE"""),"+ 0,2 %")</f>
        <v>+ 0,2 %</v>
      </c>
      <c r="D157" s="1" t="str">
        <f>IFERROR(__xludf.DUMMYFUNCTION("""COMPUTED_VALUE"""),"- 1,9 %")</f>
        <v>- 1,9 %</v>
      </c>
      <c r="E157" s="1" t="str">
        <f>IFERROR(__xludf.DUMMYFUNCTION("""COMPUTED_VALUE"""),"- 8,5 %")</f>
        <v>- 8,5 %</v>
      </c>
    </row>
    <row r="158">
      <c r="A158" s="2">
        <f>IFERROR(__xludf.DUMMYFUNCTION("""COMPUTED_VALUE"""),41426.0)</f>
        <v>41426</v>
      </c>
      <c r="B158" s="1" t="str">
        <f>IFERROR(__xludf.DUMMYFUNCTION("""COMPUTED_VALUE"""),"2.697 €/m2")</f>
        <v>2.697 €/m2</v>
      </c>
      <c r="C158" s="1" t="str">
        <f>IFERROR(__xludf.DUMMYFUNCTION("""COMPUTED_VALUE"""),"- 0,8 %")</f>
        <v>- 0,8 %</v>
      </c>
      <c r="D158" s="1" t="str">
        <f>IFERROR(__xludf.DUMMYFUNCTION("""COMPUTED_VALUE"""),"- 2,9 %")</f>
        <v>- 2,9 %</v>
      </c>
      <c r="E158" s="1" t="str">
        <f>IFERROR(__xludf.DUMMYFUNCTION("""COMPUTED_VALUE"""),"- 10,0 %")</f>
        <v>- 10,0 %</v>
      </c>
    </row>
    <row r="159">
      <c r="A159" s="2">
        <f>IFERROR(__xludf.DUMMYFUNCTION("""COMPUTED_VALUE"""),41395.0)</f>
        <v>41395</v>
      </c>
      <c r="B159" s="1" t="str">
        <f>IFERROR(__xludf.DUMMYFUNCTION("""COMPUTED_VALUE"""),"2.720 €/m2")</f>
        <v>2.720 €/m2</v>
      </c>
      <c r="C159" s="1" t="str">
        <f>IFERROR(__xludf.DUMMYFUNCTION("""COMPUTED_VALUE"""),"- 1,3 %")</f>
        <v>- 1,3 %</v>
      </c>
      <c r="D159" s="1" t="str">
        <f>IFERROR(__xludf.DUMMYFUNCTION("""COMPUTED_VALUE"""),"- 1,9 %")</f>
        <v>- 1,9 %</v>
      </c>
      <c r="E159" s="1" t="str">
        <f>IFERROR(__xludf.DUMMYFUNCTION("""COMPUTED_VALUE"""),"- 10,3 %")</f>
        <v>- 10,3 %</v>
      </c>
    </row>
    <row r="160">
      <c r="A160" s="2">
        <f>IFERROR(__xludf.DUMMYFUNCTION("""COMPUTED_VALUE"""),41365.0)</f>
        <v>41365</v>
      </c>
      <c r="B160" s="1" t="str">
        <f>IFERROR(__xludf.DUMMYFUNCTION("""COMPUTED_VALUE"""),"2.755 €/m2")</f>
        <v>2.755 €/m2</v>
      </c>
      <c r="C160" s="1" t="str">
        <f>IFERROR(__xludf.DUMMYFUNCTION("""COMPUTED_VALUE"""),"- 0,9 %")</f>
        <v>- 0,9 %</v>
      </c>
      <c r="D160" s="1" t="str">
        <f>IFERROR(__xludf.DUMMYFUNCTION("""COMPUTED_VALUE"""),"- 1,1 %")</f>
        <v>- 1,1 %</v>
      </c>
      <c r="E160" s="1" t="str">
        <f>IFERROR(__xludf.DUMMYFUNCTION("""COMPUTED_VALUE"""),"- 10,2 %")</f>
        <v>- 10,2 %</v>
      </c>
    </row>
    <row r="161">
      <c r="A161" s="2">
        <f>IFERROR(__xludf.DUMMYFUNCTION("""COMPUTED_VALUE"""),41334.0)</f>
        <v>41334</v>
      </c>
      <c r="B161" s="1" t="str">
        <f>IFERROR(__xludf.DUMMYFUNCTION("""COMPUTED_VALUE"""),"2.779 €/m2")</f>
        <v>2.779 €/m2</v>
      </c>
      <c r="C161" s="1" t="str">
        <f>IFERROR(__xludf.DUMMYFUNCTION("""COMPUTED_VALUE"""),"+ 0,2 %")</f>
        <v>+ 0,2 %</v>
      </c>
      <c r="D161" s="1" t="str">
        <f>IFERROR(__xludf.DUMMYFUNCTION("""COMPUTED_VALUE"""),"- 1,1 %")</f>
        <v>- 1,1 %</v>
      </c>
      <c r="E161" s="1" t="str">
        <f>IFERROR(__xludf.DUMMYFUNCTION("""COMPUTED_VALUE"""),"- 10,2 %")</f>
        <v>- 10,2 %</v>
      </c>
    </row>
    <row r="162">
      <c r="A162" s="2">
        <f>IFERROR(__xludf.DUMMYFUNCTION("""COMPUTED_VALUE"""),41306.0)</f>
        <v>41306</v>
      </c>
      <c r="B162" s="1" t="str">
        <f>IFERROR(__xludf.DUMMYFUNCTION("""COMPUTED_VALUE"""),"2.773 €/m2")</f>
        <v>2.773 €/m2</v>
      </c>
      <c r="C162" s="1" t="str">
        <f>IFERROR(__xludf.DUMMYFUNCTION("""COMPUTED_VALUE"""),"- 0,4 %")</f>
        <v>- 0,4 %</v>
      </c>
      <c r="D162" s="1" t="str">
        <f>IFERROR(__xludf.DUMMYFUNCTION("""COMPUTED_VALUE"""),"- 3,0 %")</f>
        <v>- 3,0 %</v>
      </c>
      <c r="E162" s="1" t="str">
        <f>IFERROR(__xludf.DUMMYFUNCTION("""COMPUTED_VALUE"""),"- 11,4 %")</f>
        <v>- 11,4 %</v>
      </c>
    </row>
    <row r="163">
      <c r="A163" s="2">
        <f>IFERROR(__xludf.DUMMYFUNCTION("""COMPUTED_VALUE"""),41275.0)</f>
        <v>41275</v>
      </c>
      <c r="B163" s="1" t="str">
        <f>IFERROR(__xludf.DUMMYFUNCTION("""COMPUTED_VALUE"""),"2.784 €/m2")</f>
        <v>2.784 €/m2</v>
      </c>
      <c r="C163" s="1" t="str">
        <f>IFERROR(__xludf.DUMMYFUNCTION("""COMPUTED_VALUE"""),"- 0,9 %")</f>
        <v>- 0,9 %</v>
      </c>
      <c r="D163" s="1" t="str">
        <f>IFERROR(__xludf.DUMMYFUNCTION("""COMPUTED_VALUE"""),"- 5,1 %")</f>
        <v>- 5,1 %</v>
      </c>
      <c r="E163" s="1" t="str">
        <f>IFERROR(__xludf.DUMMYFUNCTION("""COMPUTED_VALUE"""),"- 11,9 %")</f>
        <v>- 11,9 %</v>
      </c>
    </row>
    <row r="164">
      <c r="A164" s="2">
        <f>IFERROR(__xludf.DUMMYFUNCTION("""COMPUTED_VALUE"""),41244.0)</f>
        <v>41244</v>
      </c>
      <c r="B164" s="1" t="str">
        <f>IFERROR(__xludf.DUMMYFUNCTION("""COMPUTED_VALUE"""),"2.809 €/m2")</f>
        <v>2.809 €/m2</v>
      </c>
      <c r="C164" s="1" t="str">
        <f>IFERROR(__xludf.DUMMYFUNCTION("""COMPUTED_VALUE"""),"- 1,8 %")</f>
        <v>- 1,8 %</v>
      </c>
      <c r="D164" s="1" t="str">
        <f>IFERROR(__xludf.DUMMYFUNCTION("""COMPUTED_VALUE"""),"- 4,5 %")</f>
        <v>- 4,5 %</v>
      </c>
      <c r="E164" s="1" t="str">
        <f>IFERROR(__xludf.DUMMYFUNCTION("""COMPUTED_VALUE"""),"- 11,1 %")</f>
        <v>- 11,1 %</v>
      </c>
    </row>
    <row r="165">
      <c r="A165" s="2">
        <f>IFERROR(__xludf.DUMMYFUNCTION("""COMPUTED_VALUE"""),41214.0)</f>
        <v>41214</v>
      </c>
      <c r="B165" s="1" t="str">
        <f>IFERROR(__xludf.DUMMYFUNCTION("""COMPUTED_VALUE"""),"2.859 €/m2")</f>
        <v>2.859 €/m2</v>
      </c>
      <c r="C165" s="1" t="str">
        <f>IFERROR(__xludf.DUMMYFUNCTION("""COMPUTED_VALUE"""),"- 2,5 %")</f>
        <v>- 2,5 %</v>
      </c>
      <c r="D165" s="1" t="str">
        <f>IFERROR(__xludf.DUMMYFUNCTION("""COMPUTED_VALUE"""),"- 2,0 %")</f>
        <v>- 2,0 %</v>
      </c>
      <c r="E165" s="1" t="str">
        <f>IFERROR(__xludf.DUMMYFUNCTION("""COMPUTED_VALUE"""),"- 11,0 %")</f>
        <v>- 11,0 %</v>
      </c>
    </row>
    <row r="166">
      <c r="A166" s="2">
        <f>IFERROR(__xludf.DUMMYFUNCTION("""COMPUTED_VALUE"""),41183.0)</f>
        <v>41183</v>
      </c>
      <c r="B166" s="1" t="str">
        <f>IFERROR(__xludf.DUMMYFUNCTION("""COMPUTED_VALUE"""),"2.933 €/m2")</f>
        <v>2.933 €/m2</v>
      </c>
      <c r="C166" s="1" t="str">
        <f>IFERROR(__xludf.DUMMYFUNCTION("""COMPUTED_VALUE"""),"- 0,2 %")</f>
        <v>- 0,2 %</v>
      </c>
      <c r="D166" s="1" t="str">
        <f>IFERROR(__xludf.DUMMYFUNCTION("""COMPUTED_VALUE"""),"- 0,7 %")</f>
        <v>- 0,7 %</v>
      </c>
      <c r="E166" s="1" t="str">
        <f>IFERROR(__xludf.DUMMYFUNCTION("""COMPUTED_VALUE"""),"- 9,1 %")</f>
        <v>- 9,1 %</v>
      </c>
    </row>
    <row r="167">
      <c r="A167" s="2">
        <f>IFERROR(__xludf.DUMMYFUNCTION("""COMPUTED_VALUE"""),41153.0)</f>
        <v>41153</v>
      </c>
      <c r="B167" s="1" t="str">
        <f>IFERROR(__xludf.DUMMYFUNCTION("""COMPUTED_VALUE"""),"2.940 €/m2")</f>
        <v>2.940 €/m2</v>
      </c>
      <c r="C167" s="1" t="str">
        <f>IFERROR(__xludf.DUMMYFUNCTION("""COMPUTED_VALUE"""),"+ 0,8 %")</f>
        <v>+ 0,8 %</v>
      </c>
      <c r="D167" s="1" t="str">
        <f>IFERROR(__xludf.DUMMYFUNCTION("""COMPUTED_VALUE"""),"- 1,9 %")</f>
        <v>- 1,9 %</v>
      </c>
      <c r="E167" s="1" t="str">
        <f>IFERROR(__xludf.DUMMYFUNCTION("""COMPUTED_VALUE"""),"- 8,9 %")</f>
        <v>- 8,9 %</v>
      </c>
    </row>
    <row r="168">
      <c r="A168" s="2">
        <f>IFERROR(__xludf.DUMMYFUNCTION("""COMPUTED_VALUE"""),41122.0)</f>
        <v>41122</v>
      </c>
      <c r="B168" s="1" t="str">
        <f>IFERROR(__xludf.DUMMYFUNCTION("""COMPUTED_VALUE"""),"2.917 €/m2")</f>
        <v>2.917 €/m2</v>
      </c>
      <c r="C168" s="1" t="str">
        <f>IFERROR(__xludf.DUMMYFUNCTION("""COMPUTED_VALUE"""),"- 1,2 %")</f>
        <v>- 1,2 %</v>
      </c>
      <c r="D168" s="1" t="str">
        <f>IFERROR(__xludf.DUMMYFUNCTION("""COMPUTED_VALUE"""),"- 3,8 %")</f>
        <v>- 3,8 %</v>
      </c>
      <c r="E168" s="1" t="str">
        <f>IFERROR(__xludf.DUMMYFUNCTION("""COMPUTED_VALUE"""),"- 10,1 %")</f>
        <v>- 10,1 %</v>
      </c>
    </row>
    <row r="169">
      <c r="A169" s="2">
        <f>IFERROR(__xludf.DUMMYFUNCTION("""COMPUTED_VALUE"""),41091.0)</f>
        <v>41091</v>
      </c>
      <c r="B169" s="1" t="str">
        <f>IFERROR(__xludf.DUMMYFUNCTION("""COMPUTED_VALUE"""),"2.953 €/m2")</f>
        <v>2.953 €/m2</v>
      </c>
      <c r="C169" s="1" t="str">
        <f>IFERROR(__xludf.DUMMYFUNCTION("""COMPUTED_VALUE"""),"- 1,4 %")</f>
        <v>- 1,4 %</v>
      </c>
      <c r="D169" s="1" t="str">
        <f>IFERROR(__xludf.DUMMYFUNCTION("""COMPUTED_VALUE"""),"- 3,7 %")</f>
        <v>- 3,7 %</v>
      </c>
      <c r="E169" s="1" t="str">
        <f>IFERROR(__xludf.DUMMYFUNCTION("""COMPUTED_VALUE"""),"- 10,2 %")</f>
        <v>- 10,2 %</v>
      </c>
    </row>
    <row r="170">
      <c r="A170" s="2">
        <f>IFERROR(__xludf.DUMMYFUNCTION("""COMPUTED_VALUE"""),41061.0)</f>
        <v>41061</v>
      </c>
      <c r="B170" s="1" t="str">
        <f>IFERROR(__xludf.DUMMYFUNCTION("""COMPUTED_VALUE"""),"2.996 €/m2")</f>
        <v>2.996 €/m2</v>
      </c>
      <c r="C170" s="1" t="str">
        <f>IFERROR(__xludf.DUMMYFUNCTION("""COMPUTED_VALUE"""),"- 1,2 %")</f>
        <v>- 1,2 %</v>
      </c>
      <c r="D170" s="1" t="str">
        <f>IFERROR(__xludf.DUMMYFUNCTION("""COMPUTED_VALUE"""),"- 3,2 %")</f>
        <v>- 3,2 %</v>
      </c>
      <c r="E170" s="1" t="str">
        <f>IFERROR(__xludf.DUMMYFUNCTION("""COMPUTED_VALUE"""),"- 10,1 %")</f>
        <v>- 10,1 %</v>
      </c>
    </row>
    <row r="171">
      <c r="A171" s="2">
        <f>IFERROR(__xludf.DUMMYFUNCTION("""COMPUTED_VALUE"""),41030.0)</f>
        <v>41030</v>
      </c>
      <c r="B171" s="1" t="str">
        <f>IFERROR(__xludf.DUMMYFUNCTION("""COMPUTED_VALUE"""),"3.031 €/m2")</f>
        <v>3.031 €/m2</v>
      </c>
      <c r="C171" s="1" t="str">
        <f>IFERROR(__xludf.DUMMYFUNCTION("""COMPUTED_VALUE"""),"- 1,1 %")</f>
        <v>- 1,1 %</v>
      </c>
      <c r="D171" s="1" t="str">
        <f>IFERROR(__xludf.DUMMYFUNCTION("""COMPUTED_VALUE"""),"- 3,2 %")</f>
        <v>- 3,2 %</v>
      </c>
      <c r="E171" s="1" t="str">
        <f>IFERROR(__xludf.DUMMYFUNCTION("""COMPUTED_VALUE"""),"- 9,7 %")</f>
        <v>- 9,7 %</v>
      </c>
    </row>
    <row r="172">
      <c r="A172" s="2">
        <f>IFERROR(__xludf.DUMMYFUNCTION("""COMPUTED_VALUE"""),41000.0)</f>
        <v>41000</v>
      </c>
      <c r="B172" s="1" t="str">
        <f>IFERROR(__xludf.DUMMYFUNCTION("""COMPUTED_VALUE"""),"3.066 €/m2")</f>
        <v>3.066 €/m2</v>
      </c>
      <c r="C172" s="1" t="str">
        <f>IFERROR(__xludf.DUMMYFUNCTION("""COMPUTED_VALUE"""),"- 0,9 %")</f>
        <v>- 0,9 %</v>
      </c>
      <c r="D172" s="1" t="str">
        <f>IFERROR(__xludf.DUMMYFUNCTION("""COMPUTED_VALUE"""),"- 2,9 %")</f>
        <v>- 2,9 %</v>
      </c>
      <c r="E172" s="1" t="str">
        <f>IFERROR(__xludf.DUMMYFUNCTION("""COMPUTED_VALUE"""),"- 8,6 %")</f>
        <v>- 8,6 %</v>
      </c>
    </row>
    <row r="173">
      <c r="A173" s="2">
        <f>IFERROR(__xludf.DUMMYFUNCTION("""COMPUTED_VALUE"""),40969.0)</f>
        <v>40969</v>
      </c>
      <c r="B173" s="1" t="str">
        <f>IFERROR(__xludf.DUMMYFUNCTION("""COMPUTED_VALUE"""),"3.094 €/m2")</f>
        <v>3.094 €/m2</v>
      </c>
      <c r="C173" s="1" t="str">
        <f>IFERROR(__xludf.DUMMYFUNCTION("""COMPUTED_VALUE"""),"- 1,2 %")</f>
        <v>- 1,2 %</v>
      </c>
      <c r="D173" s="1" t="str">
        <f>IFERROR(__xludf.DUMMYFUNCTION("""COMPUTED_VALUE"""),"- 2,0 %")</f>
        <v>- 2,0 %</v>
      </c>
      <c r="E173" s="1" t="str">
        <f>IFERROR(__xludf.DUMMYFUNCTION("""COMPUTED_VALUE"""),"- 9,0 %")</f>
        <v>- 9,0 %</v>
      </c>
    </row>
    <row r="174">
      <c r="A174" s="2">
        <f>IFERROR(__xludf.DUMMYFUNCTION("""COMPUTED_VALUE"""),40940.0)</f>
        <v>40940</v>
      </c>
      <c r="B174" s="1" t="str">
        <f>IFERROR(__xludf.DUMMYFUNCTION("""COMPUTED_VALUE"""),"3.131 €/m2")</f>
        <v>3.131 €/m2</v>
      </c>
      <c r="C174" s="1" t="str">
        <f>IFERROR(__xludf.DUMMYFUNCTION("""COMPUTED_VALUE"""),"- 0,9 %")</f>
        <v>- 0,9 %</v>
      </c>
      <c r="D174" s="1" t="str">
        <f>IFERROR(__xludf.DUMMYFUNCTION("""COMPUTED_VALUE"""),"- 2,5 %")</f>
        <v>- 2,5 %</v>
      </c>
      <c r="E174" s="1" t="str">
        <f>IFERROR(__xludf.DUMMYFUNCTION("""COMPUTED_VALUE"""),"- 7,8 %")</f>
        <v>- 7,8 %</v>
      </c>
    </row>
    <row r="175">
      <c r="A175" s="2">
        <f>IFERROR(__xludf.DUMMYFUNCTION("""COMPUTED_VALUE"""),40909.0)</f>
        <v>40909</v>
      </c>
      <c r="B175" s="1" t="str">
        <f>IFERROR(__xludf.DUMMYFUNCTION("""COMPUTED_VALUE"""),"3.159 €/m2")</f>
        <v>3.159 €/m2</v>
      </c>
      <c r="C175" s="1" t="str">
        <f>IFERROR(__xludf.DUMMYFUNCTION("""COMPUTED_VALUE"""),"0,0 %")</f>
        <v>0,0 %</v>
      </c>
      <c r="D175" s="1" t="str">
        <f>IFERROR(__xludf.DUMMYFUNCTION("""COMPUTED_VALUE"""),"- 2,1 %")</f>
        <v>- 2,1 %</v>
      </c>
      <c r="E175" s="1" t="str">
        <f>IFERROR(__xludf.DUMMYFUNCTION("""COMPUTED_VALUE"""),"- 6,8 %")</f>
        <v>- 6,8 %</v>
      </c>
    </row>
    <row r="176">
      <c r="A176" s="2">
        <f>IFERROR(__xludf.DUMMYFUNCTION("""COMPUTED_VALUE"""),40878.0)</f>
        <v>40878</v>
      </c>
      <c r="B176" s="1" t="str">
        <f>IFERROR(__xludf.DUMMYFUNCTION("""COMPUTED_VALUE"""),"3.158 €/m2")</f>
        <v>3.158 €/m2</v>
      </c>
      <c r="C176" s="1" t="str">
        <f>IFERROR(__xludf.DUMMYFUNCTION("""COMPUTED_VALUE"""),"- 1,7 %")</f>
        <v>- 1,7 %</v>
      </c>
      <c r="D176" s="1" t="str">
        <f>IFERROR(__xludf.DUMMYFUNCTION("""COMPUTED_VALUE"""),"- 2,2 %")</f>
        <v>- 2,2 %</v>
      </c>
      <c r="E176" s="1" t="str">
        <f>IFERROR(__xludf.DUMMYFUNCTION("""COMPUTED_VALUE"""),"- 7,1 %")</f>
        <v>- 7,1 %</v>
      </c>
    </row>
    <row r="177">
      <c r="A177" s="2">
        <f>IFERROR(__xludf.DUMMYFUNCTION("""COMPUTED_VALUE"""),40848.0)</f>
        <v>40848</v>
      </c>
      <c r="B177" s="1" t="str">
        <f>IFERROR(__xludf.DUMMYFUNCTION("""COMPUTED_VALUE"""),"3.212 €/m2")</f>
        <v>3.212 €/m2</v>
      </c>
      <c r="C177" s="1" t="str">
        <f>IFERROR(__xludf.DUMMYFUNCTION("""COMPUTED_VALUE"""),"- 0,4 %")</f>
        <v>- 0,4 %</v>
      </c>
      <c r="D177" s="1" t="str">
        <f>IFERROR(__xludf.DUMMYFUNCTION("""COMPUTED_VALUE"""),"- 1,0 %")</f>
        <v>- 1,0 %</v>
      </c>
      <c r="E177" s="1" t="str">
        <f>IFERROR(__xludf.DUMMYFUNCTION("""COMPUTED_VALUE"""),"- 6,2 %")</f>
        <v>- 6,2 %</v>
      </c>
    </row>
    <row r="178">
      <c r="A178" s="2">
        <f>IFERROR(__xludf.DUMMYFUNCTION("""COMPUTED_VALUE"""),40817.0)</f>
        <v>40817</v>
      </c>
      <c r="B178" s="1" t="str">
        <f>IFERROR(__xludf.DUMMYFUNCTION("""COMPUTED_VALUE"""),"3.225 €/m2")</f>
        <v>3.225 €/m2</v>
      </c>
      <c r="C178" s="1" t="str">
        <f>IFERROR(__xludf.DUMMYFUNCTION("""COMPUTED_VALUE"""),"- 0,1 %")</f>
        <v>- 0,1 %</v>
      </c>
      <c r="D178" s="1" t="str">
        <f>IFERROR(__xludf.DUMMYFUNCTION("""COMPUTED_VALUE"""),"- 1,9 %")</f>
        <v>- 1,9 %</v>
      </c>
      <c r="E178" s="1" t="str">
        <f>IFERROR(__xludf.DUMMYFUNCTION("""COMPUTED_VALUE"""),"- 5,9 %")</f>
        <v>- 5,9 %</v>
      </c>
    </row>
    <row r="179">
      <c r="A179" s="2">
        <f>IFERROR(__xludf.DUMMYFUNCTION("""COMPUTED_VALUE"""),40787.0)</f>
        <v>40787</v>
      </c>
      <c r="B179" s="1" t="str">
        <f>IFERROR(__xludf.DUMMYFUNCTION("""COMPUTED_VALUE"""),"3.227 €/m2")</f>
        <v>3.227 €/m2</v>
      </c>
      <c r="C179" s="1" t="str">
        <f>IFERROR(__xludf.DUMMYFUNCTION("""COMPUTED_VALUE"""),"- 0,5 %")</f>
        <v>- 0,5 %</v>
      </c>
      <c r="D179" s="1" t="str">
        <f>IFERROR(__xludf.DUMMYFUNCTION("""COMPUTED_VALUE"""),"- 3,1 %")</f>
        <v>- 3,1 %</v>
      </c>
      <c r="E179" s="1" t="str">
        <f>IFERROR(__xludf.DUMMYFUNCTION("""COMPUTED_VALUE"""),"- 6,4 %")</f>
        <v>- 6,4 %</v>
      </c>
    </row>
    <row r="180">
      <c r="A180" s="2">
        <f>IFERROR(__xludf.DUMMYFUNCTION("""COMPUTED_VALUE"""),40756.0)</f>
        <v>40756</v>
      </c>
      <c r="B180" s="1" t="str">
        <f>IFERROR(__xludf.DUMMYFUNCTION("""COMPUTED_VALUE"""),"3.244 €/m2")</f>
        <v>3.244 €/m2</v>
      </c>
      <c r="C180" s="1" t="str">
        <f>IFERROR(__xludf.DUMMYFUNCTION("""COMPUTED_VALUE"""),"- 1,4 %")</f>
        <v>- 1,4 %</v>
      </c>
      <c r="D180" s="1" t="str">
        <f>IFERROR(__xludf.DUMMYFUNCTION("""COMPUTED_VALUE"""),"- 3,3 %")</f>
        <v>- 3,3 %</v>
      </c>
      <c r="E180" s="1" t="str">
        <f>IFERROR(__xludf.DUMMYFUNCTION("""COMPUTED_VALUE"""),"- 6,1 %")</f>
        <v>- 6,1 %</v>
      </c>
    </row>
    <row r="181">
      <c r="A181" s="2">
        <f>IFERROR(__xludf.DUMMYFUNCTION("""COMPUTED_VALUE"""),40725.0)</f>
        <v>40725</v>
      </c>
      <c r="B181" s="1" t="str">
        <f>IFERROR(__xludf.DUMMYFUNCTION("""COMPUTED_VALUE"""),"3.289 €/m2")</f>
        <v>3.289 €/m2</v>
      </c>
      <c r="C181" s="1" t="str">
        <f>IFERROR(__xludf.DUMMYFUNCTION("""COMPUTED_VALUE"""),"- 1,2 %")</f>
        <v>- 1,2 %</v>
      </c>
      <c r="D181" s="1" t="str">
        <f>IFERROR(__xludf.DUMMYFUNCTION("""COMPUTED_VALUE"""),"- 2,0 %")</f>
        <v>- 2,0 %</v>
      </c>
      <c r="E181" s="1" t="str">
        <f>IFERROR(__xludf.DUMMYFUNCTION("""COMPUTED_VALUE"""),"- 5,1 %")</f>
        <v>- 5,1 %</v>
      </c>
    </row>
    <row r="182">
      <c r="A182" s="2">
        <f>IFERROR(__xludf.DUMMYFUNCTION("""COMPUTED_VALUE"""),40695.0)</f>
        <v>40695</v>
      </c>
      <c r="B182" s="1" t="str">
        <f>IFERROR(__xludf.DUMMYFUNCTION("""COMPUTED_VALUE"""),"3.330 €/m2")</f>
        <v>3.330 €/m2</v>
      </c>
      <c r="C182" s="1" t="str">
        <f>IFERROR(__xludf.DUMMYFUNCTION("""COMPUTED_VALUE"""),"- 0,8 %")</f>
        <v>- 0,8 %</v>
      </c>
      <c r="D182" s="1" t="str">
        <f>IFERROR(__xludf.DUMMYFUNCTION("""COMPUTED_VALUE"""),"- 2,0 %")</f>
        <v>- 2,0 %</v>
      </c>
      <c r="E182" s="1" t="str">
        <f>IFERROR(__xludf.DUMMYFUNCTION("""COMPUTED_VALUE"""),"- 5,0 %")</f>
        <v>- 5,0 %</v>
      </c>
    </row>
    <row r="183">
      <c r="A183" s="2">
        <f>IFERROR(__xludf.DUMMYFUNCTION("""COMPUTED_VALUE"""),40664.0)</f>
        <v>40664</v>
      </c>
      <c r="B183" s="1" t="str">
        <f>IFERROR(__xludf.DUMMYFUNCTION("""COMPUTED_VALUE"""),"3.356 €/m2")</f>
        <v>3.356 €/m2</v>
      </c>
      <c r="C183" s="1" t="str">
        <f>IFERROR(__xludf.DUMMYFUNCTION("""COMPUTED_VALUE"""),"0,0 %")</f>
        <v>0,0 %</v>
      </c>
      <c r="D183" s="1" t="str">
        <f>IFERROR(__xludf.DUMMYFUNCTION("""COMPUTED_VALUE"""),"- 1,2 %")</f>
        <v>- 1,2 %</v>
      </c>
      <c r="E183" s="1" t="str">
        <f>IFERROR(__xludf.DUMMYFUNCTION("""COMPUTED_VALUE"""),"- 3,3 %")</f>
        <v>- 3,3 %</v>
      </c>
    </row>
    <row r="184">
      <c r="A184" s="2">
        <f>IFERROR(__xludf.DUMMYFUNCTION("""COMPUTED_VALUE"""),40634.0)</f>
        <v>40634</v>
      </c>
      <c r="B184" s="1" t="str">
        <f>IFERROR(__xludf.DUMMYFUNCTION("""COMPUTED_VALUE"""),"3.356 €/m2")</f>
        <v>3.356 €/m2</v>
      </c>
      <c r="C184" s="1" t="str">
        <f>IFERROR(__xludf.DUMMYFUNCTION("""COMPUTED_VALUE"""),"- 1,3 %")</f>
        <v>- 1,3 %</v>
      </c>
      <c r="D184" s="1" t="str">
        <f>IFERROR(__xludf.DUMMYFUNCTION("""COMPUTED_VALUE"""),"- 1,0 %")</f>
        <v>- 1,0 %</v>
      </c>
      <c r="E184" s="1" t="str">
        <f>IFERROR(__xludf.DUMMYFUNCTION("""COMPUTED_VALUE"""),"- 3,3 %")</f>
        <v>- 3,3 %</v>
      </c>
    </row>
    <row r="185">
      <c r="A185" s="2">
        <f>IFERROR(__xludf.DUMMYFUNCTION("""COMPUTED_VALUE"""),40603.0)</f>
        <v>40603</v>
      </c>
      <c r="B185" s="1" t="str">
        <f>IFERROR(__xludf.DUMMYFUNCTION("""COMPUTED_VALUE"""),"3.400 €/m2")</f>
        <v>3.400 €/m2</v>
      </c>
      <c r="C185" s="1" t="str">
        <f>IFERROR(__xludf.DUMMYFUNCTION("""COMPUTED_VALUE"""),"+ 0,1 %")</f>
        <v>+ 0,1 %</v>
      </c>
      <c r="D185" s="1" t="str">
        <f>IFERROR(__xludf.DUMMYFUNCTION("""COMPUTED_VALUE"""),"0,0 %")</f>
        <v>0,0 %</v>
      </c>
      <c r="E185" s="1" t="str">
        <f>IFERROR(__xludf.DUMMYFUNCTION("""COMPUTED_VALUE"""),"- 2,1 %")</f>
        <v>- 2,1 %</v>
      </c>
    </row>
    <row r="186">
      <c r="A186" s="2">
        <f>IFERROR(__xludf.DUMMYFUNCTION("""COMPUTED_VALUE"""),40575.0)</f>
        <v>40575</v>
      </c>
      <c r="B186" s="1" t="str">
        <f>IFERROR(__xludf.DUMMYFUNCTION("""COMPUTED_VALUE"""),"3.395 €/m2")</f>
        <v>3.395 €/m2</v>
      </c>
      <c r="C186" s="1" t="str">
        <f>IFERROR(__xludf.DUMMYFUNCTION("""COMPUTED_VALUE"""),"+ 0,1 %")</f>
        <v>+ 0,1 %</v>
      </c>
      <c r="D186" s="1" t="str">
        <f>IFERROR(__xludf.DUMMYFUNCTION("""COMPUTED_VALUE"""),"- 0,8 %")</f>
        <v>- 0,8 %</v>
      </c>
      <c r="E186" s="1" t="str">
        <f>IFERROR(__xludf.DUMMYFUNCTION("""COMPUTED_VALUE"""),"- 2,9 %")</f>
        <v>- 2,9 %</v>
      </c>
    </row>
    <row r="187">
      <c r="A187" s="2">
        <f>IFERROR(__xludf.DUMMYFUNCTION("""COMPUTED_VALUE"""),40544.0)</f>
        <v>40544</v>
      </c>
      <c r="B187" s="1" t="str">
        <f>IFERROR(__xludf.DUMMYFUNCTION("""COMPUTED_VALUE"""),"3.391 €/m2")</f>
        <v>3.391 €/m2</v>
      </c>
      <c r="C187" s="1" t="str">
        <f>IFERROR(__xludf.DUMMYFUNCTION("""COMPUTED_VALUE"""),"- 0,2 %")</f>
        <v>- 0,2 %</v>
      </c>
      <c r="D187" s="1" t="str">
        <f>IFERROR(__xludf.DUMMYFUNCTION("""COMPUTED_VALUE"""),"- 1,1 %")</f>
        <v>- 1,1 %</v>
      </c>
      <c r="E187" s="1" t="str">
        <f>IFERROR(__xludf.DUMMYFUNCTION("""COMPUTED_VALUE"""),"- 3,0 %")</f>
        <v>- 3,0 %</v>
      </c>
    </row>
    <row r="188">
      <c r="A188" s="2">
        <f>IFERROR(__xludf.DUMMYFUNCTION("""COMPUTED_VALUE"""),40513.0)</f>
        <v>40513</v>
      </c>
      <c r="B188" s="1" t="str">
        <f>IFERROR(__xludf.DUMMYFUNCTION("""COMPUTED_VALUE"""),"3.398 €/m2")</f>
        <v>3.398 €/m2</v>
      </c>
      <c r="C188" s="1" t="str">
        <f>IFERROR(__xludf.DUMMYFUNCTION("""COMPUTED_VALUE"""),"- 0,8 %")</f>
        <v>- 0,8 %</v>
      </c>
      <c r="D188" s="1" t="str">
        <f>IFERROR(__xludf.DUMMYFUNCTION("""COMPUTED_VALUE"""),"- 1,4 %")</f>
        <v>- 1,4 %</v>
      </c>
      <c r="E188" s="1" t="str">
        <f>IFERROR(__xludf.DUMMYFUNCTION("""COMPUTED_VALUE"""),"- 2,6 %")</f>
        <v>- 2,6 %</v>
      </c>
    </row>
    <row r="189">
      <c r="A189" s="2">
        <f>IFERROR(__xludf.DUMMYFUNCTION("""COMPUTED_VALUE"""),40483.0)</f>
        <v>40483</v>
      </c>
      <c r="B189" s="1" t="str">
        <f>IFERROR(__xludf.DUMMYFUNCTION("""COMPUTED_VALUE"""),"3.424 €/m2")</f>
        <v>3.424 €/m2</v>
      </c>
      <c r="C189" s="1" t="str">
        <f>IFERROR(__xludf.DUMMYFUNCTION("""COMPUTED_VALUE"""),"- 0,1 %")</f>
        <v>- 0,1 %</v>
      </c>
      <c r="D189" s="1" t="str">
        <f>IFERROR(__xludf.DUMMYFUNCTION("""COMPUTED_VALUE"""),"- 0,9 %")</f>
        <v>- 0,9 %</v>
      </c>
      <c r="E189" s="1" t="str">
        <f>IFERROR(__xludf.DUMMYFUNCTION("""COMPUTED_VALUE"""),"- 2,1 %")</f>
        <v>- 2,1 %</v>
      </c>
    </row>
    <row r="190">
      <c r="A190" s="2">
        <f>IFERROR(__xludf.DUMMYFUNCTION("""COMPUTED_VALUE"""),40452.0)</f>
        <v>40452</v>
      </c>
      <c r="B190" s="1" t="str">
        <f>IFERROR(__xludf.DUMMYFUNCTION("""COMPUTED_VALUE"""),"3.427 €/m2")</f>
        <v>3.427 €/m2</v>
      </c>
      <c r="C190" s="1" t="str">
        <f>IFERROR(__xludf.DUMMYFUNCTION("""COMPUTED_VALUE"""),"- 0,6 %")</f>
        <v>- 0,6 %</v>
      </c>
      <c r="D190" s="1" t="str">
        <f>IFERROR(__xludf.DUMMYFUNCTION("""COMPUTED_VALUE"""),"- 1,1 %")</f>
        <v>- 1,1 %</v>
      </c>
      <c r="E190" s="1" t="str">
        <f>IFERROR(__xludf.DUMMYFUNCTION("""COMPUTED_VALUE"""),"- 2,1 %")</f>
        <v>- 2,1 %</v>
      </c>
    </row>
    <row r="191">
      <c r="A191" s="2">
        <f>IFERROR(__xludf.DUMMYFUNCTION("""COMPUTED_VALUE"""),40422.0)</f>
        <v>40422</v>
      </c>
      <c r="B191" s="1" t="str">
        <f>IFERROR(__xludf.DUMMYFUNCTION("""COMPUTED_VALUE"""),"3.446 €/m2")</f>
        <v>3.446 €/m2</v>
      </c>
      <c r="C191" s="1" t="str">
        <f>IFERROR(__xludf.DUMMYFUNCTION("""COMPUTED_VALUE"""),"- 0,3 %")</f>
        <v>- 0,3 %</v>
      </c>
      <c r="D191" s="1" t="str">
        <f>IFERROR(__xludf.DUMMYFUNCTION("""COMPUTED_VALUE"""),"- 1,7 %")</f>
        <v>- 1,7 %</v>
      </c>
      <c r="E191" s="1" t="str">
        <f>IFERROR(__xludf.DUMMYFUNCTION("""COMPUTED_VALUE"""),"- 2,5 %")</f>
        <v>- 2,5 %</v>
      </c>
    </row>
    <row r="192">
      <c r="A192" s="2">
        <f>IFERROR(__xludf.DUMMYFUNCTION("""COMPUTED_VALUE"""),40391.0)</f>
        <v>40391</v>
      </c>
      <c r="B192" s="1" t="str">
        <f>IFERROR(__xludf.DUMMYFUNCTION("""COMPUTED_VALUE"""),"3.456 €/m2")</f>
        <v>3.456 €/m2</v>
      </c>
      <c r="C192" s="1" t="str">
        <f>IFERROR(__xludf.DUMMYFUNCTION("""COMPUTED_VALUE"""),"- 0,3 %")</f>
        <v>- 0,3 %</v>
      </c>
      <c r="D192" s="1" t="str">
        <f>IFERROR(__xludf.DUMMYFUNCTION("""COMPUTED_VALUE"""),"- 0,5 %")</f>
        <v>- 0,5 %</v>
      </c>
      <c r="E192" s="1" t="str">
        <f>IFERROR(__xludf.DUMMYFUNCTION("""COMPUTED_VALUE"""),"- 2,1 %")</f>
        <v>- 2,1 %</v>
      </c>
    </row>
    <row r="193">
      <c r="A193" s="2">
        <f>IFERROR(__xludf.DUMMYFUNCTION("""COMPUTED_VALUE"""),40360.0)</f>
        <v>40360</v>
      </c>
      <c r="B193" s="1" t="str">
        <f>IFERROR(__xludf.DUMMYFUNCTION("""COMPUTED_VALUE"""),"3.467 €/m2")</f>
        <v>3.467 €/m2</v>
      </c>
      <c r="C193" s="1" t="str">
        <f>IFERROR(__xludf.DUMMYFUNCTION("""COMPUTED_VALUE"""),"- 1,1 %")</f>
        <v>- 1,1 %</v>
      </c>
      <c r="D193" s="1" t="str">
        <f>IFERROR(__xludf.DUMMYFUNCTION("""COMPUTED_VALUE"""),"- 0,1 %")</f>
        <v>- 0,1 %</v>
      </c>
      <c r="E193" s="1" t="str">
        <f>IFERROR(__xludf.DUMMYFUNCTION("""COMPUTED_VALUE"""),"- 3,3 %")</f>
        <v>- 3,3 %</v>
      </c>
    </row>
    <row r="194">
      <c r="A194" s="2">
        <f>IFERROR(__xludf.DUMMYFUNCTION("""COMPUTED_VALUE"""),40330.0)</f>
        <v>40330</v>
      </c>
      <c r="B194" s="1" t="str">
        <f>IFERROR(__xludf.DUMMYFUNCTION("""COMPUTED_VALUE"""),"3.506 €/m2")</f>
        <v>3.506 €/m2</v>
      </c>
      <c r="C194" s="1" t="str">
        <f>IFERROR(__xludf.DUMMYFUNCTION("""COMPUTED_VALUE"""),"+ 1,0 %")</f>
        <v>+ 1,0 %</v>
      </c>
      <c r="D194" s="1" t="str">
        <f>IFERROR(__xludf.DUMMYFUNCTION("""COMPUTED_VALUE"""),"+ 0,9 %")</f>
        <v>+ 0,9 %</v>
      </c>
      <c r="E194" s="1" t="str">
        <f>IFERROR(__xludf.DUMMYFUNCTION("""COMPUTED_VALUE"""),"- 1,8 %")</f>
        <v>- 1,8 %</v>
      </c>
    </row>
    <row r="195">
      <c r="A195" s="2">
        <f>IFERROR(__xludf.DUMMYFUNCTION("""COMPUTED_VALUE"""),40299.0)</f>
        <v>40299</v>
      </c>
      <c r="B195" s="1" t="str">
        <f>IFERROR(__xludf.DUMMYFUNCTION("""COMPUTED_VALUE"""),"3.472 €/m2")</f>
        <v>3.472 €/m2</v>
      </c>
      <c r="C195" s="1" t="str">
        <f>IFERROR(__xludf.DUMMYFUNCTION("""COMPUTED_VALUE"""),"0,0 %")</f>
        <v>0,0 %</v>
      </c>
      <c r="D195" s="1" t="str">
        <f>IFERROR(__xludf.DUMMYFUNCTION("""COMPUTED_VALUE"""),"- 0,7 %")</f>
        <v>- 0,7 %</v>
      </c>
      <c r="E195" s="1" t="str">
        <f>IFERROR(__xludf.DUMMYFUNCTION("""COMPUTED_VALUE"""),"- 0,5 %")</f>
        <v>- 0,5 %</v>
      </c>
    </row>
    <row r="196">
      <c r="A196" s="2">
        <f>IFERROR(__xludf.DUMMYFUNCTION("""COMPUTED_VALUE"""),40269.0)</f>
        <v>40269</v>
      </c>
      <c r="B196" s="1" t="str">
        <f>IFERROR(__xludf.DUMMYFUNCTION("""COMPUTED_VALUE"""),"3.470 €/m2")</f>
        <v>3.470 €/m2</v>
      </c>
      <c r="C196" s="1" t="str">
        <f>IFERROR(__xludf.DUMMYFUNCTION("""COMPUTED_VALUE"""),"- 0,1 %")</f>
        <v>- 0,1 %</v>
      </c>
      <c r="D196" s="1" t="str">
        <f>IFERROR(__xludf.DUMMYFUNCTION("""COMPUTED_VALUE"""),"- 0,8 %")</f>
        <v>- 0,8 %</v>
      </c>
      <c r="E196" s="1" t="str">
        <f>IFERROR(__xludf.DUMMYFUNCTION("""COMPUTED_VALUE"""),"- 1,0 %")</f>
        <v>- 1,0 %</v>
      </c>
    </row>
    <row r="197">
      <c r="A197" s="2">
        <f>IFERROR(__xludf.DUMMYFUNCTION("""COMPUTED_VALUE"""),40238.0)</f>
        <v>40238</v>
      </c>
      <c r="B197" s="1" t="str">
        <f>IFERROR(__xludf.DUMMYFUNCTION("""COMPUTED_VALUE"""),"3.473 €/m2")</f>
        <v>3.473 €/m2</v>
      </c>
      <c r="C197" s="1" t="str">
        <f>IFERROR(__xludf.DUMMYFUNCTION("""COMPUTED_VALUE"""),"- 0,7 %")</f>
        <v>- 0,7 %</v>
      </c>
      <c r="D197" s="1" t="str">
        <f>IFERROR(__xludf.DUMMYFUNCTION("""COMPUTED_VALUE"""),"- 0,4 %")</f>
        <v>- 0,4 %</v>
      </c>
      <c r="E197" s="1" t="str">
        <f>IFERROR(__xludf.DUMMYFUNCTION("""COMPUTED_VALUE"""),"- 1,9 %")</f>
        <v>- 1,9 %</v>
      </c>
    </row>
    <row r="198">
      <c r="A198" s="2">
        <f>IFERROR(__xludf.DUMMYFUNCTION("""COMPUTED_VALUE"""),40210.0)</f>
        <v>40210</v>
      </c>
      <c r="B198" s="1" t="str">
        <f>IFERROR(__xludf.DUMMYFUNCTION("""COMPUTED_VALUE"""),"3.497 €/m2")</f>
        <v>3.497 €/m2</v>
      </c>
      <c r="C198" s="1" t="str">
        <f>IFERROR(__xludf.DUMMYFUNCTION("""COMPUTED_VALUE"""),"0,0 %")</f>
        <v>0,0 %</v>
      </c>
      <c r="D198" s="1" t="str">
        <f>IFERROR(__xludf.DUMMYFUNCTION("""COMPUTED_VALUE"""),"0,0 %")</f>
        <v>0,0 %</v>
      </c>
      <c r="E198" s="1" t="str">
        <f>IFERROR(__xludf.DUMMYFUNCTION("""COMPUTED_VALUE"""),"- 1,4 %")</f>
        <v>- 1,4 %</v>
      </c>
    </row>
    <row r="199">
      <c r="A199" s="2">
        <f>IFERROR(__xludf.DUMMYFUNCTION("""COMPUTED_VALUE"""),40179.0)</f>
        <v>40179</v>
      </c>
      <c r="B199" s="1" t="str">
        <f>IFERROR(__xludf.DUMMYFUNCTION("""COMPUTED_VALUE"""),"3.497 €/m2")</f>
        <v>3.497 €/m2</v>
      </c>
      <c r="C199" s="1" t="str">
        <f>IFERROR(__xludf.DUMMYFUNCTION("""COMPUTED_VALUE"""),"+ 0,3 %")</f>
        <v>+ 0,3 %</v>
      </c>
      <c r="D199" s="1" t="str">
        <f>IFERROR(__xludf.DUMMYFUNCTION("""COMPUTED_VALUE"""),"- 0,1 %")</f>
        <v>- 0,1 %</v>
      </c>
      <c r="E199" s="1" t="str">
        <f>IFERROR(__xludf.DUMMYFUNCTION("""COMPUTED_VALUE"""),"+ 0,8 %")</f>
        <v>+ 0,8 %</v>
      </c>
    </row>
    <row r="200">
      <c r="A200" s="2">
        <f>IFERROR(__xludf.DUMMYFUNCTION("""COMPUTED_VALUE"""),40148.0)</f>
        <v>40148</v>
      </c>
      <c r="B200" s="1" t="str">
        <f>IFERROR(__xludf.DUMMYFUNCTION("""COMPUTED_VALUE"""),"3.488 €/m2")</f>
        <v>3.488 €/m2</v>
      </c>
      <c r="C200" s="1" t="str">
        <f>IFERROR(__xludf.DUMMYFUNCTION("""COMPUTED_VALUE"""),"- 0,3 %")</f>
        <v>- 0,3 %</v>
      </c>
      <c r="D200" s="1" t="str">
        <f>IFERROR(__xludf.DUMMYFUNCTION("""COMPUTED_VALUE"""),"- 1,4 %")</f>
        <v>- 1,4 %</v>
      </c>
      <c r="E200" s="1" t="str">
        <f>IFERROR(__xludf.DUMMYFUNCTION("""COMPUTED_VALUE"""),"- 1,6 %")</f>
        <v>- 1,6 %</v>
      </c>
    </row>
    <row r="201">
      <c r="A201" s="2">
        <f>IFERROR(__xludf.DUMMYFUNCTION("""COMPUTED_VALUE"""),40118.0)</f>
        <v>40118</v>
      </c>
      <c r="B201" s="1" t="str">
        <f>IFERROR(__xludf.DUMMYFUNCTION("""COMPUTED_VALUE"""),"3.497 €/m2")</f>
        <v>3.497 €/m2</v>
      </c>
      <c r="C201" s="1" t="str">
        <f>IFERROR(__xludf.DUMMYFUNCTION("""COMPUTED_VALUE"""),"- 0,2 %")</f>
        <v>- 0,2 %</v>
      </c>
      <c r="D201" s="1" t="str">
        <f>IFERROR(__xludf.DUMMYFUNCTION("""COMPUTED_VALUE"""),"- 0,9 %")</f>
        <v>- 0,9 %</v>
      </c>
      <c r="E201" s="1" t="str">
        <f>IFERROR(__xludf.DUMMYFUNCTION("""COMPUTED_VALUE"""),"- 2,9 %")</f>
        <v>- 2,9 %</v>
      </c>
    </row>
    <row r="202">
      <c r="A202" s="2">
        <f>IFERROR(__xludf.DUMMYFUNCTION("""COMPUTED_VALUE"""),40087.0)</f>
        <v>40087</v>
      </c>
      <c r="B202" s="1" t="str">
        <f>IFERROR(__xludf.DUMMYFUNCTION("""COMPUTED_VALUE"""),"3.502 €/m2")</f>
        <v>3.502 €/m2</v>
      </c>
      <c r="C202" s="1" t="str">
        <f>IFERROR(__xludf.DUMMYFUNCTION("""COMPUTED_VALUE"""),"- 0,9 %")</f>
        <v>- 0,9 %</v>
      </c>
      <c r="D202" s="1" t="str">
        <f>IFERROR(__xludf.DUMMYFUNCTION("""COMPUTED_VALUE"""),"- 2,3 %")</f>
        <v>- 2,3 %</v>
      </c>
      <c r="E202" s="1" t="str">
        <f>IFERROR(__xludf.DUMMYFUNCTION("""COMPUTED_VALUE"""),"- 2,9 %")</f>
        <v>- 2,9 %</v>
      </c>
    </row>
    <row r="203">
      <c r="A203" s="2">
        <f>IFERROR(__xludf.DUMMYFUNCTION("""COMPUTED_VALUE"""),40057.0)</f>
        <v>40057</v>
      </c>
      <c r="B203" s="1" t="str">
        <f>IFERROR(__xludf.DUMMYFUNCTION("""COMPUTED_VALUE"""),"3.536 €/m2")</f>
        <v>3.536 €/m2</v>
      </c>
      <c r="C203" s="1" t="str">
        <f>IFERROR(__xludf.DUMMYFUNCTION("""COMPUTED_VALUE"""),"+ 0,2 %")</f>
        <v>+ 0,2 %</v>
      </c>
      <c r="D203" s="1" t="str">
        <f>IFERROR(__xludf.DUMMYFUNCTION("""COMPUTED_VALUE"""),"- 1,0 %")</f>
        <v>- 1,0 %</v>
      </c>
      <c r="E203" s="1" t="str">
        <f>IFERROR(__xludf.DUMMYFUNCTION("""COMPUTED_VALUE"""),"- 1,2 %")</f>
        <v>- 1,2 %</v>
      </c>
    </row>
    <row r="204">
      <c r="A204" s="2">
        <f>IFERROR(__xludf.DUMMYFUNCTION("""COMPUTED_VALUE"""),40026.0)</f>
        <v>40026</v>
      </c>
      <c r="B204" s="1" t="str">
        <f>IFERROR(__xludf.DUMMYFUNCTION("""COMPUTED_VALUE"""),"3.529 €/m2")</f>
        <v>3.529 €/m2</v>
      </c>
      <c r="C204" s="1" t="str">
        <f>IFERROR(__xludf.DUMMYFUNCTION("""COMPUTED_VALUE"""),"- 1,6 %")</f>
        <v>- 1,6 %</v>
      </c>
      <c r="D204" s="1" t="str">
        <f>IFERROR(__xludf.DUMMYFUNCTION("""COMPUTED_VALUE"""),"+ 1,2 %")</f>
        <v>+ 1,2 %</v>
      </c>
      <c r="E204" s="1" t="str">
        <f>IFERROR(__xludf.DUMMYFUNCTION("""COMPUTED_VALUE"""),"- 2,5 %")</f>
        <v>- 2,5 %</v>
      </c>
    </row>
    <row r="205">
      <c r="A205" s="2">
        <f>IFERROR(__xludf.DUMMYFUNCTION("""COMPUTED_VALUE"""),39995.0)</f>
        <v>39995</v>
      </c>
      <c r="B205" s="1" t="str">
        <f>IFERROR(__xludf.DUMMYFUNCTION("""COMPUTED_VALUE"""),"3.586 €/m2")</f>
        <v>3.586 €/m2</v>
      </c>
      <c r="C205" s="1" t="str">
        <f>IFERROR(__xludf.DUMMYFUNCTION("""COMPUTED_VALUE"""),"+ 0,4 %")</f>
        <v>+ 0,4 %</v>
      </c>
      <c r="D205" s="1" t="str">
        <f>IFERROR(__xludf.DUMMYFUNCTION("""COMPUTED_VALUE"""),"+ 2,3 %")</f>
        <v>+ 2,3 %</v>
      </c>
      <c r="E205" s="1" t="str">
        <f>IFERROR(__xludf.DUMMYFUNCTION("""COMPUTED_VALUE"""),"- 2,5 %")</f>
        <v>- 2,5 %</v>
      </c>
    </row>
    <row r="206">
      <c r="A206" s="2">
        <f>IFERROR(__xludf.DUMMYFUNCTION("""COMPUTED_VALUE"""),39965.0)</f>
        <v>39965</v>
      </c>
      <c r="B206" s="1" t="str">
        <f>IFERROR(__xludf.DUMMYFUNCTION("""COMPUTED_VALUE"""),"3.571 €/m2")</f>
        <v>3.571 €/m2</v>
      </c>
      <c r="C206" s="1" t="str">
        <f>IFERROR(__xludf.DUMMYFUNCTION("""COMPUTED_VALUE"""),"+ 2,4 %")</f>
        <v>+ 2,4 %</v>
      </c>
      <c r="D206" s="1" t="str">
        <f>IFERROR(__xludf.DUMMYFUNCTION("""COMPUTED_VALUE"""),"+ 0,9 %")</f>
        <v>+ 0,9 %</v>
      </c>
      <c r="E206" s="1" t="str">
        <f>IFERROR(__xludf.DUMMYFUNCTION("""COMPUTED_VALUE"""),"- 3,7 %")</f>
        <v>- 3,7 %</v>
      </c>
    </row>
    <row r="207">
      <c r="A207" s="2">
        <f>IFERROR(__xludf.DUMMYFUNCTION("""COMPUTED_VALUE"""),39934.0)</f>
        <v>39934</v>
      </c>
      <c r="B207" s="1" t="str">
        <f>IFERROR(__xludf.DUMMYFUNCTION("""COMPUTED_VALUE"""),"3.489 €/m2")</f>
        <v>3.489 €/m2</v>
      </c>
      <c r="C207" s="1" t="str">
        <f>IFERROR(__xludf.DUMMYFUNCTION("""COMPUTED_VALUE"""),"- 0,5 %")</f>
        <v>- 0,5 %</v>
      </c>
      <c r="D207" s="1" t="str">
        <f>IFERROR(__xludf.DUMMYFUNCTION("""COMPUTED_VALUE"""),"- 1,6 %")</f>
        <v>- 1,6 %</v>
      </c>
      <c r="E207" s="1" t="str">
        <f>IFERROR(__xludf.DUMMYFUNCTION("""COMPUTED_VALUE"""),"- 5,8 %")</f>
        <v>- 5,8 %</v>
      </c>
    </row>
    <row r="208">
      <c r="A208" s="2">
        <f>IFERROR(__xludf.DUMMYFUNCTION("""COMPUTED_VALUE"""),39904.0)</f>
        <v>39904</v>
      </c>
      <c r="B208" s="1" t="str">
        <f>IFERROR(__xludf.DUMMYFUNCTION("""COMPUTED_VALUE"""),"3.507 €/m2")</f>
        <v>3.507 €/m2</v>
      </c>
      <c r="C208" s="1" t="str">
        <f>IFERROR(__xludf.DUMMYFUNCTION("""COMPUTED_VALUE"""),"- 0,9 %")</f>
        <v>- 0,9 %</v>
      </c>
      <c r="D208" s="1" t="str">
        <f>IFERROR(__xludf.DUMMYFUNCTION("""COMPUTED_VALUE"""),"+ 1,1 %")</f>
        <v>+ 1,1 %</v>
      </c>
      <c r="E208" s="1" t="str">
        <f>IFERROR(__xludf.DUMMYFUNCTION("""COMPUTED_VALUE"""),"- 6,7 %")</f>
        <v>- 6,7 %</v>
      </c>
    </row>
    <row r="209">
      <c r="A209" s="2">
        <f>IFERROR(__xludf.DUMMYFUNCTION("""COMPUTED_VALUE"""),39873.0)</f>
        <v>39873</v>
      </c>
      <c r="B209" s="1" t="str">
        <f>IFERROR(__xludf.DUMMYFUNCTION("""COMPUTED_VALUE"""),"3.539 €/m2")</f>
        <v>3.539 €/m2</v>
      </c>
      <c r="C209" s="1" t="str">
        <f>IFERROR(__xludf.DUMMYFUNCTION("""COMPUTED_VALUE"""),"- 0,2 %")</f>
        <v>- 0,2 %</v>
      </c>
      <c r="D209" s="1" t="str">
        <f>IFERROR(__xludf.DUMMYFUNCTION("""COMPUTED_VALUE"""),"- 0,2 %")</f>
        <v>- 0,2 %</v>
      </c>
      <c r="E209" s="1" t="str">
        <f>IFERROR(__xludf.DUMMYFUNCTION("""COMPUTED_VALUE"""),"- 7,7 %")</f>
        <v>- 7,7 %</v>
      </c>
    </row>
    <row r="210">
      <c r="A210" s="2">
        <f>IFERROR(__xludf.DUMMYFUNCTION("""COMPUTED_VALUE"""),39845.0)</f>
        <v>39845</v>
      </c>
      <c r="B210" s="1" t="str">
        <f>IFERROR(__xludf.DUMMYFUNCTION("""COMPUTED_VALUE"""),"3.547 €/m2")</f>
        <v>3.547 €/m2</v>
      </c>
      <c r="C210" s="1" t="str">
        <f>IFERROR(__xludf.DUMMYFUNCTION("""COMPUTED_VALUE"""),"+ 2,3 %")</f>
        <v>+ 2,3 %</v>
      </c>
      <c r="D210" s="1" t="str">
        <f>IFERROR(__xludf.DUMMYFUNCTION("""COMPUTED_VALUE"""),"- 1,5 %")</f>
        <v>- 1,5 %</v>
      </c>
      <c r="E210" s="1" t="str">
        <f>IFERROR(__xludf.DUMMYFUNCTION("""COMPUTED_VALUE"""),"- 7,5 %")</f>
        <v>- 7,5 %</v>
      </c>
    </row>
    <row r="211">
      <c r="A211" s="2">
        <f>IFERROR(__xludf.DUMMYFUNCTION("""COMPUTED_VALUE"""),39814.0)</f>
        <v>39814</v>
      </c>
      <c r="B211" s="1" t="str">
        <f>IFERROR(__xludf.DUMMYFUNCTION("""COMPUTED_VALUE"""),"3.468 €/m2")</f>
        <v>3.468 €/m2</v>
      </c>
      <c r="C211" s="1" t="str">
        <f>IFERROR(__xludf.DUMMYFUNCTION("""COMPUTED_VALUE"""),"- 2,2 %")</f>
        <v>- 2,2 %</v>
      </c>
      <c r="D211" s="1" t="str">
        <f>IFERROR(__xludf.DUMMYFUNCTION("""COMPUTED_VALUE"""),"- 3,9 %")</f>
        <v>- 3,9 %</v>
      </c>
      <c r="E211" s="1" t="str">
        <f>IFERROR(__xludf.DUMMYFUNCTION("""COMPUTED_VALUE"""),"- 8,6 %")</f>
        <v>- 8,6 %</v>
      </c>
    </row>
    <row r="212">
      <c r="A212" s="2">
        <f>IFERROR(__xludf.DUMMYFUNCTION("""COMPUTED_VALUE"""),39783.0)</f>
        <v>39783</v>
      </c>
      <c r="B212" s="1" t="str">
        <f>IFERROR(__xludf.DUMMYFUNCTION("""COMPUTED_VALUE"""),"3.545 €/m2")</f>
        <v>3.545 €/m2</v>
      </c>
      <c r="C212" s="1" t="str">
        <f>IFERROR(__xludf.DUMMYFUNCTION("""COMPUTED_VALUE"""),"- 1,6 %")</f>
        <v>- 1,6 %</v>
      </c>
      <c r="D212" s="1" t="str">
        <f>IFERROR(__xludf.DUMMYFUNCTION("""COMPUTED_VALUE"""),"- 0,9 %")</f>
        <v>- 0,9 %</v>
      </c>
      <c r="E212" s="1" t="str">
        <f>IFERROR(__xludf.DUMMYFUNCTION("""COMPUTED_VALUE"""),"- 8,1 %")</f>
        <v>- 8,1 %</v>
      </c>
    </row>
    <row r="213">
      <c r="A213" s="2">
        <f>IFERROR(__xludf.DUMMYFUNCTION("""COMPUTED_VALUE"""),39753.0)</f>
        <v>39753</v>
      </c>
      <c r="B213" s="1" t="str">
        <f>IFERROR(__xludf.DUMMYFUNCTION("""COMPUTED_VALUE"""),"3.602 €/m2")</f>
        <v>3.602 €/m2</v>
      </c>
      <c r="C213" s="1" t="str">
        <f>IFERROR(__xludf.DUMMYFUNCTION("""COMPUTED_VALUE"""),"- 0,2 %")</f>
        <v>- 0,2 %</v>
      </c>
      <c r="D213" s="1" t="str">
        <f>IFERROR(__xludf.DUMMYFUNCTION("""COMPUTED_VALUE"""),"- 0,5 %")</f>
        <v>- 0,5 %</v>
      </c>
      <c r="E213" s="1" t="str">
        <f>IFERROR(__xludf.DUMMYFUNCTION("""COMPUTED_VALUE"""),"- 4,5 %")</f>
        <v>- 4,5 %</v>
      </c>
    </row>
    <row r="214">
      <c r="A214" s="2">
        <f>IFERROR(__xludf.DUMMYFUNCTION("""COMPUTED_VALUE"""),39722.0)</f>
        <v>39722</v>
      </c>
      <c r="B214" s="1" t="str">
        <f>IFERROR(__xludf.DUMMYFUNCTION("""COMPUTED_VALUE"""),"3.608 €/m2")</f>
        <v>3.608 €/m2</v>
      </c>
      <c r="C214" s="1" t="str">
        <f>IFERROR(__xludf.DUMMYFUNCTION("""COMPUTED_VALUE"""),"+ 0,9 %")</f>
        <v>+ 0,9 %</v>
      </c>
      <c r="D214" s="1" t="str">
        <f>IFERROR(__xludf.DUMMYFUNCTION("""COMPUTED_VALUE"""),"- 1,9 %")</f>
        <v>- 1,9 %</v>
      </c>
      <c r="E214" s="1" t="str">
        <f>IFERROR(__xludf.DUMMYFUNCTION("""COMPUTED_VALUE"""),"- 0,8 %")</f>
        <v>- 0,8 %</v>
      </c>
    </row>
    <row r="215">
      <c r="A215" s="2">
        <f>IFERROR(__xludf.DUMMYFUNCTION("""COMPUTED_VALUE"""),39692.0)</f>
        <v>39692</v>
      </c>
      <c r="B215" s="1" t="str">
        <f>IFERROR(__xludf.DUMMYFUNCTION("""COMPUTED_VALUE"""),"3.577 €/m2")</f>
        <v>3.577 €/m2</v>
      </c>
      <c r="C215" s="1" t="str">
        <f>IFERROR(__xludf.DUMMYFUNCTION("""COMPUTED_VALUE"""),"- 1,2 %")</f>
        <v>- 1,2 %</v>
      </c>
      <c r="D215" s="1" t="str">
        <f>IFERROR(__xludf.DUMMYFUNCTION("""COMPUTED_VALUE"""),"- 3,5 %")</f>
        <v>- 3,5 %</v>
      </c>
      <c r="E215" s="1" t="str">
        <f>IFERROR(__xludf.DUMMYFUNCTION("""COMPUTED_VALUE"""),"+ 0,5 %")</f>
        <v>+ 0,5 %</v>
      </c>
    </row>
    <row r="216">
      <c r="A216" s="2">
        <f>IFERROR(__xludf.DUMMYFUNCTION("""COMPUTED_VALUE"""),39661.0)</f>
        <v>39661</v>
      </c>
      <c r="B216" s="1" t="str">
        <f>IFERROR(__xludf.DUMMYFUNCTION("""COMPUTED_VALUE"""),"3.621 €/m2")</f>
        <v>3.621 €/m2</v>
      </c>
      <c r="C216" s="1" t="str">
        <f>IFERROR(__xludf.DUMMYFUNCTION("""COMPUTED_VALUE"""),"- 1,6 %")</f>
        <v>- 1,6 %</v>
      </c>
      <c r="D216" s="1" t="str">
        <f>IFERROR(__xludf.DUMMYFUNCTION("""COMPUTED_VALUE"""),"- 2,2 %")</f>
        <v>- 2,2 %</v>
      </c>
      <c r="E216" s="1" t="str">
        <f>IFERROR(__xludf.DUMMYFUNCTION("""COMPUTED_VALUE"""),"- 2,1 %")</f>
        <v>- 2,1 %</v>
      </c>
    </row>
    <row r="217">
      <c r="A217" s="2">
        <f>IFERROR(__xludf.DUMMYFUNCTION("""COMPUTED_VALUE"""),39630.0)</f>
        <v>39630</v>
      </c>
      <c r="B217" s="1" t="str">
        <f>IFERROR(__xludf.DUMMYFUNCTION("""COMPUTED_VALUE"""),"3.680 €/m2")</f>
        <v>3.680 €/m2</v>
      </c>
      <c r="C217" s="1" t="str">
        <f>IFERROR(__xludf.DUMMYFUNCTION("""COMPUTED_VALUE"""),"- 0,8 %")</f>
        <v>- 0,8 %</v>
      </c>
      <c r="D217" s="1" t="str">
        <f>IFERROR(__xludf.DUMMYFUNCTION("""COMPUTED_VALUE"""),"- 2,1 %")</f>
        <v>- 2,1 %</v>
      </c>
      <c r="E217" s="1" t="str">
        <f>IFERROR(__xludf.DUMMYFUNCTION("""COMPUTED_VALUE"""),"- 2,8 %")</f>
        <v>- 2,8 %</v>
      </c>
    </row>
    <row r="218">
      <c r="A218" s="2">
        <f>IFERROR(__xludf.DUMMYFUNCTION("""COMPUTED_VALUE"""),39600.0)</f>
        <v>39600</v>
      </c>
      <c r="B218" s="1" t="str">
        <f>IFERROR(__xludf.DUMMYFUNCTION("""COMPUTED_VALUE"""),"3.708 €/m2")</f>
        <v>3.708 €/m2</v>
      </c>
      <c r="C218" s="1" t="str">
        <f>IFERROR(__xludf.DUMMYFUNCTION("""COMPUTED_VALUE"""),"+ 0,1 %")</f>
        <v>+ 0,1 %</v>
      </c>
      <c r="D218" s="1" t="str">
        <f>IFERROR(__xludf.DUMMYFUNCTION("""COMPUTED_VALUE"""),"- 3,3 %")</f>
        <v>- 3,3 %</v>
      </c>
      <c r="E218" s="1" t="str">
        <f>IFERROR(__xludf.DUMMYFUNCTION("""COMPUTED_VALUE"""),"- 3,9 %")</f>
        <v>- 3,9 %</v>
      </c>
    </row>
    <row r="219">
      <c r="A219" s="2">
        <f>IFERROR(__xludf.DUMMYFUNCTION("""COMPUTED_VALUE"""),39569.0)</f>
        <v>39569</v>
      </c>
      <c r="B219" s="1" t="str">
        <f>IFERROR(__xludf.DUMMYFUNCTION("""COMPUTED_VALUE"""),"3.702 €/m2")</f>
        <v>3.702 €/m2</v>
      </c>
      <c r="C219" s="1" t="str">
        <f>IFERROR(__xludf.DUMMYFUNCTION("""COMPUTED_VALUE"""),"- 1,5 %")</f>
        <v>- 1,5 %</v>
      </c>
      <c r="D219" s="1" t="str">
        <f>IFERROR(__xludf.DUMMYFUNCTION("""COMPUTED_VALUE"""),"- 3,4 %")</f>
        <v>- 3,4 %</v>
      </c>
      <c r="E219" s="1" t="str">
        <f>IFERROR(__xludf.DUMMYFUNCTION("""COMPUTED_VALUE"""),"- 2,5 %")</f>
        <v>- 2,5 %</v>
      </c>
    </row>
    <row r="220">
      <c r="A220" s="2">
        <f>IFERROR(__xludf.DUMMYFUNCTION("""COMPUTED_VALUE"""),39539.0)</f>
        <v>39539</v>
      </c>
      <c r="B220" s="1" t="str">
        <f>IFERROR(__xludf.DUMMYFUNCTION("""COMPUTED_VALUE"""),"3.760 €/m2")</f>
        <v>3.760 €/m2</v>
      </c>
      <c r="C220" s="1" t="str">
        <f>IFERROR(__xludf.DUMMYFUNCTION("""COMPUTED_VALUE"""),"- 1,9 %")</f>
        <v>- 1,9 %</v>
      </c>
      <c r="D220" s="1" t="str">
        <f>IFERROR(__xludf.DUMMYFUNCTION("""COMPUTED_VALUE"""),"- 0,8 %")</f>
        <v>- 0,8 %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IFERROR(__xludf.DUMMYFUNCTION("""COMPUTED_VALUE"""),"3.833 €/m2")</f>
        <v>3.833 €/m2</v>
      </c>
      <c r="C221" s="1" t="str">
        <f>IFERROR(__xludf.DUMMYFUNCTION("""COMPUTED_VALUE"""),"0,0 %")</f>
        <v>0,0 %</v>
      </c>
      <c r="D221" s="1" t="str">
        <f>IFERROR(__xludf.DUMMYFUNCTION("""COMPUTED_VALUE"""),"- 0,6 %")</f>
        <v>- 0,6 %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IFERROR(__xludf.DUMMYFUNCTION("""COMPUTED_VALUE"""),"3.833 €/m2")</f>
        <v>3.833 €/m2</v>
      </c>
      <c r="C222" s="1" t="str">
        <f>IFERROR(__xludf.DUMMYFUNCTION("""COMPUTED_VALUE"""),"+ 1,1 %")</f>
        <v>+ 1,1 %</v>
      </c>
      <c r="D222" s="1" t="str">
        <f>IFERROR(__xludf.DUMMYFUNCTION("""COMPUTED_VALUE"""),"+ 1,6 %")</f>
        <v>+ 1,6 %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IFERROR(__xludf.DUMMYFUNCTION("""COMPUTED_VALUE"""),"3.792 €/m2")</f>
        <v>3.792 €/m2</v>
      </c>
      <c r="C223" s="1" t="str">
        <f>IFERROR(__xludf.DUMMYFUNCTION("""COMPUTED_VALUE"""),"- 1,7 %")</f>
        <v>- 1,7 %</v>
      </c>
      <c r="D223" s="1" t="str">
        <f>IFERROR(__xludf.DUMMYFUNCTION("""COMPUTED_VALUE"""),"+ 4,2 %")</f>
        <v>+ 4,2 %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IFERROR(__xludf.DUMMYFUNCTION("""COMPUTED_VALUE"""),"3.857 €/m2")</f>
        <v>3.857 €/m2</v>
      </c>
      <c r="C224" s="1" t="str">
        <f>IFERROR(__xludf.DUMMYFUNCTION("""COMPUTED_VALUE"""),"+ 2,2 %")</f>
        <v>+ 2,2 %</v>
      </c>
      <c r="D224" s="1" t="str">
        <f>IFERROR(__xludf.DUMMYFUNCTION("""COMPUTED_VALUE"""),"+ 8,4 %")</f>
        <v>+ 8,4 %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IFERROR(__xludf.DUMMYFUNCTION("""COMPUTED_VALUE"""),"3.774 €/m2")</f>
        <v>3.774 €/m2</v>
      </c>
      <c r="C225" s="1" t="str">
        <f>IFERROR(__xludf.DUMMYFUNCTION("""COMPUTED_VALUE"""),"+ 3,7 %")</f>
        <v>+ 3,7 %</v>
      </c>
      <c r="D225" s="1" t="str">
        <f>IFERROR(__xludf.DUMMYFUNCTION("""COMPUTED_VALUE"""),"+ 2,0 %")</f>
        <v>+ 2,0 %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IFERROR(__xludf.DUMMYFUNCTION("""COMPUTED_VALUE"""),"3.639 €/m2")</f>
        <v>3.639 €/m2</v>
      </c>
      <c r="C226" s="1" t="str">
        <f>IFERROR(__xludf.DUMMYFUNCTION("""COMPUTED_VALUE"""),"+ 2,3 %")</f>
        <v>+ 2,3 %</v>
      </c>
      <c r="D226" s="1" t="str">
        <f>IFERROR(__xludf.DUMMYFUNCTION("""COMPUTED_VALUE"""),"- 3,9 %")</f>
        <v>- 3,9 %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IFERROR(__xludf.DUMMYFUNCTION("""COMPUTED_VALUE"""),"3.558 €/m2")</f>
        <v>3.558 €/m2</v>
      </c>
      <c r="C227" s="1" t="str">
        <f>IFERROR(__xludf.DUMMYFUNCTION("""COMPUTED_VALUE"""),"- 3,8 %")</f>
        <v>- 3,8 %</v>
      </c>
      <c r="D227" s="1" t="str">
        <f>IFERROR(__xludf.DUMMYFUNCTION("""COMPUTED_VALUE"""),"- 7,7 %")</f>
        <v>- 7,7 %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IFERROR(__xludf.DUMMYFUNCTION("""COMPUTED_VALUE"""),"3.700 €/m2")</f>
        <v>3.700 €/m2</v>
      </c>
      <c r="C228" s="1" t="str">
        <f>IFERROR(__xludf.DUMMYFUNCTION("""COMPUTED_VALUE"""),"- 2,2 %")</f>
        <v>- 2,2 %</v>
      </c>
      <c r="D228" s="1" t="str">
        <f>IFERROR(__xludf.DUMMYFUNCTION("""COMPUTED_VALUE"""),"- 2,5 %")</f>
        <v>- 2,5 %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IFERROR(__xludf.DUMMYFUNCTION("""COMPUTED_VALUE"""),"3.785 €/m2")</f>
        <v>3.785 €/m2</v>
      </c>
      <c r="C229" s="1" t="str">
        <f>IFERROR(__xludf.DUMMYFUNCTION("""COMPUTED_VALUE"""),"- 1,9 %")</f>
        <v>- 1,9 %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IFERROR(__xludf.DUMMYFUNCTION("""COMPUTED_VALUE"""),"3.857 €/m2")</f>
        <v>3.857 €/m2</v>
      </c>
      <c r="C230" s="1" t="str">
        <f>IFERROR(__xludf.DUMMYFUNCTION("""COMPUTED_VALUE"""),"+ 1,6 %")</f>
        <v>+ 1,6 %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IFERROR(__xludf.DUMMYFUNCTION("""COMPUTED_VALUE"""),"3.796 €/m2")</f>
        <v>3.796 €/m2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IFERROR(__xludf.DUMMYFUNCTION("IMPORTHTML(""https://www.idealista.com/sala-de-prensa/informes-precio-vivienda/venta/madrid-comunidad/madrid-provincia/madrid/usera/historico/"",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IFERROR(__xludf.DUMMYFUNCTION("""COMPUTED_VALUE"""),"3.603 €/m2")</f>
        <v>3.603 €/m2</v>
      </c>
      <c r="C2" s="1" t="str">
        <f>IFERROR(__xludf.DUMMYFUNCTION("""COMPUTED_VALUE"""),"- 0,9 %")</f>
        <v>- 0,9 %</v>
      </c>
      <c r="D2" s="1" t="str">
        <f>IFERROR(__xludf.DUMMYFUNCTION("""COMPUTED_VALUE"""),"+ 2,3 %")</f>
        <v>+ 2,3 %</v>
      </c>
      <c r="E2" s="1" t="str">
        <f>IFERROR(__xludf.DUMMYFUNCTION("""COMPUTED_VALUE"""),"+ 20,2 %")</f>
        <v>+ 20,2 %</v>
      </c>
    </row>
    <row r="3">
      <c r="A3" s="2">
        <f>IFERROR(__xludf.DUMMYFUNCTION("""COMPUTED_VALUE"""),46143.0)</f>
        <v>46143</v>
      </c>
      <c r="B3" s="1" t="str">
        <f>IFERROR(__xludf.DUMMYFUNCTION("""COMPUTED_VALUE"""),"3.635 €/m2")</f>
        <v>3.635 €/m2</v>
      </c>
      <c r="C3" s="1" t="str">
        <f>IFERROR(__xludf.DUMMYFUNCTION("""COMPUTED_VALUE"""),"+ 0,7 %")</f>
        <v>+ 0,7 %</v>
      </c>
      <c r="D3" s="1" t="str">
        <f>IFERROR(__xludf.DUMMYFUNCTION("""COMPUTED_VALUE"""),"+ 7,4 %")</f>
        <v>+ 7,4 %</v>
      </c>
      <c r="E3" s="1" t="str">
        <f>IFERROR(__xludf.DUMMYFUNCTION("""COMPUTED_VALUE"""),"+ 21,3 %")</f>
        <v>+ 21,3 %</v>
      </c>
    </row>
    <row r="4">
      <c r="A4" s="2">
        <f>IFERROR(__xludf.DUMMYFUNCTION("""COMPUTED_VALUE"""),46113.0)</f>
        <v>46113</v>
      </c>
      <c r="B4" s="1" t="str">
        <f>IFERROR(__xludf.DUMMYFUNCTION("""COMPUTED_VALUE"""),"3.609 €/m2")</f>
        <v>3.609 €/m2</v>
      </c>
      <c r="C4" s="1" t="str">
        <f>IFERROR(__xludf.DUMMYFUNCTION("""COMPUTED_VALUE"""),"+ 2,4 %")</f>
        <v>+ 2,4 %</v>
      </c>
      <c r="D4" s="1" t="str">
        <f>IFERROR(__xludf.DUMMYFUNCTION("""COMPUTED_VALUE"""),"+ 7,8 %")</f>
        <v>+ 7,8 %</v>
      </c>
      <c r="E4" s="1" t="str">
        <f>IFERROR(__xludf.DUMMYFUNCTION("""COMPUTED_VALUE"""),"+ 21,7 %")</f>
        <v>+ 21,7 %</v>
      </c>
    </row>
    <row r="5">
      <c r="A5" s="2">
        <f>IFERROR(__xludf.DUMMYFUNCTION("""COMPUTED_VALUE"""),46082.0)</f>
        <v>46082</v>
      </c>
      <c r="B5" s="1" t="str">
        <f>IFERROR(__xludf.DUMMYFUNCTION("""COMPUTED_VALUE"""),"3.523 €/m2")</f>
        <v>3.523 €/m2</v>
      </c>
      <c r="C5" s="1" t="str">
        <f>IFERROR(__xludf.DUMMYFUNCTION("""COMPUTED_VALUE"""),"+ 4,1 %")</f>
        <v>+ 4,1 %</v>
      </c>
      <c r="D5" s="1" t="str">
        <f>IFERROR(__xludf.DUMMYFUNCTION("""COMPUTED_VALUE"""),"+ 5,8 %")</f>
        <v>+ 5,8 %</v>
      </c>
      <c r="E5" s="1" t="str">
        <f>IFERROR(__xludf.DUMMYFUNCTION("""COMPUTED_VALUE"""),"+ 22,3 %")</f>
        <v>+ 22,3 %</v>
      </c>
    </row>
    <row r="6">
      <c r="A6" s="2">
        <f>IFERROR(__xludf.DUMMYFUNCTION("""COMPUTED_VALUE"""),46054.0)</f>
        <v>46054</v>
      </c>
      <c r="B6" s="1" t="str">
        <f>IFERROR(__xludf.DUMMYFUNCTION("""COMPUTED_VALUE"""),"3.385 €/m2")</f>
        <v>3.385 €/m2</v>
      </c>
      <c r="C6" s="1" t="str">
        <f>IFERROR(__xludf.DUMMYFUNCTION("""COMPUTED_VALUE"""),"+ 1,1 %")</f>
        <v>+ 1,1 %</v>
      </c>
      <c r="D6" s="1" t="str">
        <f>IFERROR(__xludf.DUMMYFUNCTION("""COMPUTED_VALUE"""),"+ 3,6 %")</f>
        <v>+ 3,6 %</v>
      </c>
      <c r="E6" s="1" t="str">
        <f>IFERROR(__xludf.DUMMYFUNCTION("""COMPUTED_VALUE"""),"+ 20,2 %")</f>
        <v>+ 20,2 %</v>
      </c>
    </row>
    <row r="7">
      <c r="A7" s="2">
        <f>IFERROR(__xludf.DUMMYFUNCTION("""COMPUTED_VALUE"""),46023.0)</f>
        <v>46023</v>
      </c>
      <c r="B7" s="1" t="str">
        <f>IFERROR(__xludf.DUMMYFUNCTION("""COMPUTED_VALUE"""),"3.348 €/m2")</f>
        <v>3.348 €/m2</v>
      </c>
      <c r="C7" s="1" t="str">
        <f>IFERROR(__xludf.DUMMYFUNCTION("""COMPUTED_VALUE"""),"+ 0,5 %")</f>
        <v>+ 0,5 %</v>
      </c>
      <c r="D7" s="1" t="str">
        <f>IFERROR(__xludf.DUMMYFUNCTION("""COMPUTED_VALUE"""),"+ 4,2 %")</f>
        <v>+ 4,2 %</v>
      </c>
      <c r="E7" s="1" t="str">
        <f>IFERROR(__xludf.DUMMYFUNCTION("""COMPUTED_VALUE"""),"+ 21,2 %")</f>
        <v>+ 21,2 %</v>
      </c>
    </row>
    <row r="8">
      <c r="A8" s="2">
        <f>IFERROR(__xludf.DUMMYFUNCTION("""COMPUTED_VALUE"""),45992.0)</f>
        <v>45992</v>
      </c>
      <c r="B8" s="1" t="str">
        <f>IFERROR(__xludf.DUMMYFUNCTION("""COMPUTED_VALUE"""),"3.331 €/m2")</f>
        <v>3.331 €/m2</v>
      </c>
      <c r="C8" s="1" t="str">
        <f>IFERROR(__xludf.DUMMYFUNCTION("""COMPUTED_VALUE"""),"+ 1,9 %")</f>
        <v>+ 1,9 %</v>
      </c>
      <c r="D8" s="1" t="str">
        <f>IFERROR(__xludf.DUMMYFUNCTION("""COMPUTED_VALUE"""),"+ 4,9 %")</f>
        <v>+ 4,9 %</v>
      </c>
      <c r="E8" s="1" t="str">
        <f>IFERROR(__xludf.DUMMYFUNCTION("""COMPUTED_VALUE"""),"+ 20,9 %")</f>
        <v>+ 20,9 %</v>
      </c>
    </row>
    <row r="9">
      <c r="A9" s="2">
        <f>IFERROR(__xludf.DUMMYFUNCTION("""COMPUTED_VALUE"""),45962.0)</f>
        <v>45962</v>
      </c>
      <c r="B9" s="1" t="str">
        <f>IFERROR(__xludf.DUMMYFUNCTION("""COMPUTED_VALUE"""),"3.269 €/m2")</f>
        <v>3.269 €/m2</v>
      </c>
      <c r="C9" s="1" t="str">
        <f>IFERROR(__xludf.DUMMYFUNCTION("""COMPUTED_VALUE"""),"+ 1,7 %")</f>
        <v>+ 1,7 %</v>
      </c>
      <c r="D9" s="1" t="str">
        <f>IFERROR(__xludf.DUMMYFUNCTION("""COMPUTED_VALUE"""),"+ 4,5 %")</f>
        <v>+ 4,5 %</v>
      </c>
      <c r="E9" s="1" t="str">
        <f>IFERROR(__xludf.DUMMYFUNCTION("""COMPUTED_VALUE"""),"+ 20,2 %")</f>
        <v>+ 20,2 %</v>
      </c>
    </row>
    <row r="10">
      <c r="A10" s="2">
        <f>IFERROR(__xludf.DUMMYFUNCTION("""COMPUTED_VALUE"""),45931.0)</f>
        <v>45931</v>
      </c>
      <c r="B10" s="1" t="str">
        <f>IFERROR(__xludf.DUMMYFUNCTION("""COMPUTED_VALUE"""),"3.213 €/m2")</f>
        <v>3.213 €/m2</v>
      </c>
      <c r="C10" s="1" t="str">
        <f>IFERROR(__xludf.DUMMYFUNCTION("""COMPUTED_VALUE"""),"+ 1,1 %")</f>
        <v>+ 1,1 %</v>
      </c>
      <c r="D10" s="1" t="str">
        <f>IFERROR(__xludf.DUMMYFUNCTION("""COMPUTED_VALUE"""),"+ 4,4 %")</f>
        <v>+ 4,4 %</v>
      </c>
      <c r="E10" s="1" t="str">
        <f>IFERROR(__xludf.DUMMYFUNCTION("""COMPUTED_VALUE"""),"+ 19,5 %")</f>
        <v>+ 19,5 %</v>
      </c>
    </row>
    <row r="11">
      <c r="A11" s="2">
        <f>IFERROR(__xludf.DUMMYFUNCTION("""COMPUTED_VALUE"""),45901.0)</f>
        <v>45901</v>
      </c>
      <c r="B11" s="1" t="str">
        <f>IFERROR(__xludf.DUMMYFUNCTION("""COMPUTED_VALUE"""),"3.177 €/m2")</f>
        <v>3.177 €/m2</v>
      </c>
      <c r="C11" s="1" t="str">
        <f>IFERROR(__xludf.DUMMYFUNCTION("""COMPUTED_VALUE"""),"+ 1,5 %")</f>
        <v>+ 1,5 %</v>
      </c>
      <c r="D11" s="1" t="str">
        <f>IFERROR(__xludf.DUMMYFUNCTION("""COMPUTED_VALUE"""),"+ 6,0 %")</f>
        <v>+ 6,0 %</v>
      </c>
      <c r="E11" s="1" t="str">
        <f>IFERROR(__xludf.DUMMYFUNCTION("""COMPUTED_VALUE"""),"+ 21,8 %")</f>
        <v>+ 21,8 %</v>
      </c>
    </row>
    <row r="12">
      <c r="A12" s="2">
        <f>IFERROR(__xludf.DUMMYFUNCTION("""COMPUTED_VALUE"""),45870.0)</f>
        <v>45870</v>
      </c>
      <c r="B12" s="1" t="str">
        <f>IFERROR(__xludf.DUMMYFUNCTION("""COMPUTED_VALUE"""),"3.129 €/m2")</f>
        <v>3.129 €/m2</v>
      </c>
      <c r="C12" s="1" t="str">
        <f>IFERROR(__xludf.DUMMYFUNCTION("""COMPUTED_VALUE"""),"+ 1,7 %")</f>
        <v>+ 1,7 %</v>
      </c>
      <c r="D12" s="1" t="str">
        <f>IFERROR(__xludf.DUMMYFUNCTION("""COMPUTED_VALUE"""),"+ 4,4 %")</f>
        <v>+ 4,4 %</v>
      </c>
      <c r="E12" s="1" t="str">
        <f>IFERROR(__xludf.DUMMYFUNCTION("""COMPUTED_VALUE"""),"+ 20,8 %")</f>
        <v>+ 20,8 %</v>
      </c>
    </row>
    <row r="13">
      <c r="A13" s="2">
        <f>IFERROR(__xludf.DUMMYFUNCTION("""COMPUTED_VALUE"""),45839.0)</f>
        <v>45839</v>
      </c>
      <c r="B13" s="1" t="str">
        <f>IFERROR(__xludf.DUMMYFUNCTION("""COMPUTED_VALUE"""),"3.077 €/m2")</f>
        <v>3.077 €/m2</v>
      </c>
      <c r="C13" s="1" t="str">
        <f>IFERROR(__xludf.DUMMYFUNCTION("""COMPUTED_VALUE"""),"+ 2,7 %")</f>
        <v>+ 2,7 %</v>
      </c>
      <c r="D13" s="1" t="str">
        <f>IFERROR(__xludf.DUMMYFUNCTION("""COMPUTED_VALUE"""),"+ 3,7 %")</f>
        <v>+ 3,7 %</v>
      </c>
      <c r="E13" s="1" t="str">
        <f>IFERROR(__xludf.DUMMYFUNCTION("""COMPUTED_VALUE"""),"+ 20,3 %")</f>
        <v>+ 20,3 %</v>
      </c>
    </row>
    <row r="14">
      <c r="A14" s="2">
        <f>IFERROR(__xludf.DUMMYFUNCTION("""COMPUTED_VALUE"""),45809.0)</f>
        <v>45809</v>
      </c>
      <c r="B14" s="1" t="str">
        <f>IFERROR(__xludf.DUMMYFUNCTION("""COMPUTED_VALUE"""),"2.997 €/m2")</f>
        <v>2.997 €/m2</v>
      </c>
      <c r="C14" s="1" t="str">
        <f>IFERROR(__xludf.DUMMYFUNCTION("""COMPUTED_VALUE"""),"0,0 %")</f>
        <v>0,0 %</v>
      </c>
      <c r="D14" s="1" t="str">
        <f>IFERROR(__xludf.DUMMYFUNCTION("""COMPUTED_VALUE"""),"+ 4,1 %")</f>
        <v>+ 4,1 %</v>
      </c>
      <c r="E14" s="1" t="str">
        <f>IFERROR(__xludf.DUMMYFUNCTION("""COMPUTED_VALUE"""),"+ 20,0 %")</f>
        <v>+ 20,0 %</v>
      </c>
    </row>
    <row r="15">
      <c r="A15" s="2">
        <f>IFERROR(__xludf.DUMMYFUNCTION("""COMPUTED_VALUE"""),45778.0)</f>
        <v>45778</v>
      </c>
      <c r="B15" s="1" t="str">
        <f>IFERROR(__xludf.DUMMYFUNCTION("""COMPUTED_VALUE"""),"2.998 €/m2")</f>
        <v>2.998 €/m2</v>
      </c>
      <c r="C15" s="1" t="str">
        <f>IFERROR(__xludf.DUMMYFUNCTION("""COMPUTED_VALUE"""),"+ 1,1 %")</f>
        <v>+ 1,1 %</v>
      </c>
      <c r="D15" s="1" t="str">
        <f>IFERROR(__xludf.DUMMYFUNCTION("""COMPUTED_VALUE"""),"+ 6,4 %")</f>
        <v>+ 6,4 %</v>
      </c>
      <c r="E15" s="1" t="str">
        <f>IFERROR(__xludf.DUMMYFUNCTION("""COMPUTED_VALUE"""),"+ 21,6 %")</f>
        <v>+ 21,6 %</v>
      </c>
    </row>
    <row r="16">
      <c r="A16" s="2">
        <f>IFERROR(__xludf.DUMMYFUNCTION("""COMPUTED_VALUE"""),45748.0)</f>
        <v>45748</v>
      </c>
      <c r="B16" s="1" t="str">
        <f>IFERROR(__xludf.DUMMYFUNCTION("""COMPUTED_VALUE"""),"2.966 €/m2")</f>
        <v>2.966 €/m2</v>
      </c>
      <c r="C16" s="1" t="str">
        <f>IFERROR(__xludf.DUMMYFUNCTION("""COMPUTED_VALUE"""),"+ 3,0 %")</f>
        <v>+ 3,0 %</v>
      </c>
      <c r="D16" s="1" t="str">
        <f>IFERROR(__xludf.DUMMYFUNCTION("""COMPUTED_VALUE"""),"+ 7,4 %")</f>
        <v>+ 7,4 %</v>
      </c>
      <c r="E16" s="1" t="str">
        <f>IFERROR(__xludf.DUMMYFUNCTION("""COMPUTED_VALUE"""),"+ 24,1 %")</f>
        <v>+ 24,1 %</v>
      </c>
    </row>
    <row r="17">
      <c r="A17" s="2">
        <f>IFERROR(__xludf.DUMMYFUNCTION("""COMPUTED_VALUE"""),45717.0)</f>
        <v>45717</v>
      </c>
      <c r="B17" s="1" t="str">
        <f>IFERROR(__xludf.DUMMYFUNCTION("""COMPUTED_VALUE"""),"2.880 €/m2")</f>
        <v>2.880 €/m2</v>
      </c>
      <c r="C17" s="1" t="str">
        <f>IFERROR(__xludf.DUMMYFUNCTION("""COMPUTED_VALUE"""),"+ 2,2 %")</f>
        <v>+ 2,2 %</v>
      </c>
      <c r="D17" s="1" t="str">
        <f>IFERROR(__xludf.DUMMYFUNCTION("""COMPUTED_VALUE"""),"+ 4,5 %")</f>
        <v>+ 4,5 %</v>
      </c>
      <c r="E17" s="1" t="str">
        <f>IFERROR(__xludf.DUMMYFUNCTION("""COMPUTED_VALUE"""),"+ 21,6 %")</f>
        <v>+ 21,6 %</v>
      </c>
    </row>
    <row r="18">
      <c r="A18" s="2">
        <f>IFERROR(__xludf.DUMMYFUNCTION("""COMPUTED_VALUE"""),45689.0)</f>
        <v>45689</v>
      </c>
      <c r="B18" s="1" t="str">
        <f>IFERROR(__xludf.DUMMYFUNCTION("""COMPUTED_VALUE"""),"2.817 €/m2")</f>
        <v>2.817 €/m2</v>
      </c>
      <c r="C18" s="1" t="str">
        <f>IFERROR(__xludf.DUMMYFUNCTION("""COMPUTED_VALUE"""),"+ 2,0 %")</f>
        <v>+ 2,0 %</v>
      </c>
      <c r="D18" s="1" t="str">
        <f>IFERROR(__xludf.DUMMYFUNCTION("""COMPUTED_VALUE"""),"+ 3,6 %")</f>
        <v>+ 3,6 %</v>
      </c>
      <c r="E18" s="1" t="str">
        <f>IFERROR(__xludf.DUMMYFUNCTION("""COMPUTED_VALUE"""),"+ 20,7 %")</f>
        <v>+ 20,7 %</v>
      </c>
    </row>
    <row r="19">
      <c r="A19" s="2">
        <f>IFERROR(__xludf.DUMMYFUNCTION("""COMPUTED_VALUE"""),45658.0)</f>
        <v>45658</v>
      </c>
      <c r="B19" s="1" t="str">
        <f>IFERROR(__xludf.DUMMYFUNCTION("""COMPUTED_VALUE"""),"2.762 €/m2")</f>
        <v>2.762 €/m2</v>
      </c>
      <c r="C19" s="1" t="str">
        <f>IFERROR(__xludf.DUMMYFUNCTION("""COMPUTED_VALUE"""),"+ 0,3 %")</f>
        <v>+ 0,3 %</v>
      </c>
      <c r="D19" s="1" t="str">
        <f>IFERROR(__xludf.DUMMYFUNCTION("""COMPUTED_VALUE"""),"+ 2,8 %")</f>
        <v>+ 2,8 %</v>
      </c>
      <c r="E19" s="1" t="str">
        <f>IFERROR(__xludf.DUMMYFUNCTION("""COMPUTED_VALUE"""),"+ 19,5 %")</f>
        <v>+ 19,5 %</v>
      </c>
    </row>
    <row r="20">
      <c r="A20" s="2">
        <f>IFERROR(__xludf.DUMMYFUNCTION("""COMPUTED_VALUE"""),45627.0)</f>
        <v>45627</v>
      </c>
      <c r="B20" s="1" t="str">
        <f>IFERROR(__xludf.DUMMYFUNCTION("""COMPUTED_VALUE"""),"2.755 €/m2")</f>
        <v>2.755 €/m2</v>
      </c>
      <c r="C20" s="1" t="str">
        <f>IFERROR(__xludf.DUMMYFUNCTION("""COMPUTED_VALUE"""),"+ 1,3 %")</f>
        <v>+ 1,3 %</v>
      </c>
      <c r="D20" s="1" t="str">
        <f>IFERROR(__xludf.DUMMYFUNCTION("""COMPUTED_VALUE"""),"+ 5,6 %")</f>
        <v>+ 5,6 %</v>
      </c>
      <c r="E20" s="1" t="str">
        <f>IFERROR(__xludf.DUMMYFUNCTION("""COMPUTED_VALUE"""),"+ 20,1 %")</f>
        <v>+ 20,1 %</v>
      </c>
    </row>
    <row r="21">
      <c r="A21" s="2">
        <f>IFERROR(__xludf.DUMMYFUNCTION("""COMPUTED_VALUE"""),45597.0)</f>
        <v>45597</v>
      </c>
      <c r="B21" s="1" t="str">
        <f>IFERROR(__xludf.DUMMYFUNCTION("""COMPUTED_VALUE"""),"2.719 €/m2")</f>
        <v>2.719 €/m2</v>
      </c>
      <c r="C21" s="1" t="str">
        <f>IFERROR(__xludf.DUMMYFUNCTION("""COMPUTED_VALUE"""),"+ 1,1 %")</f>
        <v>+ 1,1 %</v>
      </c>
      <c r="D21" s="1" t="str">
        <f>IFERROR(__xludf.DUMMYFUNCTION("""COMPUTED_VALUE"""),"+ 4,9 %")</f>
        <v>+ 4,9 %</v>
      </c>
      <c r="E21" s="1" t="str">
        <f>IFERROR(__xludf.DUMMYFUNCTION("""COMPUTED_VALUE"""),"+ 19,3 %")</f>
        <v>+ 19,3 %</v>
      </c>
    </row>
    <row r="22">
      <c r="A22" s="2">
        <f>IFERROR(__xludf.DUMMYFUNCTION("""COMPUTED_VALUE"""),45566.0)</f>
        <v>45566</v>
      </c>
      <c r="B22" s="1" t="str">
        <f>IFERROR(__xludf.DUMMYFUNCTION("""COMPUTED_VALUE"""),"2.688 €/m2")</f>
        <v>2.688 €/m2</v>
      </c>
      <c r="C22" s="1" t="str">
        <f>IFERROR(__xludf.DUMMYFUNCTION("""COMPUTED_VALUE"""),"+ 3,0 %")</f>
        <v>+ 3,0 %</v>
      </c>
      <c r="D22" s="1" t="str">
        <f>IFERROR(__xludf.DUMMYFUNCTION("""COMPUTED_VALUE"""),"+ 5,1 %")</f>
        <v>+ 5,1 %</v>
      </c>
      <c r="E22" s="1" t="str">
        <f>IFERROR(__xludf.DUMMYFUNCTION("""COMPUTED_VALUE"""),"+ 18,3 %")</f>
        <v>+ 18,3 %</v>
      </c>
    </row>
    <row r="23">
      <c r="A23" s="2">
        <f>IFERROR(__xludf.DUMMYFUNCTION("""COMPUTED_VALUE"""),45536.0)</f>
        <v>45536</v>
      </c>
      <c r="B23" s="1" t="str">
        <f>IFERROR(__xludf.DUMMYFUNCTION("""COMPUTED_VALUE"""),"2.609 €/m2")</f>
        <v>2.609 €/m2</v>
      </c>
      <c r="C23" s="1" t="str">
        <f>IFERROR(__xludf.DUMMYFUNCTION("""COMPUTED_VALUE"""),"+ 0,7 %")</f>
        <v>+ 0,7 %</v>
      </c>
      <c r="D23" s="1" t="str">
        <f>IFERROR(__xludf.DUMMYFUNCTION("""COMPUTED_VALUE"""),"+ 4,5 %")</f>
        <v>+ 4,5 %</v>
      </c>
      <c r="E23" s="1" t="str">
        <f>IFERROR(__xludf.DUMMYFUNCTION("""COMPUTED_VALUE"""),"+ 15,7 %")</f>
        <v>+ 15,7 %</v>
      </c>
    </row>
    <row r="24">
      <c r="A24" s="2">
        <f>IFERROR(__xludf.DUMMYFUNCTION("""COMPUTED_VALUE"""),45505.0)</f>
        <v>45505</v>
      </c>
      <c r="B24" s="1" t="str">
        <f>IFERROR(__xludf.DUMMYFUNCTION("""COMPUTED_VALUE"""),"2.591 €/m2")</f>
        <v>2.591 €/m2</v>
      </c>
      <c r="C24" s="1" t="str">
        <f>IFERROR(__xludf.DUMMYFUNCTION("""COMPUTED_VALUE"""),"+ 1,3 %")</f>
        <v>+ 1,3 %</v>
      </c>
      <c r="D24" s="1" t="str">
        <f>IFERROR(__xludf.DUMMYFUNCTION("""COMPUTED_VALUE"""),"+ 5,1 %")</f>
        <v>+ 5,1 %</v>
      </c>
      <c r="E24" s="1" t="str">
        <f>IFERROR(__xludf.DUMMYFUNCTION("""COMPUTED_VALUE"""),"+ 13,1 %")</f>
        <v>+ 13,1 %</v>
      </c>
    </row>
    <row r="25">
      <c r="A25" s="2">
        <f>IFERROR(__xludf.DUMMYFUNCTION("""COMPUTED_VALUE"""),45474.0)</f>
        <v>45474</v>
      </c>
      <c r="B25" s="1" t="str">
        <f>IFERROR(__xludf.DUMMYFUNCTION("""COMPUTED_VALUE"""),"2.558 €/m2")</f>
        <v>2.558 €/m2</v>
      </c>
      <c r="C25" s="1" t="str">
        <f>IFERROR(__xludf.DUMMYFUNCTION("""COMPUTED_VALUE"""),"+ 2,4 %")</f>
        <v>+ 2,4 %</v>
      </c>
      <c r="D25" s="1" t="str">
        <f>IFERROR(__xludf.DUMMYFUNCTION("""COMPUTED_VALUE"""),"+ 7,0 %")</f>
        <v>+ 7,0 %</v>
      </c>
      <c r="E25" s="1" t="str">
        <f>IFERROR(__xludf.DUMMYFUNCTION("""COMPUTED_VALUE"""),"+ 13,2 %")</f>
        <v>+ 13,2 %</v>
      </c>
    </row>
    <row r="26">
      <c r="A26" s="2">
        <f>IFERROR(__xludf.DUMMYFUNCTION("""COMPUTED_VALUE"""),45444.0)</f>
        <v>45444</v>
      </c>
      <c r="B26" s="1" t="str">
        <f>IFERROR(__xludf.DUMMYFUNCTION("""COMPUTED_VALUE"""),"2.497 €/m2")</f>
        <v>2.497 €/m2</v>
      </c>
      <c r="C26" s="1" t="str">
        <f>IFERROR(__xludf.DUMMYFUNCTION("""COMPUTED_VALUE"""),"+ 1,3 %")</f>
        <v>+ 1,3 %</v>
      </c>
      <c r="D26" s="1" t="str">
        <f>IFERROR(__xludf.DUMMYFUNCTION("""COMPUTED_VALUE"""),"+ 5,5 %")</f>
        <v>+ 5,5 %</v>
      </c>
      <c r="E26" s="1" t="str">
        <f>IFERROR(__xludf.DUMMYFUNCTION("""COMPUTED_VALUE"""),"+ 9,7 %")</f>
        <v>+ 9,7 %</v>
      </c>
    </row>
    <row r="27">
      <c r="A27" s="2">
        <f>IFERROR(__xludf.DUMMYFUNCTION("""COMPUTED_VALUE"""),45413.0)</f>
        <v>45413</v>
      </c>
      <c r="B27" s="1" t="str">
        <f>IFERROR(__xludf.DUMMYFUNCTION("""COMPUTED_VALUE"""),"2.465 €/m2")</f>
        <v>2.465 €/m2</v>
      </c>
      <c r="C27" s="1" t="str">
        <f>IFERROR(__xludf.DUMMYFUNCTION("""COMPUTED_VALUE"""),"+ 3,1 %")</f>
        <v>+ 3,1 %</v>
      </c>
      <c r="D27" s="1" t="str">
        <f>IFERROR(__xludf.DUMMYFUNCTION("""COMPUTED_VALUE"""),"+ 5,6 %")</f>
        <v>+ 5,6 %</v>
      </c>
      <c r="E27" s="1" t="str">
        <f>IFERROR(__xludf.DUMMYFUNCTION("""COMPUTED_VALUE"""),"+ 9,8 %")</f>
        <v>+ 9,8 %</v>
      </c>
    </row>
    <row r="28">
      <c r="A28" s="2">
        <f>IFERROR(__xludf.DUMMYFUNCTION("""COMPUTED_VALUE"""),45383.0)</f>
        <v>45383</v>
      </c>
      <c r="B28" s="1" t="str">
        <f>IFERROR(__xludf.DUMMYFUNCTION("""COMPUTED_VALUE"""),"2.390 €/m2")</f>
        <v>2.390 €/m2</v>
      </c>
      <c r="C28" s="1" t="str">
        <f>IFERROR(__xludf.DUMMYFUNCTION("""COMPUTED_VALUE"""),"+ 1,0 %")</f>
        <v>+ 1,0 %</v>
      </c>
      <c r="D28" s="1" t="str">
        <f>IFERROR(__xludf.DUMMYFUNCTION("""COMPUTED_VALUE"""),"+ 3,4 %")</f>
        <v>+ 3,4 %</v>
      </c>
      <c r="E28" s="1" t="str">
        <f>IFERROR(__xludf.DUMMYFUNCTION("""COMPUTED_VALUE"""),"+ 6,2 %")</f>
        <v>+ 6,2 %</v>
      </c>
    </row>
    <row r="29">
      <c r="A29" s="2">
        <f>IFERROR(__xludf.DUMMYFUNCTION("""COMPUTED_VALUE"""),45352.0)</f>
        <v>45352</v>
      </c>
      <c r="B29" s="1" t="str">
        <f>IFERROR(__xludf.DUMMYFUNCTION("""COMPUTED_VALUE"""),"2.368 €/m2")</f>
        <v>2.368 €/m2</v>
      </c>
      <c r="C29" s="1" t="str">
        <f>IFERROR(__xludf.DUMMYFUNCTION("""COMPUTED_VALUE"""),"+ 1,4 %")</f>
        <v>+ 1,4 %</v>
      </c>
      <c r="D29" s="1" t="str">
        <f>IFERROR(__xludf.DUMMYFUNCTION("""COMPUTED_VALUE"""),"+ 3,2 %")</f>
        <v>+ 3,2 %</v>
      </c>
      <c r="E29" s="1" t="str">
        <f>IFERROR(__xludf.DUMMYFUNCTION("""COMPUTED_VALUE"""),"+ 6,1 %")</f>
        <v>+ 6,1 %</v>
      </c>
    </row>
    <row r="30">
      <c r="A30" s="2">
        <f>IFERROR(__xludf.DUMMYFUNCTION("""COMPUTED_VALUE"""),45323.0)</f>
        <v>45323</v>
      </c>
      <c r="B30" s="1" t="str">
        <f>IFERROR(__xludf.DUMMYFUNCTION("""COMPUTED_VALUE"""),"2.335 €/m2")</f>
        <v>2.335 €/m2</v>
      </c>
      <c r="C30" s="1" t="str">
        <f>IFERROR(__xludf.DUMMYFUNCTION("""COMPUTED_VALUE"""),"+ 1,0 %")</f>
        <v>+ 1,0 %</v>
      </c>
      <c r="D30" s="1" t="str">
        <f>IFERROR(__xludf.DUMMYFUNCTION("""COMPUTED_VALUE"""),"+ 2,4 %")</f>
        <v>+ 2,4 %</v>
      </c>
      <c r="E30" s="1" t="str">
        <f>IFERROR(__xludf.DUMMYFUNCTION("""COMPUTED_VALUE"""),"+ 6,8 %")</f>
        <v>+ 6,8 %</v>
      </c>
    </row>
    <row r="31">
      <c r="A31" s="2">
        <f>IFERROR(__xludf.DUMMYFUNCTION("""COMPUTED_VALUE"""),45292.0)</f>
        <v>45292</v>
      </c>
      <c r="B31" s="1" t="str">
        <f>IFERROR(__xludf.DUMMYFUNCTION("""COMPUTED_VALUE"""),"2.311 €/m2")</f>
        <v>2.311 €/m2</v>
      </c>
      <c r="C31" s="1" t="str">
        <f>IFERROR(__xludf.DUMMYFUNCTION("""COMPUTED_VALUE"""),"+ 0,7 %")</f>
        <v>+ 0,7 %</v>
      </c>
      <c r="D31" s="1" t="str">
        <f>IFERROR(__xludf.DUMMYFUNCTION("""COMPUTED_VALUE"""),"+ 1,7 %")</f>
        <v>+ 1,7 %</v>
      </c>
      <c r="E31" s="1" t="str">
        <f>IFERROR(__xludf.DUMMYFUNCTION("""COMPUTED_VALUE"""),"+ 5,3 %")</f>
        <v>+ 5,3 %</v>
      </c>
    </row>
    <row r="32">
      <c r="A32" s="2">
        <f>IFERROR(__xludf.DUMMYFUNCTION("""COMPUTED_VALUE"""),45261.0)</f>
        <v>45261</v>
      </c>
      <c r="B32" s="1" t="str">
        <f>IFERROR(__xludf.DUMMYFUNCTION("""COMPUTED_VALUE"""),"2.294 €/m2")</f>
        <v>2.294 €/m2</v>
      </c>
      <c r="C32" s="1" t="str">
        <f>IFERROR(__xludf.DUMMYFUNCTION("""COMPUTED_VALUE"""),"+ 0,7 %")</f>
        <v>+ 0,7 %</v>
      </c>
      <c r="D32" s="1" t="str">
        <f>IFERROR(__xludf.DUMMYFUNCTION("""COMPUTED_VALUE"""),"+ 1,7 %")</f>
        <v>+ 1,7 %</v>
      </c>
      <c r="E32" s="1" t="str">
        <f>IFERROR(__xludf.DUMMYFUNCTION("""COMPUTED_VALUE"""),"+ 4,4 %")</f>
        <v>+ 4,4 %</v>
      </c>
    </row>
    <row r="33">
      <c r="A33" s="2">
        <f>IFERROR(__xludf.DUMMYFUNCTION("""COMPUTED_VALUE"""),45231.0)</f>
        <v>45231</v>
      </c>
      <c r="B33" s="1" t="str">
        <f>IFERROR(__xludf.DUMMYFUNCTION("""COMPUTED_VALUE"""),"2.280 €/m2")</f>
        <v>2.280 €/m2</v>
      </c>
      <c r="C33" s="1" t="str">
        <f>IFERROR(__xludf.DUMMYFUNCTION("""COMPUTED_VALUE"""),"+ 0,3 %")</f>
        <v>+ 0,3 %</v>
      </c>
      <c r="D33" s="1" t="str">
        <f>IFERROR(__xludf.DUMMYFUNCTION("""COMPUTED_VALUE"""),"- 0,5 %")</f>
        <v>- 0,5 %</v>
      </c>
      <c r="E33" s="1" t="str">
        <f>IFERROR(__xludf.DUMMYFUNCTION("""COMPUTED_VALUE"""),"+ 4,0 %")</f>
        <v>+ 4,0 %</v>
      </c>
    </row>
    <row r="34">
      <c r="A34" s="2">
        <f>IFERROR(__xludf.DUMMYFUNCTION("""COMPUTED_VALUE"""),45200.0)</f>
        <v>45200</v>
      </c>
      <c r="B34" s="1" t="str">
        <f>IFERROR(__xludf.DUMMYFUNCTION("""COMPUTED_VALUE"""),"2.272 €/m2")</f>
        <v>2.272 €/m2</v>
      </c>
      <c r="C34" s="1" t="str">
        <f>IFERROR(__xludf.DUMMYFUNCTION("""COMPUTED_VALUE"""),"+ 0,8 %")</f>
        <v>+ 0,8 %</v>
      </c>
      <c r="D34" s="1" t="str">
        <f>IFERROR(__xludf.DUMMYFUNCTION("""COMPUTED_VALUE"""),"+ 0,6 %")</f>
        <v>+ 0,6 %</v>
      </c>
      <c r="E34" s="1" t="str">
        <f>IFERROR(__xludf.DUMMYFUNCTION("""COMPUTED_VALUE"""),"+ 5,5 %")</f>
        <v>+ 5,5 %</v>
      </c>
    </row>
    <row r="35">
      <c r="A35" s="2">
        <f>IFERROR(__xludf.DUMMYFUNCTION("""COMPUTED_VALUE"""),45170.0)</f>
        <v>45170</v>
      </c>
      <c r="B35" s="1" t="str">
        <f>IFERROR(__xludf.DUMMYFUNCTION("""COMPUTED_VALUE"""),"2.255 €/m2")</f>
        <v>2.255 €/m2</v>
      </c>
      <c r="C35" s="1" t="str">
        <f>IFERROR(__xludf.DUMMYFUNCTION("""COMPUTED_VALUE"""),"- 1,5 %")</f>
        <v>- 1,5 %</v>
      </c>
      <c r="D35" s="1" t="str">
        <f>IFERROR(__xludf.DUMMYFUNCTION("""COMPUTED_VALUE"""),"- 0,9 %")</f>
        <v>- 0,9 %</v>
      </c>
      <c r="E35" s="1" t="str">
        <f>IFERROR(__xludf.DUMMYFUNCTION("""COMPUTED_VALUE"""),"+ 5,2 %")</f>
        <v>+ 5,2 %</v>
      </c>
    </row>
    <row r="36">
      <c r="A36" s="2">
        <f>IFERROR(__xludf.DUMMYFUNCTION("""COMPUTED_VALUE"""),45139.0)</f>
        <v>45139</v>
      </c>
      <c r="B36" s="1" t="str">
        <f>IFERROR(__xludf.DUMMYFUNCTION("""COMPUTED_VALUE"""),"2.290 €/m2")</f>
        <v>2.290 €/m2</v>
      </c>
      <c r="C36" s="1" t="str">
        <f>IFERROR(__xludf.DUMMYFUNCTION("""COMPUTED_VALUE"""),"+ 1,4 %")</f>
        <v>+ 1,4 %</v>
      </c>
      <c r="D36" s="1" t="str">
        <f>IFERROR(__xludf.DUMMYFUNCTION("""COMPUTED_VALUE"""),"+ 2,0 %")</f>
        <v>+ 2,0 %</v>
      </c>
      <c r="E36" s="1" t="str">
        <f>IFERROR(__xludf.DUMMYFUNCTION("""COMPUTED_VALUE"""),"+ 7,1 %")</f>
        <v>+ 7,1 %</v>
      </c>
    </row>
    <row r="37">
      <c r="A37" s="2">
        <f>IFERROR(__xludf.DUMMYFUNCTION("""COMPUTED_VALUE"""),45108.0)</f>
        <v>45108</v>
      </c>
      <c r="B37" s="1" t="str">
        <f>IFERROR(__xludf.DUMMYFUNCTION("""COMPUTED_VALUE"""),"2.260 €/m2")</f>
        <v>2.260 €/m2</v>
      </c>
      <c r="C37" s="1" t="str">
        <f>IFERROR(__xludf.DUMMYFUNCTION("""COMPUTED_VALUE"""),"- 0,7 %")</f>
        <v>- 0,7 %</v>
      </c>
      <c r="D37" s="1" t="str">
        <f>IFERROR(__xludf.DUMMYFUNCTION("""COMPUTED_VALUE"""),"+ 0,4 %")</f>
        <v>+ 0,4 %</v>
      </c>
      <c r="E37" s="1" t="str">
        <f>IFERROR(__xludf.DUMMYFUNCTION("""COMPUTED_VALUE"""),"+ 6,6 %")</f>
        <v>+ 6,6 %</v>
      </c>
    </row>
    <row r="38">
      <c r="A38" s="2">
        <f>IFERROR(__xludf.DUMMYFUNCTION("""COMPUTED_VALUE"""),45078.0)</f>
        <v>45078</v>
      </c>
      <c r="B38" s="1" t="str">
        <f>IFERROR(__xludf.DUMMYFUNCTION("""COMPUTED_VALUE"""),"2.276 €/m2")</f>
        <v>2.276 €/m2</v>
      </c>
      <c r="C38" s="1" t="str">
        <f>IFERROR(__xludf.DUMMYFUNCTION("""COMPUTED_VALUE"""),"+ 1,3 %")</f>
        <v>+ 1,3 %</v>
      </c>
      <c r="D38" s="1" t="str">
        <f>IFERROR(__xludf.DUMMYFUNCTION("""COMPUTED_VALUE"""),"+ 2,0 %")</f>
        <v>+ 2,0 %</v>
      </c>
      <c r="E38" s="1" t="str">
        <f>IFERROR(__xludf.DUMMYFUNCTION("""COMPUTED_VALUE"""),"+ 6,7 %")</f>
        <v>+ 6,7 %</v>
      </c>
    </row>
    <row r="39">
      <c r="A39" s="2">
        <f>IFERROR(__xludf.DUMMYFUNCTION("""COMPUTED_VALUE"""),45047.0)</f>
        <v>45047</v>
      </c>
      <c r="B39" s="1" t="str">
        <f>IFERROR(__xludf.DUMMYFUNCTION("""COMPUTED_VALUE"""),"2.246 €/m2")</f>
        <v>2.246 €/m2</v>
      </c>
      <c r="C39" s="1" t="str">
        <f>IFERROR(__xludf.DUMMYFUNCTION("""COMPUTED_VALUE"""),"- 0,2 %")</f>
        <v>- 0,2 %</v>
      </c>
      <c r="D39" s="1" t="str">
        <f>IFERROR(__xludf.DUMMYFUNCTION("""COMPUTED_VALUE"""),"+ 2,7 %")</f>
        <v>+ 2,7 %</v>
      </c>
      <c r="E39" s="1" t="str">
        <f>IFERROR(__xludf.DUMMYFUNCTION("""COMPUTED_VALUE"""),"+ 6,4 %")</f>
        <v>+ 6,4 %</v>
      </c>
    </row>
    <row r="40">
      <c r="A40" s="2">
        <f>IFERROR(__xludf.DUMMYFUNCTION("""COMPUTED_VALUE"""),45017.0)</f>
        <v>45017</v>
      </c>
      <c r="B40" s="1" t="str">
        <f>IFERROR(__xludf.DUMMYFUNCTION("""COMPUTED_VALUE"""),"2.250 €/m2")</f>
        <v>2.250 €/m2</v>
      </c>
      <c r="C40" s="1" t="str">
        <f>IFERROR(__xludf.DUMMYFUNCTION("""COMPUTED_VALUE"""),"+ 0,9 %")</f>
        <v>+ 0,9 %</v>
      </c>
      <c r="D40" s="1" t="str">
        <f>IFERROR(__xludf.DUMMYFUNCTION("""COMPUTED_VALUE"""),"+ 2,5 %")</f>
        <v>+ 2,5 %</v>
      </c>
      <c r="E40" s="1" t="str">
        <f>IFERROR(__xludf.DUMMYFUNCTION("""COMPUTED_VALUE"""),"+ 7,9 %")</f>
        <v>+ 7,9 %</v>
      </c>
    </row>
    <row r="41">
      <c r="A41" s="2">
        <f>IFERROR(__xludf.DUMMYFUNCTION("""COMPUTED_VALUE"""),44986.0)</f>
        <v>44986</v>
      </c>
      <c r="B41" s="1" t="str">
        <f>IFERROR(__xludf.DUMMYFUNCTION("""COMPUTED_VALUE"""),"2.231 €/m2")</f>
        <v>2.231 €/m2</v>
      </c>
      <c r="C41" s="1" t="str">
        <f>IFERROR(__xludf.DUMMYFUNCTION("""COMPUTED_VALUE"""),"+ 2,0 %")</f>
        <v>+ 2,0 %</v>
      </c>
      <c r="D41" s="1" t="str">
        <f>IFERROR(__xludf.DUMMYFUNCTION("""COMPUTED_VALUE"""),"+ 1,5 %")</f>
        <v>+ 1,5 %</v>
      </c>
      <c r="E41" s="1" t="str">
        <f>IFERROR(__xludf.DUMMYFUNCTION("""COMPUTED_VALUE"""),"+ 8,9 %")</f>
        <v>+ 8,9 %</v>
      </c>
    </row>
    <row r="42">
      <c r="A42" s="2">
        <f>IFERROR(__xludf.DUMMYFUNCTION("""COMPUTED_VALUE"""),44958.0)</f>
        <v>44958</v>
      </c>
      <c r="B42" s="1" t="str">
        <f>IFERROR(__xludf.DUMMYFUNCTION("""COMPUTED_VALUE"""),"2.186 €/m2")</f>
        <v>2.186 €/m2</v>
      </c>
      <c r="C42" s="1" t="str">
        <f>IFERROR(__xludf.DUMMYFUNCTION("""COMPUTED_VALUE"""),"- 0,4 %")</f>
        <v>- 0,4 %</v>
      </c>
      <c r="D42" s="1" t="str">
        <f>IFERROR(__xludf.DUMMYFUNCTION("""COMPUTED_VALUE"""),"- 0,2 %")</f>
        <v>- 0,2 %</v>
      </c>
      <c r="E42" s="1" t="str">
        <f>IFERROR(__xludf.DUMMYFUNCTION("""COMPUTED_VALUE"""),"+ 7,7 %")</f>
        <v>+ 7,7 %</v>
      </c>
    </row>
    <row r="43">
      <c r="A43" s="2">
        <f>IFERROR(__xludf.DUMMYFUNCTION("""COMPUTED_VALUE"""),44927.0)</f>
        <v>44927</v>
      </c>
      <c r="B43" s="1" t="str">
        <f>IFERROR(__xludf.DUMMYFUNCTION("""COMPUTED_VALUE"""),"2.195 €/m2")</f>
        <v>2.195 €/m2</v>
      </c>
      <c r="C43" s="1" t="str">
        <f>IFERROR(__xludf.DUMMYFUNCTION("""COMPUTED_VALUE"""),"- 0,2 %")</f>
        <v>- 0,2 %</v>
      </c>
      <c r="D43" s="1" t="str">
        <f>IFERROR(__xludf.DUMMYFUNCTION("""COMPUTED_VALUE"""),"+ 1,9 %")</f>
        <v>+ 1,9 %</v>
      </c>
      <c r="E43" s="1" t="str">
        <f>IFERROR(__xludf.DUMMYFUNCTION("""COMPUTED_VALUE"""),"+ 7,7 %")</f>
        <v>+ 7,7 %</v>
      </c>
    </row>
    <row r="44">
      <c r="A44" s="2">
        <f>IFERROR(__xludf.DUMMYFUNCTION("""COMPUTED_VALUE"""),44896.0)</f>
        <v>44896</v>
      </c>
      <c r="B44" s="1" t="str">
        <f>IFERROR(__xludf.DUMMYFUNCTION("""COMPUTED_VALUE"""),"2.198 €/m2")</f>
        <v>2.198 €/m2</v>
      </c>
      <c r="C44" s="1" t="str">
        <f>IFERROR(__xludf.DUMMYFUNCTION("""COMPUTED_VALUE"""),"+ 0,3 %")</f>
        <v>+ 0,3 %</v>
      </c>
      <c r="D44" s="1" t="str">
        <f>IFERROR(__xludf.DUMMYFUNCTION("""COMPUTED_VALUE"""),"+ 2,5 %")</f>
        <v>+ 2,5 %</v>
      </c>
      <c r="E44" s="1" t="str">
        <f>IFERROR(__xludf.DUMMYFUNCTION("""COMPUTED_VALUE"""),"+ 8,6 %")</f>
        <v>+ 8,6 %</v>
      </c>
    </row>
    <row r="45">
      <c r="A45" s="2">
        <f>IFERROR(__xludf.DUMMYFUNCTION("""COMPUTED_VALUE"""),44866.0)</f>
        <v>44866</v>
      </c>
      <c r="B45" s="1" t="str">
        <f>IFERROR(__xludf.DUMMYFUNCTION("""COMPUTED_VALUE"""),"2.191 €/m2")</f>
        <v>2.191 €/m2</v>
      </c>
      <c r="C45" s="1" t="str">
        <f>IFERROR(__xludf.DUMMYFUNCTION("""COMPUTED_VALUE"""),"+ 1,8 %")</f>
        <v>+ 1,8 %</v>
      </c>
      <c r="D45" s="1" t="str">
        <f>IFERROR(__xludf.DUMMYFUNCTION("""COMPUTED_VALUE"""),"+ 2,5 %")</f>
        <v>+ 2,5 %</v>
      </c>
      <c r="E45" s="1" t="str">
        <f>IFERROR(__xludf.DUMMYFUNCTION("""COMPUTED_VALUE"""),"+ 9,7 %")</f>
        <v>+ 9,7 %</v>
      </c>
    </row>
    <row r="46">
      <c r="A46" s="2">
        <f>IFERROR(__xludf.DUMMYFUNCTION("""COMPUTED_VALUE"""),44835.0)</f>
        <v>44835</v>
      </c>
      <c r="B46" s="1" t="str">
        <f>IFERROR(__xludf.DUMMYFUNCTION("""COMPUTED_VALUE"""),"2.153 €/m2")</f>
        <v>2.153 €/m2</v>
      </c>
      <c r="C46" s="1" t="str">
        <f>IFERROR(__xludf.DUMMYFUNCTION("""COMPUTED_VALUE"""),"+ 0,4 %")</f>
        <v>+ 0,4 %</v>
      </c>
      <c r="D46" s="1" t="str">
        <f>IFERROR(__xludf.DUMMYFUNCTION("""COMPUTED_VALUE"""),"+ 1,6 %")</f>
        <v>+ 1,6 %</v>
      </c>
      <c r="E46" s="1" t="str">
        <f>IFERROR(__xludf.DUMMYFUNCTION("""COMPUTED_VALUE"""),"+ 8,2 %")</f>
        <v>+ 8,2 %</v>
      </c>
    </row>
    <row r="47">
      <c r="A47" s="2">
        <f>IFERROR(__xludf.DUMMYFUNCTION("""COMPUTED_VALUE"""),44805.0)</f>
        <v>44805</v>
      </c>
      <c r="B47" s="1" t="str">
        <f>IFERROR(__xludf.DUMMYFUNCTION("""COMPUTED_VALUE"""),"2.144 €/m2")</f>
        <v>2.144 €/m2</v>
      </c>
      <c r="C47" s="1" t="str">
        <f>IFERROR(__xludf.DUMMYFUNCTION("""COMPUTED_VALUE"""),"+ 0,3 %")</f>
        <v>+ 0,3 %</v>
      </c>
      <c r="D47" s="1" t="str">
        <f>IFERROR(__xludf.DUMMYFUNCTION("""COMPUTED_VALUE"""),"+ 0,5 %")</f>
        <v>+ 0,5 %</v>
      </c>
      <c r="E47" s="1" t="str">
        <f>IFERROR(__xludf.DUMMYFUNCTION("""COMPUTED_VALUE"""),"+ 7,0 %")</f>
        <v>+ 7,0 %</v>
      </c>
    </row>
    <row r="48">
      <c r="A48" s="2">
        <f>IFERROR(__xludf.DUMMYFUNCTION("""COMPUTED_VALUE"""),44774.0)</f>
        <v>44774</v>
      </c>
      <c r="B48" s="1" t="str">
        <f>IFERROR(__xludf.DUMMYFUNCTION("""COMPUTED_VALUE"""),"2.139 €/m2")</f>
        <v>2.139 €/m2</v>
      </c>
      <c r="C48" s="1" t="str">
        <f>IFERROR(__xludf.DUMMYFUNCTION("""COMPUTED_VALUE"""),"+ 0,9 %")</f>
        <v>+ 0,9 %</v>
      </c>
      <c r="D48" s="1" t="str">
        <f>IFERROR(__xludf.DUMMYFUNCTION("""COMPUTED_VALUE"""),"+ 1,3 %")</f>
        <v>+ 1,3 %</v>
      </c>
      <c r="E48" s="1" t="str">
        <f>IFERROR(__xludf.DUMMYFUNCTION("""COMPUTED_VALUE"""),"+ 7,7 %")</f>
        <v>+ 7,7 %</v>
      </c>
    </row>
    <row r="49">
      <c r="A49" s="2">
        <f>IFERROR(__xludf.DUMMYFUNCTION("""COMPUTED_VALUE"""),44743.0)</f>
        <v>44743</v>
      </c>
      <c r="B49" s="1" t="str">
        <f>IFERROR(__xludf.DUMMYFUNCTION("""COMPUTED_VALUE"""),"2.119 €/m2")</f>
        <v>2.119 €/m2</v>
      </c>
      <c r="C49" s="1" t="str">
        <f>IFERROR(__xludf.DUMMYFUNCTION("""COMPUTED_VALUE"""),"- 0,6 %")</f>
        <v>- 0,6 %</v>
      </c>
      <c r="D49" s="1" t="str">
        <f>IFERROR(__xludf.DUMMYFUNCTION("""COMPUTED_VALUE"""),"+ 1,6 %")</f>
        <v>+ 1,6 %</v>
      </c>
      <c r="E49" s="1" t="str">
        <f>IFERROR(__xludf.DUMMYFUNCTION("""COMPUTED_VALUE"""),"+ 6,3 %")</f>
        <v>+ 6,3 %</v>
      </c>
    </row>
    <row r="50">
      <c r="A50" s="2">
        <f>IFERROR(__xludf.DUMMYFUNCTION("""COMPUTED_VALUE"""),44713.0)</f>
        <v>44713</v>
      </c>
      <c r="B50" s="1" t="str">
        <f>IFERROR(__xludf.DUMMYFUNCTION("""COMPUTED_VALUE"""),"2.133 €/m2")</f>
        <v>2.133 €/m2</v>
      </c>
      <c r="C50" s="1" t="str">
        <f>IFERROR(__xludf.DUMMYFUNCTION("""COMPUTED_VALUE"""),"+ 1,1 %")</f>
        <v>+ 1,1 %</v>
      </c>
      <c r="D50" s="1" t="str">
        <f>IFERROR(__xludf.DUMMYFUNCTION("""COMPUTED_VALUE"""),"+ 4,1 %")</f>
        <v>+ 4,1 %</v>
      </c>
      <c r="E50" s="1" t="str">
        <f>IFERROR(__xludf.DUMMYFUNCTION("""COMPUTED_VALUE"""),"+ 6,8 %")</f>
        <v>+ 6,8 %</v>
      </c>
    </row>
    <row r="51">
      <c r="A51" s="2">
        <f>IFERROR(__xludf.DUMMYFUNCTION("""COMPUTED_VALUE"""),44682.0)</f>
        <v>44682</v>
      </c>
      <c r="B51" s="1" t="str">
        <f>IFERROR(__xludf.DUMMYFUNCTION("""COMPUTED_VALUE"""),"2.110 €/m2")</f>
        <v>2.110 €/m2</v>
      </c>
      <c r="C51" s="1" t="str">
        <f>IFERROR(__xludf.DUMMYFUNCTION("""COMPUTED_VALUE"""),"+ 1,2 %")</f>
        <v>+ 1,2 %</v>
      </c>
      <c r="D51" s="1" t="str">
        <f>IFERROR(__xludf.DUMMYFUNCTION("""COMPUTED_VALUE"""),"+ 3,9 %")</f>
        <v>+ 3,9 %</v>
      </c>
      <c r="E51" s="1" t="str">
        <f>IFERROR(__xludf.DUMMYFUNCTION("""COMPUTED_VALUE"""),"+ 6,4 %")</f>
        <v>+ 6,4 %</v>
      </c>
    </row>
    <row r="52">
      <c r="A52" s="2">
        <f>IFERROR(__xludf.DUMMYFUNCTION("""COMPUTED_VALUE"""),44652.0)</f>
        <v>44652</v>
      </c>
      <c r="B52" s="1" t="str">
        <f>IFERROR(__xludf.DUMMYFUNCTION("""COMPUTED_VALUE"""),"2.086 €/m2")</f>
        <v>2.086 €/m2</v>
      </c>
      <c r="C52" s="1" t="str">
        <f>IFERROR(__xludf.DUMMYFUNCTION("""COMPUTED_VALUE"""),"+ 1,8 %")</f>
        <v>+ 1,8 %</v>
      </c>
      <c r="D52" s="1" t="str">
        <f>IFERROR(__xludf.DUMMYFUNCTION("""COMPUTED_VALUE"""),"+ 2,4 %")</f>
        <v>+ 2,4 %</v>
      </c>
      <c r="E52" s="1" t="str">
        <f>IFERROR(__xludf.DUMMYFUNCTION("""COMPUTED_VALUE"""),"+ 6,1 %")</f>
        <v>+ 6,1 %</v>
      </c>
    </row>
    <row r="53">
      <c r="A53" s="2">
        <f>IFERROR(__xludf.DUMMYFUNCTION("""COMPUTED_VALUE"""),44621.0)</f>
        <v>44621</v>
      </c>
      <c r="B53" s="1" t="str">
        <f>IFERROR(__xludf.DUMMYFUNCTION("""COMPUTED_VALUE"""),"2.049 €/m2")</f>
        <v>2.049 €/m2</v>
      </c>
      <c r="C53" s="1" t="str">
        <f>IFERROR(__xludf.DUMMYFUNCTION("""COMPUTED_VALUE"""),"+ 0,9 %")</f>
        <v>+ 0,9 %</v>
      </c>
      <c r="D53" s="1" t="str">
        <f>IFERROR(__xludf.DUMMYFUNCTION("""COMPUTED_VALUE"""),"+ 1,2 %")</f>
        <v>+ 1,2 %</v>
      </c>
      <c r="E53" s="1" t="str">
        <f>IFERROR(__xludf.DUMMYFUNCTION("""COMPUTED_VALUE"""),"+ 5,8 %")</f>
        <v>+ 5,8 %</v>
      </c>
    </row>
    <row r="54">
      <c r="A54" s="2">
        <f>IFERROR(__xludf.DUMMYFUNCTION("""COMPUTED_VALUE"""),44593.0)</f>
        <v>44593</v>
      </c>
      <c r="B54" s="1" t="str">
        <f>IFERROR(__xludf.DUMMYFUNCTION("""COMPUTED_VALUE"""),"2.031 €/m2")</f>
        <v>2.031 €/m2</v>
      </c>
      <c r="C54" s="1" t="str">
        <f>IFERROR(__xludf.DUMMYFUNCTION("""COMPUTED_VALUE"""),"- 0,3 %")</f>
        <v>- 0,3 %</v>
      </c>
      <c r="D54" s="1" t="str">
        <f>IFERROR(__xludf.DUMMYFUNCTION("""COMPUTED_VALUE"""),"+ 1,7 %")</f>
        <v>+ 1,7 %</v>
      </c>
      <c r="E54" s="1" t="str">
        <f>IFERROR(__xludf.DUMMYFUNCTION("""COMPUTED_VALUE"""),"+ 5,1 %")</f>
        <v>+ 5,1 %</v>
      </c>
    </row>
    <row r="55">
      <c r="A55" s="2">
        <f>IFERROR(__xludf.DUMMYFUNCTION("""COMPUTED_VALUE"""),44562.0)</f>
        <v>44562</v>
      </c>
      <c r="B55" s="1" t="str">
        <f>IFERROR(__xludf.DUMMYFUNCTION("""COMPUTED_VALUE"""),"2.037 €/m2")</f>
        <v>2.037 €/m2</v>
      </c>
      <c r="C55" s="1" t="str">
        <f>IFERROR(__xludf.DUMMYFUNCTION("""COMPUTED_VALUE"""),"+ 0,6 %")</f>
        <v>+ 0,6 %</v>
      </c>
      <c r="D55" s="1" t="str">
        <f>IFERROR(__xludf.DUMMYFUNCTION("""COMPUTED_VALUE"""),"+ 2,4 %")</f>
        <v>+ 2,4 %</v>
      </c>
      <c r="E55" s="1" t="str">
        <f>IFERROR(__xludf.DUMMYFUNCTION("""COMPUTED_VALUE"""),"+ 4,6 %")</f>
        <v>+ 4,6 %</v>
      </c>
    </row>
    <row r="56">
      <c r="A56" s="2">
        <f>IFERROR(__xludf.DUMMYFUNCTION("""COMPUTED_VALUE"""),44531.0)</f>
        <v>44531</v>
      </c>
      <c r="B56" s="1" t="str">
        <f>IFERROR(__xludf.DUMMYFUNCTION("""COMPUTED_VALUE"""),"2.025 €/m2")</f>
        <v>2.025 €/m2</v>
      </c>
      <c r="C56" s="1" t="str">
        <f>IFERROR(__xludf.DUMMYFUNCTION("""COMPUTED_VALUE"""),"+ 1,4 %")</f>
        <v>+ 1,4 %</v>
      </c>
      <c r="D56" s="1" t="str">
        <f>IFERROR(__xludf.DUMMYFUNCTION("""COMPUTED_VALUE"""),"+ 1,0 %")</f>
        <v>+ 1,0 %</v>
      </c>
      <c r="E56" s="1" t="str">
        <f>IFERROR(__xludf.DUMMYFUNCTION("""COMPUTED_VALUE"""),"+ 3,5 %")</f>
        <v>+ 3,5 %</v>
      </c>
    </row>
    <row r="57">
      <c r="A57" s="2">
        <f>IFERROR(__xludf.DUMMYFUNCTION("""COMPUTED_VALUE"""),44501.0)</f>
        <v>44501</v>
      </c>
      <c r="B57" s="1" t="str">
        <f>IFERROR(__xludf.DUMMYFUNCTION("""COMPUTED_VALUE"""),"1.997 €/m2")</f>
        <v>1.997 €/m2</v>
      </c>
      <c r="C57" s="1" t="str">
        <f>IFERROR(__xludf.DUMMYFUNCTION("""COMPUTED_VALUE"""),"+ 0,4 %")</f>
        <v>+ 0,4 %</v>
      </c>
      <c r="D57" s="1" t="str">
        <f>IFERROR(__xludf.DUMMYFUNCTION("""COMPUTED_VALUE"""),"+ 0,5 %")</f>
        <v>+ 0,5 %</v>
      </c>
      <c r="E57" s="1" t="str">
        <f>IFERROR(__xludf.DUMMYFUNCTION("""COMPUTED_VALUE"""),"+ 2,0 %")</f>
        <v>+ 2,0 %</v>
      </c>
    </row>
    <row r="58">
      <c r="A58" s="2">
        <f>IFERROR(__xludf.DUMMYFUNCTION("""COMPUTED_VALUE"""),44470.0)</f>
        <v>44470</v>
      </c>
      <c r="B58" s="1" t="str">
        <f>IFERROR(__xludf.DUMMYFUNCTION("""COMPUTED_VALUE"""),"1.989 €/m2")</f>
        <v>1.989 €/m2</v>
      </c>
      <c r="C58" s="1" t="str">
        <f>IFERROR(__xludf.DUMMYFUNCTION("""COMPUTED_VALUE"""),"- 0,7 %")</f>
        <v>- 0,7 %</v>
      </c>
      <c r="D58" s="1" t="str">
        <f>IFERROR(__xludf.DUMMYFUNCTION("""COMPUTED_VALUE"""),"- 0,2 %")</f>
        <v>- 0,2 %</v>
      </c>
      <c r="E58" s="1" t="str">
        <f>IFERROR(__xludf.DUMMYFUNCTION("""COMPUTED_VALUE"""),"+ 0,9 %")</f>
        <v>+ 0,9 %</v>
      </c>
    </row>
    <row r="59">
      <c r="A59" s="2">
        <f>IFERROR(__xludf.DUMMYFUNCTION("""COMPUTED_VALUE"""),44440.0)</f>
        <v>44440</v>
      </c>
      <c r="B59" s="1" t="str">
        <f>IFERROR(__xludf.DUMMYFUNCTION("""COMPUTED_VALUE"""),"2.004 €/m2")</f>
        <v>2.004 €/m2</v>
      </c>
      <c r="C59" s="1" t="str">
        <f>IFERROR(__xludf.DUMMYFUNCTION("""COMPUTED_VALUE"""),"+ 0,9 %")</f>
        <v>+ 0,9 %</v>
      </c>
      <c r="D59" s="1" t="str">
        <f>IFERROR(__xludf.DUMMYFUNCTION("""COMPUTED_VALUE"""),"+ 0,4 %")</f>
        <v>+ 0,4 %</v>
      </c>
      <c r="E59" s="1" t="str">
        <f>IFERROR(__xludf.DUMMYFUNCTION("""COMPUTED_VALUE"""),"+ 1,1 %")</f>
        <v>+ 1,1 %</v>
      </c>
    </row>
    <row r="60">
      <c r="A60" s="2">
        <f>IFERROR(__xludf.DUMMYFUNCTION("""COMPUTED_VALUE"""),44409.0)</f>
        <v>44409</v>
      </c>
      <c r="B60" s="1" t="str">
        <f>IFERROR(__xludf.DUMMYFUNCTION("""COMPUTED_VALUE"""),"1.986 €/m2")</f>
        <v>1.986 €/m2</v>
      </c>
      <c r="C60" s="1" t="str">
        <f>IFERROR(__xludf.DUMMYFUNCTION("""COMPUTED_VALUE"""),"- 0,4 %")</f>
        <v>- 0,4 %</v>
      </c>
      <c r="D60" s="1" t="str">
        <f>IFERROR(__xludf.DUMMYFUNCTION("""COMPUTED_VALUE"""),"+ 0,1 %")</f>
        <v>+ 0,1 %</v>
      </c>
      <c r="E60" s="1" t="str">
        <f>IFERROR(__xludf.DUMMYFUNCTION("""COMPUTED_VALUE"""),"+ 1,6 %")</f>
        <v>+ 1,6 %</v>
      </c>
    </row>
    <row r="61">
      <c r="A61" s="2">
        <f>IFERROR(__xludf.DUMMYFUNCTION("""COMPUTED_VALUE"""),44378.0)</f>
        <v>44378</v>
      </c>
      <c r="B61" s="1" t="str">
        <f>IFERROR(__xludf.DUMMYFUNCTION("""COMPUTED_VALUE"""),"1.994 €/m2")</f>
        <v>1.994 €/m2</v>
      </c>
      <c r="C61" s="1" t="str">
        <f>IFERROR(__xludf.DUMMYFUNCTION("""COMPUTED_VALUE"""),"- 0,2 %")</f>
        <v>- 0,2 %</v>
      </c>
      <c r="D61" s="1" t="str">
        <f>IFERROR(__xludf.DUMMYFUNCTION("""COMPUTED_VALUE"""),"+ 1,4 %")</f>
        <v>+ 1,4 %</v>
      </c>
      <c r="E61" s="1" t="str">
        <f>IFERROR(__xludf.DUMMYFUNCTION("""COMPUTED_VALUE"""),"- 0,2 %")</f>
        <v>- 0,2 %</v>
      </c>
    </row>
    <row r="62">
      <c r="A62" s="2">
        <f>IFERROR(__xludf.DUMMYFUNCTION("""COMPUTED_VALUE"""),44348.0)</f>
        <v>44348</v>
      </c>
      <c r="B62" s="1" t="str">
        <f>IFERROR(__xludf.DUMMYFUNCTION("""COMPUTED_VALUE"""),"1.997 €/m2")</f>
        <v>1.997 €/m2</v>
      </c>
      <c r="C62" s="1" t="str">
        <f>IFERROR(__xludf.DUMMYFUNCTION("""COMPUTED_VALUE"""),"+ 0,7 %")</f>
        <v>+ 0,7 %</v>
      </c>
      <c r="D62" s="1" t="str">
        <f>IFERROR(__xludf.DUMMYFUNCTION("""COMPUTED_VALUE"""),"+ 3,1 %")</f>
        <v>+ 3,1 %</v>
      </c>
      <c r="E62" s="1" t="str">
        <f>IFERROR(__xludf.DUMMYFUNCTION("""COMPUTED_VALUE"""),"- 3,8 %")</f>
        <v>- 3,8 %</v>
      </c>
    </row>
    <row r="63">
      <c r="A63" s="2">
        <f>IFERROR(__xludf.DUMMYFUNCTION("""COMPUTED_VALUE"""),44317.0)</f>
        <v>44317</v>
      </c>
      <c r="B63" s="1" t="str">
        <f>IFERROR(__xludf.DUMMYFUNCTION("""COMPUTED_VALUE"""),"1.984 €/m2")</f>
        <v>1.984 €/m2</v>
      </c>
      <c r="C63" s="1" t="str">
        <f>IFERROR(__xludf.DUMMYFUNCTION("""COMPUTED_VALUE"""),"+ 0,9 %")</f>
        <v>+ 0,9 %</v>
      </c>
      <c r="D63" s="1" t="str">
        <f>IFERROR(__xludf.DUMMYFUNCTION("""COMPUTED_VALUE"""),"+ 2,7 %")</f>
        <v>+ 2,7 %</v>
      </c>
      <c r="E63" s="1" t="str">
        <f>IFERROR(__xludf.DUMMYFUNCTION("""COMPUTED_VALUE"""),"- 4,4 %")</f>
        <v>- 4,4 %</v>
      </c>
    </row>
    <row r="64">
      <c r="A64" s="2">
        <f>IFERROR(__xludf.DUMMYFUNCTION("""COMPUTED_VALUE"""),44287.0)</f>
        <v>44287</v>
      </c>
      <c r="B64" s="1" t="str">
        <f>IFERROR(__xludf.DUMMYFUNCTION("""COMPUTED_VALUE"""),"1.966 €/m2")</f>
        <v>1.966 €/m2</v>
      </c>
      <c r="C64" s="1" t="str">
        <f>IFERROR(__xludf.DUMMYFUNCTION("""COMPUTED_VALUE"""),"+ 1,5 %")</f>
        <v>+ 1,5 %</v>
      </c>
      <c r="D64" s="1" t="str">
        <f>IFERROR(__xludf.DUMMYFUNCTION("""COMPUTED_VALUE"""),"+ 0,9 %")</f>
        <v>+ 0,9 %</v>
      </c>
      <c r="E64" s="1" t="str">
        <f>IFERROR(__xludf.DUMMYFUNCTION("""COMPUTED_VALUE"""),"- 4,9 %")</f>
        <v>- 4,9 %</v>
      </c>
    </row>
    <row r="65">
      <c r="A65" s="2">
        <f>IFERROR(__xludf.DUMMYFUNCTION("""COMPUTED_VALUE"""),44256.0)</f>
        <v>44256</v>
      </c>
      <c r="B65" s="1" t="str">
        <f>IFERROR(__xludf.DUMMYFUNCTION("""COMPUTED_VALUE"""),"1.936 €/m2")</f>
        <v>1.936 €/m2</v>
      </c>
      <c r="C65" s="1" t="str">
        <f>IFERROR(__xludf.DUMMYFUNCTION("""COMPUTED_VALUE"""),"+ 0,3 %")</f>
        <v>+ 0,3 %</v>
      </c>
      <c r="D65" s="1" t="str">
        <f>IFERROR(__xludf.DUMMYFUNCTION("""COMPUTED_VALUE"""),"- 1,0 %")</f>
        <v>- 1,0 %</v>
      </c>
      <c r="E65" s="1" t="str">
        <f>IFERROR(__xludf.DUMMYFUNCTION("""COMPUTED_VALUE"""),"- 6,1 %")</f>
        <v>- 6,1 %</v>
      </c>
    </row>
    <row r="66">
      <c r="A66" s="2">
        <f>IFERROR(__xludf.DUMMYFUNCTION("""COMPUTED_VALUE"""),44228.0)</f>
        <v>44228</v>
      </c>
      <c r="B66" s="1" t="str">
        <f>IFERROR(__xludf.DUMMYFUNCTION("""COMPUTED_VALUE"""),"1.931 €/m2")</f>
        <v>1.931 €/m2</v>
      </c>
      <c r="C66" s="1" t="str">
        <f>IFERROR(__xludf.DUMMYFUNCTION("""COMPUTED_VALUE"""),"- 0,9 %")</f>
        <v>- 0,9 %</v>
      </c>
      <c r="D66" s="1" t="str">
        <f>IFERROR(__xludf.DUMMYFUNCTION("""COMPUTED_VALUE"""),"- 1,4 %")</f>
        <v>- 1,4 %</v>
      </c>
      <c r="E66" s="1" t="str">
        <f>IFERROR(__xludf.DUMMYFUNCTION("""COMPUTED_VALUE"""),"- 6,4 %")</f>
        <v>- 6,4 %</v>
      </c>
    </row>
    <row r="67">
      <c r="A67" s="2">
        <f>IFERROR(__xludf.DUMMYFUNCTION("""COMPUTED_VALUE"""),44197.0)</f>
        <v>44197</v>
      </c>
      <c r="B67" s="1" t="str">
        <f>IFERROR(__xludf.DUMMYFUNCTION("""COMPUTED_VALUE"""),"1.948 €/m2")</f>
        <v>1.948 €/m2</v>
      </c>
      <c r="C67" s="1" t="str">
        <f>IFERROR(__xludf.DUMMYFUNCTION("""COMPUTED_VALUE"""),"- 0,4 %")</f>
        <v>- 0,4 %</v>
      </c>
      <c r="D67" s="1" t="str">
        <f>IFERROR(__xludf.DUMMYFUNCTION("""COMPUTED_VALUE"""),"- 1,2 %")</f>
        <v>- 1,2 %</v>
      </c>
      <c r="E67" s="1" t="str">
        <f>IFERROR(__xludf.DUMMYFUNCTION("""COMPUTED_VALUE"""),"- 5,0 %")</f>
        <v>- 5,0 %</v>
      </c>
    </row>
    <row r="68">
      <c r="A68" s="2">
        <f>IFERROR(__xludf.DUMMYFUNCTION("""COMPUTED_VALUE"""),44166.0)</f>
        <v>44166</v>
      </c>
      <c r="B68" s="1" t="str">
        <f>IFERROR(__xludf.DUMMYFUNCTION("""COMPUTED_VALUE"""),"1.956 €/m2")</f>
        <v>1.956 €/m2</v>
      </c>
      <c r="C68" s="1" t="str">
        <f>IFERROR(__xludf.DUMMYFUNCTION("""COMPUTED_VALUE"""),"- 0,1 %")</f>
        <v>- 0,1 %</v>
      </c>
      <c r="D68" s="1" t="str">
        <f>IFERROR(__xludf.DUMMYFUNCTION("""COMPUTED_VALUE"""),"- 1,3 %")</f>
        <v>- 1,3 %</v>
      </c>
      <c r="E68" s="1" t="str">
        <f>IFERROR(__xludf.DUMMYFUNCTION("""COMPUTED_VALUE"""),"- 4,4 %")</f>
        <v>- 4,4 %</v>
      </c>
    </row>
    <row r="69">
      <c r="A69" s="2">
        <f>IFERROR(__xludf.DUMMYFUNCTION("""COMPUTED_VALUE"""),44136.0)</f>
        <v>44136</v>
      </c>
      <c r="B69" s="1" t="str">
        <f>IFERROR(__xludf.DUMMYFUNCTION("""COMPUTED_VALUE"""),"1.958 €/m2")</f>
        <v>1.958 €/m2</v>
      </c>
      <c r="C69" s="1" t="str">
        <f>IFERROR(__xludf.DUMMYFUNCTION("""COMPUTED_VALUE"""),"- 0,7 %")</f>
        <v>- 0,7 %</v>
      </c>
      <c r="D69" s="1" t="str">
        <f>IFERROR(__xludf.DUMMYFUNCTION("""COMPUTED_VALUE"""),"+ 0,1 %")</f>
        <v>+ 0,1 %</v>
      </c>
      <c r="E69" s="1" t="str">
        <f>IFERROR(__xludf.DUMMYFUNCTION("""COMPUTED_VALUE"""),"- 4,2 %")</f>
        <v>- 4,2 %</v>
      </c>
    </row>
    <row r="70">
      <c r="A70" s="2">
        <f>IFERROR(__xludf.DUMMYFUNCTION("""COMPUTED_VALUE"""),44105.0)</f>
        <v>44105</v>
      </c>
      <c r="B70" s="1" t="str">
        <f>IFERROR(__xludf.DUMMYFUNCTION("""COMPUTED_VALUE"""),"1.972 €/m2")</f>
        <v>1.972 €/m2</v>
      </c>
      <c r="C70" s="1" t="str">
        <f>IFERROR(__xludf.DUMMYFUNCTION("""COMPUTED_VALUE"""),"- 0,5 %")</f>
        <v>- 0,5 %</v>
      </c>
      <c r="D70" s="1" t="str">
        <f>IFERROR(__xludf.DUMMYFUNCTION("""COMPUTED_VALUE"""),"- 1,3 %")</f>
        <v>- 1,3 %</v>
      </c>
      <c r="E70" s="1" t="str">
        <f>IFERROR(__xludf.DUMMYFUNCTION("""COMPUTED_VALUE"""),"- 3,6 %")</f>
        <v>- 3,6 %</v>
      </c>
    </row>
    <row r="71">
      <c r="A71" s="2">
        <f>IFERROR(__xludf.DUMMYFUNCTION("""COMPUTED_VALUE"""),44075.0)</f>
        <v>44075</v>
      </c>
      <c r="B71" s="1" t="str">
        <f>IFERROR(__xludf.DUMMYFUNCTION("""COMPUTED_VALUE"""),"1.982 €/m2")</f>
        <v>1.982 €/m2</v>
      </c>
      <c r="C71" s="1" t="str">
        <f>IFERROR(__xludf.DUMMYFUNCTION("""COMPUTED_VALUE"""),"+ 1,4 %")</f>
        <v>+ 1,4 %</v>
      </c>
      <c r="D71" s="1" t="str">
        <f>IFERROR(__xludf.DUMMYFUNCTION("""COMPUTED_VALUE"""),"- 4,5 %")</f>
        <v>- 4,5 %</v>
      </c>
      <c r="E71" s="1" t="str">
        <f>IFERROR(__xludf.DUMMYFUNCTION("""COMPUTED_VALUE"""),"- 2,9 %")</f>
        <v>- 2,9 %</v>
      </c>
    </row>
    <row r="72">
      <c r="A72" s="2">
        <f>IFERROR(__xludf.DUMMYFUNCTION("""COMPUTED_VALUE"""),44044.0)</f>
        <v>44044</v>
      </c>
      <c r="B72" s="1" t="str">
        <f>IFERROR(__xludf.DUMMYFUNCTION("""COMPUTED_VALUE"""),"1.955 €/m2")</f>
        <v>1.955 €/m2</v>
      </c>
      <c r="C72" s="1" t="str">
        <f>IFERROR(__xludf.DUMMYFUNCTION("""COMPUTED_VALUE"""),"- 2,1 %")</f>
        <v>- 2,1 %</v>
      </c>
      <c r="D72" s="1" t="str">
        <f>IFERROR(__xludf.DUMMYFUNCTION("""COMPUTED_VALUE"""),"- 5,8 %")</f>
        <v>- 5,8 %</v>
      </c>
      <c r="E72" s="1" t="str">
        <f>IFERROR(__xludf.DUMMYFUNCTION("""COMPUTED_VALUE"""),"- 5,0 %")</f>
        <v>- 5,0 %</v>
      </c>
    </row>
    <row r="73">
      <c r="A73" s="2">
        <f>IFERROR(__xludf.DUMMYFUNCTION("""COMPUTED_VALUE"""),44013.0)</f>
        <v>44013</v>
      </c>
      <c r="B73" s="1" t="str">
        <f>IFERROR(__xludf.DUMMYFUNCTION("""COMPUTED_VALUE"""),"1.997 €/m2")</f>
        <v>1.997 €/m2</v>
      </c>
      <c r="C73" s="1" t="str">
        <f>IFERROR(__xludf.DUMMYFUNCTION("""COMPUTED_VALUE"""),"- 3,8 %")</f>
        <v>- 3,8 %</v>
      </c>
      <c r="D73" s="1" t="str">
        <f>IFERROR(__xludf.DUMMYFUNCTION("""COMPUTED_VALUE"""),"- 3,4 %")</f>
        <v>- 3,4 %</v>
      </c>
      <c r="E73" s="1" t="str">
        <f>IFERROR(__xludf.DUMMYFUNCTION("""COMPUTED_VALUE"""),"- 2,3 %")</f>
        <v>- 2,3 %</v>
      </c>
    </row>
    <row r="74">
      <c r="A74" s="2">
        <f>IFERROR(__xludf.DUMMYFUNCTION("""COMPUTED_VALUE"""),43983.0)</f>
        <v>43983</v>
      </c>
      <c r="B74" s="1" t="str">
        <f>IFERROR(__xludf.DUMMYFUNCTION("""COMPUTED_VALUE"""),"2.076 €/m2")</f>
        <v>2.076 €/m2</v>
      </c>
      <c r="C74" s="1" t="str">
        <f>IFERROR(__xludf.DUMMYFUNCTION("""COMPUTED_VALUE"""),"n.d.")</f>
        <v>n.d.</v>
      </c>
      <c r="D74" s="1" t="str">
        <f>IFERROR(__xludf.DUMMYFUNCTION("""COMPUTED_VALUE"""),"+ 0,6 %")</f>
        <v>+ 0,6 %</v>
      </c>
      <c r="E74" s="1" t="str">
        <f>IFERROR(__xludf.DUMMYFUNCTION("""COMPUTED_VALUE"""),"+ 0,3 %")</f>
        <v>+ 0,3 %</v>
      </c>
    </row>
    <row r="75">
      <c r="A75" s="2">
        <f>IFERROR(__xludf.DUMMYFUNCTION("""COMPUTED_VALUE"""),43952.0)</f>
        <v>43952</v>
      </c>
      <c r="B75" s="1" t="str">
        <f>IFERROR(__xludf.DUMMYFUNCTION("""COMPUTED_VALUE"""),"2.076 €/m2")</f>
        <v>2.076 €/m2</v>
      </c>
      <c r="C75" s="1" t="str">
        <f>IFERROR(__xludf.DUMMYFUNCTION("""COMPUTED_VALUE"""),"+ 0,4 %")</f>
        <v>+ 0,4 %</v>
      </c>
      <c r="D75" s="1" t="str">
        <f>IFERROR(__xludf.DUMMYFUNCTION("""COMPUTED_VALUE"""),"+ 0,6 %")</f>
        <v>+ 0,6 %</v>
      </c>
      <c r="E75" s="1" t="str">
        <f>IFERROR(__xludf.DUMMYFUNCTION("""COMPUTED_VALUE"""),"+ 1,6 %")</f>
        <v>+ 1,6 %</v>
      </c>
    </row>
    <row r="76">
      <c r="A76" s="2">
        <f>IFERROR(__xludf.DUMMYFUNCTION("""COMPUTED_VALUE"""),43922.0)</f>
        <v>43922</v>
      </c>
      <c r="B76" s="1" t="str">
        <f>IFERROR(__xludf.DUMMYFUNCTION("""COMPUTED_VALUE"""),"2.067 €/m2")</f>
        <v>2.067 €/m2</v>
      </c>
      <c r="C76" s="1" t="str">
        <f>IFERROR(__xludf.DUMMYFUNCTION("""COMPUTED_VALUE"""),"+ 0,2 %")</f>
        <v>+ 0,2 %</v>
      </c>
      <c r="D76" s="1" t="str">
        <f>IFERROR(__xludf.DUMMYFUNCTION("""COMPUTED_VALUE"""),"+ 0,8 %")</f>
        <v>+ 0,8 %</v>
      </c>
      <c r="E76" s="1" t="str">
        <f>IFERROR(__xludf.DUMMYFUNCTION("""COMPUTED_VALUE"""),"+ 2,1 %")</f>
        <v>+ 2,1 %</v>
      </c>
    </row>
    <row r="77">
      <c r="A77" s="2">
        <f>IFERROR(__xludf.DUMMYFUNCTION("""COMPUTED_VALUE"""),43891.0)</f>
        <v>43891</v>
      </c>
      <c r="B77" s="1" t="str">
        <f>IFERROR(__xludf.DUMMYFUNCTION("""COMPUTED_VALUE"""),"2.063 €/m2")</f>
        <v>2.063 €/m2</v>
      </c>
      <c r="C77" s="1" t="str">
        <f>IFERROR(__xludf.DUMMYFUNCTION("""COMPUTED_VALUE"""),"0,0 %")</f>
        <v>0,0 %</v>
      </c>
      <c r="D77" s="1" t="str">
        <f>IFERROR(__xludf.DUMMYFUNCTION("""COMPUTED_VALUE"""),"+ 0,8 %")</f>
        <v>+ 0,8 %</v>
      </c>
      <c r="E77" s="1" t="str">
        <f>IFERROR(__xludf.DUMMYFUNCTION("""COMPUTED_VALUE"""),"+ 0,8 %")</f>
        <v>+ 0,8 %</v>
      </c>
    </row>
    <row r="78">
      <c r="A78" s="2">
        <f>IFERROR(__xludf.DUMMYFUNCTION("""COMPUTED_VALUE"""),43862.0)</f>
        <v>43862</v>
      </c>
      <c r="B78" s="1" t="str">
        <f>IFERROR(__xludf.DUMMYFUNCTION("""COMPUTED_VALUE"""),"2.063 €/m2")</f>
        <v>2.063 €/m2</v>
      </c>
      <c r="C78" s="1" t="str">
        <f>IFERROR(__xludf.DUMMYFUNCTION("""COMPUTED_VALUE"""),"+ 0,6 %")</f>
        <v>+ 0,6 %</v>
      </c>
      <c r="D78" s="1" t="str">
        <f>IFERROR(__xludf.DUMMYFUNCTION("""COMPUTED_VALUE"""),"+ 0,9 %")</f>
        <v>+ 0,9 %</v>
      </c>
      <c r="E78" s="1" t="str">
        <f>IFERROR(__xludf.DUMMYFUNCTION("""COMPUTED_VALUE"""),"+ 1,1 %")</f>
        <v>+ 1,1 %</v>
      </c>
    </row>
    <row r="79">
      <c r="A79" s="2">
        <f>IFERROR(__xludf.DUMMYFUNCTION("""COMPUTED_VALUE"""),43831.0)</f>
        <v>43831</v>
      </c>
      <c r="B79" s="1" t="str">
        <f>IFERROR(__xludf.DUMMYFUNCTION("""COMPUTED_VALUE"""),"2.050 €/m2")</f>
        <v>2.050 €/m2</v>
      </c>
      <c r="C79" s="1" t="str">
        <f>IFERROR(__xludf.DUMMYFUNCTION("""COMPUTED_VALUE"""),"+ 0,2 %")</f>
        <v>+ 0,2 %</v>
      </c>
      <c r="D79" s="1" t="str">
        <f>IFERROR(__xludf.DUMMYFUNCTION("""COMPUTED_VALUE"""),"+ 0,2 %")</f>
        <v>+ 0,2 %</v>
      </c>
      <c r="E79" s="1" t="str">
        <f>IFERROR(__xludf.DUMMYFUNCTION("""COMPUTED_VALUE"""),"+ 3,1 %")</f>
        <v>+ 3,1 %</v>
      </c>
    </row>
    <row r="80">
      <c r="A80" s="2">
        <f>IFERROR(__xludf.DUMMYFUNCTION("""COMPUTED_VALUE"""),43800.0)</f>
        <v>43800</v>
      </c>
      <c r="B80" s="1" t="str">
        <f>IFERROR(__xludf.DUMMYFUNCTION("""COMPUTED_VALUE"""),"2.046 €/m2")</f>
        <v>2.046 €/m2</v>
      </c>
      <c r="C80" s="1" t="str">
        <f>IFERROR(__xludf.DUMMYFUNCTION("""COMPUTED_VALUE"""),"0,0 %")</f>
        <v>0,0 %</v>
      </c>
      <c r="D80" s="1" t="str">
        <f>IFERROR(__xludf.DUMMYFUNCTION("""COMPUTED_VALUE"""),"+ 0,2 %")</f>
        <v>+ 0,2 %</v>
      </c>
      <c r="E80" s="1" t="str">
        <f>IFERROR(__xludf.DUMMYFUNCTION("""COMPUTED_VALUE"""),"+ 3,8 %")</f>
        <v>+ 3,8 %</v>
      </c>
    </row>
    <row r="81">
      <c r="A81" s="2">
        <f>IFERROR(__xludf.DUMMYFUNCTION("""COMPUTED_VALUE"""),43770.0)</f>
        <v>43770</v>
      </c>
      <c r="B81" s="1" t="str">
        <f>IFERROR(__xludf.DUMMYFUNCTION("""COMPUTED_VALUE"""),"2.045 €/m2")</f>
        <v>2.045 €/m2</v>
      </c>
      <c r="C81" s="1" t="str">
        <f>IFERROR(__xludf.DUMMYFUNCTION("""COMPUTED_VALUE"""),"- 0,1 %")</f>
        <v>- 0,1 %</v>
      </c>
      <c r="D81" s="1" t="str">
        <f>IFERROR(__xludf.DUMMYFUNCTION("""COMPUTED_VALUE"""),"- 0,7 %")</f>
        <v>- 0,7 %</v>
      </c>
      <c r="E81" s="1" t="str">
        <f>IFERROR(__xludf.DUMMYFUNCTION("""COMPUTED_VALUE"""),"+ 3,9 %")</f>
        <v>+ 3,9 %</v>
      </c>
    </row>
    <row r="82">
      <c r="A82" s="2">
        <f>IFERROR(__xludf.DUMMYFUNCTION("""COMPUTED_VALUE"""),43739.0)</f>
        <v>43739</v>
      </c>
      <c r="B82" s="1" t="str">
        <f>IFERROR(__xludf.DUMMYFUNCTION("""COMPUTED_VALUE"""),"2.046 €/m2")</f>
        <v>2.046 €/m2</v>
      </c>
      <c r="C82" s="1" t="str">
        <f>IFERROR(__xludf.DUMMYFUNCTION("""COMPUTED_VALUE"""),"+ 0,2 %")</f>
        <v>+ 0,2 %</v>
      </c>
      <c r="D82" s="1" t="str">
        <f>IFERROR(__xludf.DUMMYFUNCTION("""COMPUTED_VALUE"""),"+ 0,2 %")</f>
        <v>+ 0,2 %</v>
      </c>
      <c r="E82" s="1" t="str">
        <f>IFERROR(__xludf.DUMMYFUNCTION("""COMPUTED_VALUE"""),"+ 3,9 %")</f>
        <v>+ 3,9 %</v>
      </c>
    </row>
    <row r="83">
      <c r="A83" s="2">
        <f>IFERROR(__xludf.DUMMYFUNCTION("""COMPUTED_VALUE"""),43709.0)</f>
        <v>43709</v>
      </c>
      <c r="B83" s="1" t="str">
        <f>IFERROR(__xludf.DUMMYFUNCTION("""COMPUTED_VALUE"""),"2.041 €/m2")</f>
        <v>2.041 €/m2</v>
      </c>
      <c r="C83" s="1" t="str">
        <f>IFERROR(__xludf.DUMMYFUNCTION("""COMPUTED_VALUE"""),"- 0,9 %")</f>
        <v>- 0,9 %</v>
      </c>
      <c r="D83" s="1" t="str">
        <f>IFERROR(__xludf.DUMMYFUNCTION("""COMPUTED_VALUE"""),"- 1,3 %")</f>
        <v>- 1,3 %</v>
      </c>
      <c r="E83" s="1" t="str">
        <f>IFERROR(__xludf.DUMMYFUNCTION("""COMPUTED_VALUE"""),"+ 3,6 %")</f>
        <v>+ 3,6 %</v>
      </c>
    </row>
    <row r="84">
      <c r="A84" s="2">
        <f>IFERROR(__xludf.DUMMYFUNCTION("""COMPUTED_VALUE"""),43678.0)</f>
        <v>43678</v>
      </c>
      <c r="B84" s="1" t="str">
        <f>IFERROR(__xludf.DUMMYFUNCTION("""COMPUTED_VALUE"""),"2.059 €/m2")</f>
        <v>2.059 €/m2</v>
      </c>
      <c r="C84" s="1" t="str">
        <f>IFERROR(__xludf.DUMMYFUNCTION("""COMPUTED_VALUE"""),"+ 0,8 %")</f>
        <v>+ 0,8 %</v>
      </c>
      <c r="D84" s="1" t="str">
        <f>IFERROR(__xludf.DUMMYFUNCTION("""COMPUTED_VALUE"""),"+ 0,8 %")</f>
        <v>+ 0,8 %</v>
      </c>
      <c r="E84" s="1" t="str">
        <f>IFERROR(__xludf.DUMMYFUNCTION("""COMPUTED_VALUE"""),"+ 7,6 %")</f>
        <v>+ 7,6 %</v>
      </c>
    </row>
    <row r="85">
      <c r="A85" s="2">
        <f>IFERROR(__xludf.DUMMYFUNCTION("""COMPUTED_VALUE"""),43647.0)</f>
        <v>43647</v>
      </c>
      <c r="B85" s="1" t="str">
        <f>IFERROR(__xludf.DUMMYFUNCTION("""COMPUTED_VALUE"""),"2.043 €/m2")</f>
        <v>2.043 €/m2</v>
      </c>
      <c r="C85" s="1" t="str">
        <f>IFERROR(__xludf.DUMMYFUNCTION("""COMPUTED_VALUE"""),"- 1,2 %")</f>
        <v>- 1,2 %</v>
      </c>
      <c r="D85" s="1" t="str">
        <f>IFERROR(__xludf.DUMMYFUNCTION("""COMPUTED_VALUE"""),"+ 0,9 %")</f>
        <v>+ 0,9 %</v>
      </c>
      <c r="E85" s="1" t="str">
        <f>IFERROR(__xludf.DUMMYFUNCTION("""COMPUTED_VALUE"""),"+ 7,8 %")</f>
        <v>+ 7,8 %</v>
      </c>
    </row>
    <row r="86">
      <c r="A86" s="2">
        <f>IFERROR(__xludf.DUMMYFUNCTION("""COMPUTED_VALUE"""),43617.0)</f>
        <v>43617</v>
      </c>
      <c r="B86" s="1" t="str">
        <f>IFERROR(__xludf.DUMMYFUNCTION("""COMPUTED_VALUE"""),"2.069 €/m2")</f>
        <v>2.069 €/m2</v>
      </c>
      <c r="C86" s="1" t="str">
        <f>IFERROR(__xludf.DUMMYFUNCTION("""COMPUTED_VALUE"""),"+ 1,3 %")</f>
        <v>+ 1,3 %</v>
      </c>
      <c r="D86" s="1" t="str">
        <f>IFERROR(__xludf.DUMMYFUNCTION("""COMPUTED_VALUE"""),"+ 1,1 %")</f>
        <v>+ 1,1 %</v>
      </c>
      <c r="E86" s="1" t="str">
        <f>IFERROR(__xludf.DUMMYFUNCTION("""COMPUTED_VALUE"""),"+ 10,3 %")</f>
        <v>+ 10,3 %</v>
      </c>
    </row>
    <row r="87">
      <c r="A87" s="2">
        <f>IFERROR(__xludf.DUMMYFUNCTION("""COMPUTED_VALUE"""),43586.0)</f>
        <v>43586</v>
      </c>
      <c r="B87" s="1" t="str">
        <f>IFERROR(__xludf.DUMMYFUNCTION("""COMPUTED_VALUE"""),"2.042 €/m2")</f>
        <v>2.042 €/m2</v>
      </c>
      <c r="C87" s="1" t="str">
        <f>IFERROR(__xludf.DUMMYFUNCTION("""COMPUTED_VALUE"""),"+ 0,8 %")</f>
        <v>+ 0,8 %</v>
      </c>
      <c r="D87" s="1" t="str">
        <f>IFERROR(__xludf.DUMMYFUNCTION("""COMPUTED_VALUE"""),"+ 0,1 %")</f>
        <v>+ 0,1 %</v>
      </c>
      <c r="E87" s="1" t="str">
        <f>IFERROR(__xludf.DUMMYFUNCTION("""COMPUTED_VALUE"""),"+ 11,5 %")</f>
        <v>+ 11,5 %</v>
      </c>
    </row>
    <row r="88">
      <c r="A88" s="2">
        <f>IFERROR(__xludf.DUMMYFUNCTION("""COMPUTED_VALUE"""),43556.0)</f>
        <v>43556</v>
      </c>
      <c r="B88" s="1" t="str">
        <f>IFERROR(__xludf.DUMMYFUNCTION("""COMPUTED_VALUE"""),"2.025 €/m2")</f>
        <v>2.025 €/m2</v>
      </c>
      <c r="C88" s="1" t="str">
        <f>IFERROR(__xludf.DUMMYFUNCTION("""COMPUTED_VALUE"""),"- 1,0 %")</f>
        <v>- 1,0 %</v>
      </c>
      <c r="D88" s="1" t="str">
        <f>IFERROR(__xludf.DUMMYFUNCTION("""COMPUTED_VALUE"""),"+ 1,8 %")</f>
        <v>+ 1,8 %</v>
      </c>
      <c r="E88" s="1" t="str">
        <f>IFERROR(__xludf.DUMMYFUNCTION("""COMPUTED_VALUE"""),"+ 12,4 %")</f>
        <v>+ 12,4 %</v>
      </c>
    </row>
    <row r="89">
      <c r="A89" s="2">
        <f>IFERROR(__xludf.DUMMYFUNCTION("""COMPUTED_VALUE"""),43525.0)</f>
        <v>43525</v>
      </c>
      <c r="B89" s="1" t="str">
        <f>IFERROR(__xludf.DUMMYFUNCTION("""COMPUTED_VALUE"""),"2.046 €/m2")</f>
        <v>2.046 €/m2</v>
      </c>
      <c r="C89" s="1" t="str">
        <f>IFERROR(__xludf.DUMMYFUNCTION("""COMPUTED_VALUE"""),"+ 0,3 %")</f>
        <v>+ 0,3 %</v>
      </c>
      <c r="D89" s="1" t="str">
        <f>IFERROR(__xludf.DUMMYFUNCTION("""COMPUTED_VALUE"""),"+ 3,8 %")</f>
        <v>+ 3,8 %</v>
      </c>
      <c r="E89" s="1" t="str">
        <f>IFERROR(__xludf.DUMMYFUNCTION("""COMPUTED_VALUE"""),"+ 16,3 %")</f>
        <v>+ 16,3 %</v>
      </c>
    </row>
    <row r="90">
      <c r="A90" s="2">
        <f>IFERROR(__xludf.DUMMYFUNCTION("""COMPUTED_VALUE"""),43497.0)</f>
        <v>43497</v>
      </c>
      <c r="B90" s="1" t="str">
        <f>IFERROR(__xludf.DUMMYFUNCTION("""COMPUTED_VALUE"""),"2.040 €/m2")</f>
        <v>2.040 €/m2</v>
      </c>
      <c r="C90" s="1" t="str">
        <f>IFERROR(__xludf.DUMMYFUNCTION("""COMPUTED_VALUE"""),"+ 2,6 %")</f>
        <v>+ 2,6 %</v>
      </c>
      <c r="D90" s="1" t="str">
        <f>IFERROR(__xludf.DUMMYFUNCTION("""COMPUTED_VALUE"""),"+ 3,7 %")</f>
        <v>+ 3,7 %</v>
      </c>
      <c r="E90" s="1" t="str">
        <f>IFERROR(__xludf.DUMMYFUNCTION("""COMPUTED_VALUE"""),"+ 17,7 %")</f>
        <v>+ 17,7 %</v>
      </c>
    </row>
    <row r="91">
      <c r="A91" s="2">
        <f>IFERROR(__xludf.DUMMYFUNCTION("""COMPUTED_VALUE"""),43466.0)</f>
        <v>43466</v>
      </c>
      <c r="B91" s="1" t="str">
        <f>IFERROR(__xludf.DUMMYFUNCTION("""COMPUTED_VALUE"""),"1.989 €/m2")</f>
        <v>1.989 €/m2</v>
      </c>
      <c r="C91" s="1" t="str">
        <f>IFERROR(__xludf.DUMMYFUNCTION("""COMPUTED_VALUE"""),"+ 0,9 %")</f>
        <v>+ 0,9 %</v>
      </c>
      <c r="D91" s="1" t="str">
        <f>IFERROR(__xludf.DUMMYFUNCTION("""COMPUTED_VALUE"""),"+ 1,0 %")</f>
        <v>+ 1,0 %</v>
      </c>
      <c r="E91" s="1" t="str">
        <f>IFERROR(__xludf.DUMMYFUNCTION("""COMPUTED_VALUE"""),"+ 16,9 %")</f>
        <v>+ 16,9 %</v>
      </c>
    </row>
    <row r="92">
      <c r="A92" s="2">
        <f>IFERROR(__xludf.DUMMYFUNCTION("""COMPUTED_VALUE"""),43435.0)</f>
        <v>43435</v>
      </c>
      <c r="B92" s="1" t="str">
        <f>IFERROR(__xludf.DUMMYFUNCTION("""COMPUTED_VALUE"""),"1.971 €/m2")</f>
        <v>1.971 €/m2</v>
      </c>
      <c r="C92" s="1" t="str">
        <f>IFERROR(__xludf.DUMMYFUNCTION("""COMPUTED_VALUE"""),"+ 0,2 %")</f>
        <v>+ 0,2 %</v>
      </c>
      <c r="D92" s="1" t="str">
        <f>IFERROR(__xludf.DUMMYFUNCTION("""COMPUTED_VALUE"""),"+ 0,1 %")</f>
        <v>+ 0,1 %</v>
      </c>
      <c r="E92" s="1" t="str">
        <f>IFERROR(__xludf.DUMMYFUNCTION("""COMPUTED_VALUE"""),"+ 16,9 %")</f>
        <v>+ 16,9 %</v>
      </c>
    </row>
    <row r="93">
      <c r="A93" s="2">
        <f>IFERROR(__xludf.DUMMYFUNCTION("""COMPUTED_VALUE"""),43405.0)</f>
        <v>43405</v>
      </c>
      <c r="B93" s="1" t="str">
        <f>IFERROR(__xludf.DUMMYFUNCTION("""COMPUTED_VALUE"""),"1.967 €/m2")</f>
        <v>1.967 €/m2</v>
      </c>
      <c r="C93" s="1" t="str">
        <f>IFERROR(__xludf.DUMMYFUNCTION("""COMPUTED_VALUE"""),"- 0,1 %")</f>
        <v>- 0,1 %</v>
      </c>
      <c r="D93" s="1" t="str">
        <f>IFERROR(__xludf.DUMMYFUNCTION("""COMPUTED_VALUE"""),"+ 2,8 %")</f>
        <v>+ 2,8 %</v>
      </c>
      <c r="E93" s="1" t="str">
        <f>IFERROR(__xludf.DUMMYFUNCTION("""COMPUTED_VALUE"""),"+ 17,0 %")</f>
        <v>+ 17,0 %</v>
      </c>
    </row>
    <row r="94">
      <c r="A94" s="2">
        <f>IFERROR(__xludf.DUMMYFUNCTION("""COMPUTED_VALUE"""),43374.0)</f>
        <v>43374</v>
      </c>
      <c r="B94" s="1" t="str">
        <f>IFERROR(__xludf.DUMMYFUNCTION("""COMPUTED_VALUE"""),"1.969 €/m2")</f>
        <v>1.969 €/m2</v>
      </c>
      <c r="C94" s="1" t="str">
        <f>IFERROR(__xludf.DUMMYFUNCTION("""COMPUTED_VALUE"""),"0,0 %")</f>
        <v>0,0 %</v>
      </c>
      <c r="D94" s="1" t="str">
        <f>IFERROR(__xludf.DUMMYFUNCTION("""COMPUTED_VALUE"""),"+ 3,9 %")</f>
        <v>+ 3,9 %</v>
      </c>
      <c r="E94" s="1" t="str">
        <f>IFERROR(__xludf.DUMMYFUNCTION("""COMPUTED_VALUE"""),"+ 15,8 %")</f>
        <v>+ 15,8 %</v>
      </c>
    </row>
    <row r="95">
      <c r="A95" s="2">
        <f>IFERROR(__xludf.DUMMYFUNCTION("""COMPUTED_VALUE"""),43344.0)</f>
        <v>43344</v>
      </c>
      <c r="B95" s="1" t="str">
        <f>IFERROR(__xludf.DUMMYFUNCTION("""COMPUTED_VALUE"""),"1.969 €/m2")</f>
        <v>1.969 €/m2</v>
      </c>
      <c r="C95" s="1" t="str">
        <f>IFERROR(__xludf.DUMMYFUNCTION("""COMPUTED_VALUE"""),"+ 2,9 %")</f>
        <v>+ 2,9 %</v>
      </c>
      <c r="D95" s="1" t="str">
        <f>IFERROR(__xludf.DUMMYFUNCTION("""COMPUTED_VALUE"""),"+ 5,0 %")</f>
        <v>+ 5,0 %</v>
      </c>
      <c r="E95" s="1" t="str">
        <f>IFERROR(__xludf.DUMMYFUNCTION("""COMPUTED_VALUE"""),"+ 18,2 %")</f>
        <v>+ 18,2 %</v>
      </c>
    </row>
    <row r="96">
      <c r="A96" s="2">
        <f>IFERROR(__xludf.DUMMYFUNCTION("""COMPUTED_VALUE"""),43313.0)</f>
        <v>43313</v>
      </c>
      <c r="B96" s="1" t="str">
        <f>IFERROR(__xludf.DUMMYFUNCTION("""COMPUTED_VALUE"""),"1.914 €/m2")</f>
        <v>1.914 €/m2</v>
      </c>
      <c r="C96" s="1" t="str">
        <f>IFERROR(__xludf.DUMMYFUNCTION("""COMPUTED_VALUE"""),"+ 1,0 %")</f>
        <v>+ 1,0 %</v>
      </c>
      <c r="D96" s="1" t="str">
        <f>IFERROR(__xludf.DUMMYFUNCTION("""COMPUTED_VALUE"""),"+ 4,5 %")</f>
        <v>+ 4,5 %</v>
      </c>
      <c r="E96" s="1" t="str">
        <f>IFERROR(__xludf.DUMMYFUNCTION("""COMPUTED_VALUE"""),"+ 16,8 %")</f>
        <v>+ 16,8 %</v>
      </c>
    </row>
    <row r="97">
      <c r="A97" s="2">
        <f>IFERROR(__xludf.DUMMYFUNCTION("""COMPUTED_VALUE"""),43282.0)</f>
        <v>43282</v>
      </c>
      <c r="B97" s="1" t="str">
        <f>IFERROR(__xludf.DUMMYFUNCTION("""COMPUTED_VALUE"""),"1.895 €/m2")</f>
        <v>1.895 €/m2</v>
      </c>
      <c r="C97" s="1" t="str">
        <f>IFERROR(__xludf.DUMMYFUNCTION("""COMPUTED_VALUE"""),"+ 1,0 %")</f>
        <v>+ 1,0 %</v>
      </c>
      <c r="D97" s="1" t="str">
        <f>IFERROR(__xludf.DUMMYFUNCTION("""COMPUTED_VALUE"""),"+ 5,2 %")</f>
        <v>+ 5,2 %</v>
      </c>
      <c r="E97" s="1" t="str">
        <f>IFERROR(__xludf.DUMMYFUNCTION("""COMPUTED_VALUE"""),"+ 17,1 %")</f>
        <v>+ 17,1 %</v>
      </c>
    </row>
    <row r="98">
      <c r="A98" s="2">
        <f>IFERROR(__xludf.DUMMYFUNCTION("""COMPUTED_VALUE"""),43252.0)</f>
        <v>43252</v>
      </c>
      <c r="B98" s="1" t="str">
        <f>IFERROR(__xludf.DUMMYFUNCTION("""COMPUTED_VALUE"""),"1.876 €/m2")</f>
        <v>1.876 €/m2</v>
      </c>
      <c r="C98" s="1" t="str">
        <f>IFERROR(__xludf.DUMMYFUNCTION("""COMPUTED_VALUE"""),"+ 2,4 %")</f>
        <v>+ 2,4 %</v>
      </c>
      <c r="D98" s="1" t="str">
        <f>IFERROR(__xludf.DUMMYFUNCTION("""COMPUTED_VALUE"""),"+ 6,6 %")</f>
        <v>+ 6,6 %</v>
      </c>
      <c r="E98" s="1" t="str">
        <f>IFERROR(__xludf.DUMMYFUNCTION("""COMPUTED_VALUE"""),"+ 19,0 %")</f>
        <v>+ 19,0 %</v>
      </c>
    </row>
    <row r="99">
      <c r="A99" s="2">
        <f>IFERROR(__xludf.DUMMYFUNCTION("""COMPUTED_VALUE"""),43221.0)</f>
        <v>43221</v>
      </c>
      <c r="B99" s="1" t="str">
        <f>IFERROR(__xludf.DUMMYFUNCTION("""COMPUTED_VALUE"""),"1.832 €/m2")</f>
        <v>1.832 €/m2</v>
      </c>
      <c r="C99" s="1" t="str">
        <f>IFERROR(__xludf.DUMMYFUNCTION("""COMPUTED_VALUE"""),"+ 1,7 %")</f>
        <v>+ 1,7 %</v>
      </c>
      <c r="D99" s="1" t="str">
        <f>IFERROR(__xludf.DUMMYFUNCTION("""COMPUTED_VALUE"""),"+ 5,7 %")</f>
        <v>+ 5,7 %</v>
      </c>
      <c r="E99" s="1" t="str">
        <f>IFERROR(__xludf.DUMMYFUNCTION("""COMPUTED_VALUE"""),"+ 16,4 %")</f>
        <v>+ 16,4 %</v>
      </c>
    </row>
    <row r="100">
      <c r="A100" s="2">
        <f>IFERROR(__xludf.DUMMYFUNCTION("""COMPUTED_VALUE"""),43191.0)</f>
        <v>43191</v>
      </c>
      <c r="B100" s="1" t="str">
        <f>IFERROR(__xludf.DUMMYFUNCTION("""COMPUTED_VALUE"""),"1.802 €/m2")</f>
        <v>1.802 €/m2</v>
      </c>
      <c r="C100" s="1" t="str">
        <f>IFERROR(__xludf.DUMMYFUNCTION("""COMPUTED_VALUE"""),"+ 2,4 %")</f>
        <v>+ 2,4 %</v>
      </c>
      <c r="D100" s="1" t="str">
        <f>IFERROR(__xludf.DUMMYFUNCTION("""COMPUTED_VALUE"""),"+ 5,9 %")</f>
        <v>+ 5,9 %</v>
      </c>
      <c r="E100" s="1" t="str">
        <f>IFERROR(__xludf.DUMMYFUNCTION("""COMPUTED_VALUE"""),"+ 18,4 %")</f>
        <v>+ 18,4 %</v>
      </c>
    </row>
    <row r="101">
      <c r="A101" s="2">
        <f>IFERROR(__xludf.DUMMYFUNCTION("""COMPUTED_VALUE"""),43160.0)</f>
        <v>43160</v>
      </c>
      <c r="B101" s="1" t="str">
        <f>IFERROR(__xludf.DUMMYFUNCTION("""COMPUTED_VALUE"""),"1.760 €/m2")</f>
        <v>1.760 €/m2</v>
      </c>
      <c r="C101" s="1" t="str">
        <f>IFERROR(__xludf.DUMMYFUNCTION("""COMPUTED_VALUE"""),"+ 1,5 %")</f>
        <v>+ 1,5 %</v>
      </c>
      <c r="D101" s="1" t="str">
        <f>IFERROR(__xludf.DUMMYFUNCTION("""COMPUTED_VALUE"""),"+ 4,3 %")</f>
        <v>+ 4,3 %</v>
      </c>
      <c r="E101" s="1" t="str">
        <f>IFERROR(__xludf.DUMMYFUNCTION("""COMPUTED_VALUE"""),"+ 16,9 %")</f>
        <v>+ 16,9 %</v>
      </c>
    </row>
    <row r="102">
      <c r="A102" s="2">
        <f>IFERROR(__xludf.DUMMYFUNCTION("""COMPUTED_VALUE"""),43132.0)</f>
        <v>43132</v>
      </c>
      <c r="B102" s="1" t="str">
        <f>IFERROR(__xludf.DUMMYFUNCTION("""COMPUTED_VALUE"""),"1.734 €/m2")</f>
        <v>1.734 €/m2</v>
      </c>
      <c r="C102" s="1" t="str">
        <f>IFERROR(__xludf.DUMMYFUNCTION("""COMPUTED_VALUE"""),"+ 1,9 %")</f>
        <v>+ 1,9 %</v>
      </c>
      <c r="D102" s="1" t="str">
        <f>IFERROR(__xludf.DUMMYFUNCTION("""COMPUTED_VALUE"""),"+ 3,1 %")</f>
        <v>+ 3,1 %</v>
      </c>
      <c r="E102" s="1" t="str">
        <f>IFERROR(__xludf.DUMMYFUNCTION("""COMPUTED_VALUE"""),"+ 14,4 %")</f>
        <v>+ 14,4 %</v>
      </c>
    </row>
    <row r="103">
      <c r="A103" s="2">
        <f>IFERROR(__xludf.DUMMYFUNCTION("""COMPUTED_VALUE"""),43101.0)</f>
        <v>43101</v>
      </c>
      <c r="B103" s="1" t="str">
        <f>IFERROR(__xludf.DUMMYFUNCTION("""COMPUTED_VALUE"""),"1.701 €/m2")</f>
        <v>1.701 €/m2</v>
      </c>
      <c r="C103" s="1" t="str">
        <f>IFERROR(__xludf.DUMMYFUNCTION("""COMPUTED_VALUE"""),"+ 0,9 %")</f>
        <v>+ 0,9 %</v>
      </c>
      <c r="D103" s="1" t="str">
        <f>IFERROR(__xludf.DUMMYFUNCTION("""COMPUTED_VALUE"""),"0,0 %")</f>
        <v>0,0 %</v>
      </c>
      <c r="E103" s="1" t="str">
        <f>IFERROR(__xludf.DUMMYFUNCTION("""COMPUTED_VALUE"""),"+ 11,3 %")</f>
        <v>+ 11,3 %</v>
      </c>
    </row>
    <row r="104">
      <c r="A104" s="2">
        <f>IFERROR(__xludf.DUMMYFUNCTION("""COMPUTED_VALUE"""),43070.0)</f>
        <v>43070</v>
      </c>
      <c r="B104" s="1" t="str">
        <f>IFERROR(__xludf.DUMMYFUNCTION("""COMPUTED_VALUE"""),"1.686 €/m2")</f>
        <v>1.686 €/m2</v>
      </c>
      <c r="C104" s="1" t="str">
        <f>IFERROR(__xludf.DUMMYFUNCTION("""COMPUTED_VALUE"""),"+ 0,3 %")</f>
        <v>+ 0,3 %</v>
      </c>
      <c r="D104" s="1" t="str">
        <f>IFERROR(__xludf.DUMMYFUNCTION("""COMPUTED_VALUE"""),"+ 1,2 %")</f>
        <v>+ 1,2 %</v>
      </c>
      <c r="E104" s="1" t="str">
        <f>IFERROR(__xludf.DUMMYFUNCTION("""COMPUTED_VALUE"""),"+ 10,7 %")</f>
        <v>+ 10,7 %</v>
      </c>
    </row>
    <row r="105">
      <c r="A105" s="2">
        <f>IFERROR(__xludf.DUMMYFUNCTION("""COMPUTED_VALUE"""),43040.0)</f>
        <v>43040</v>
      </c>
      <c r="B105" s="1" t="str">
        <f>IFERROR(__xludf.DUMMYFUNCTION("""COMPUTED_VALUE"""),"1.682 €/m2")</f>
        <v>1.682 €/m2</v>
      </c>
      <c r="C105" s="1" t="str">
        <f>IFERROR(__xludf.DUMMYFUNCTION("""COMPUTED_VALUE"""),"- 1,1 %")</f>
        <v>- 1,1 %</v>
      </c>
      <c r="D105" s="1" t="str">
        <f>IFERROR(__xludf.DUMMYFUNCTION("""COMPUTED_VALUE"""),"+ 2,7 %")</f>
        <v>+ 2,7 %</v>
      </c>
      <c r="E105" s="1" t="str">
        <f>IFERROR(__xludf.DUMMYFUNCTION("""COMPUTED_VALUE"""),"+ 12,0 %")</f>
        <v>+ 12,0 %</v>
      </c>
    </row>
    <row r="106">
      <c r="A106" s="2">
        <f>IFERROR(__xludf.DUMMYFUNCTION("""COMPUTED_VALUE"""),43009.0)</f>
        <v>43009</v>
      </c>
      <c r="B106" s="1" t="str">
        <f>IFERROR(__xludf.DUMMYFUNCTION("""COMPUTED_VALUE"""),"1.701 €/m2")</f>
        <v>1.701 €/m2</v>
      </c>
      <c r="C106" s="1" t="str">
        <f>IFERROR(__xludf.DUMMYFUNCTION("""COMPUTED_VALUE"""),"+ 2,1 %")</f>
        <v>+ 2,1 %</v>
      </c>
      <c r="D106" s="1" t="str">
        <f>IFERROR(__xludf.DUMMYFUNCTION("""COMPUTED_VALUE"""),"+ 5,1 %")</f>
        <v>+ 5,1 %</v>
      </c>
      <c r="E106" s="1" t="str">
        <f>IFERROR(__xludf.DUMMYFUNCTION("""COMPUTED_VALUE"""),"+ 11,6 %")</f>
        <v>+ 11,6 %</v>
      </c>
    </row>
    <row r="107">
      <c r="A107" s="2">
        <f>IFERROR(__xludf.DUMMYFUNCTION("""COMPUTED_VALUE"""),42979.0)</f>
        <v>42979</v>
      </c>
      <c r="B107" s="1" t="str">
        <f>IFERROR(__xludf.DUMMYFUNCTION("""COMPUTED_VALUE"""),"1.666 €/m2")</f>
        <v>1.666 €/m2</v>
      </c>
      <c r="C107" s="1" t="str">
        <f>IFERROR(__xludf.DUMMYFUNCTION("""COMPUTED_VALUE"""),"+ 1,7 %")</f>
        <v>+ 1,7 %</v>
      </c>
      <c r="D107" s="1" t="str">
        <f>IFERROR(__xludf.DUMMYFUNCTION("""COMPUTED_VALUE"""),"+ 5,7 %")</f>
        <v>+ 5,7 %</v>
      </c>
      <c r="E107" s="1" t="str">
        <f>IFERROR(__xludf.DUMMYFUNCTION("""COMPUTED_VALUE"""),"+ 10,9 %")</f>
        <v>+ 10,9 %</v>
      </c>
    </row>
    <row r="108">
      <c r="A108" s="2">
        <f>IFERROR(__xludf.DUMMYFUNCTION("""COMPUTED_VALUE"""),42948.0)</f>
        <v>42948</v>
      </c>
      <c r="B108" s="1" t="str">
        <f>IFERROR(__xludf.DUMMYFUNCTION("""COMPUTED_VALUE"""),"1.638 €/m2")</f>
        <v>1.638 €/m2</v>
      </c>
      <c r="C108" s="1" t="str">
        <f>IFERROR(__xludf.DUMMYFUNCTION("""COMPUTED_VALUE"""),"+ 1,2 %")</f>
        <v>+ 1,2 %</v>
      </c>
      <c r="D108" s="1" t="str">
        <f>IFERROR(__xludf.DUMMYFUNCTION("""COMPUTED_VALUE"""),"+ 4,1 %")</f>
        <v>+ 4,1 %</v>
      </c>
      <c r="E108" s="1" t="str">
        <f>IFERROR(__xludf.DUMMYFUNCTION("""COMPUTED_VALUE"""),"+ 9,0 %")</f>
        <v>+ 9,0 %</v>
      </c>
    </row>
    <row r="109">
      <c r="A109" s="2">
        <f>IFERROR(__xludf.DUMMYFUNCTION("""COMPUTED_VALUE"""),42917.0)</f>
        <v>42917</v>
      </c>
      <c r="B109" s="1" t="str">
        <f>IFERROR(__xludf.DUMMYFUNCTION("""COMPUTED_VALUE"""),"1.619 €/m2")</f>
        <v>1.619 €/m2</v>
      </c>
      <c r="C109" s="1" t="str">
        <f>IFERROR(__xludf.DUMMYFUNCTION("""COMPUTED_VALUE"""),"+ 2,7 %")</f>
        <v>+ 2,7 %</v>
      </c>
      <c r="D109" s="1" t="str">
        <f>IFERROR(__xludf.DUMMYFUNCTION("""COMPUTED_VALUE"""),"+ 6,3 %")</f>
        <v>+ 6,3 %</v>
      </c>
      <c r="E109" s="1" t="str">
        <f>IFERROR(__xludf.DUMMYFUNCTION("""COMPUTED_VALUE"""),"+ 7,2 %")</f>
        <v>+ 7,2 %</v>
      </c>
    </row>
    <row r="110">
      <c r="A110" s="2">
        <f>IFERROR(__xludf.DUMMYFUNCTION("""COMPUTED_VALUE"""),42887.0)</f>
        <v>42887</v>
      </c>
      <c r="B110" s="1" t="str">
        <f>IFERROR(__xludf.DUMMYFUNCTION("""COMPUTED_VALUE"""),"1.576 €/m2")</f>
        <v>1.576 €/m2</v>
      </c>
      <c r="C110" s="1" t="str">
        <f>IFERROR(__xludf.DUMMYFUNCTION("""COMPUTED_VALUE"""),"+ 0,2 %")</f>
        <v>+ 0,2 %</v>
      </c>
      <c r="D110" s="1" t="str">
        <f>IFERROR(__xludf.DUMMYFUNCTION("""COMPUTED_VALUE"""),"+ 4,7 %")</f>
        <v>+ 4,7 %</v>
      </c>
      <c r="E110" s="1" t="str">
        <f>IFERROR(__xludf.DUMMYFUNCTION("""COMPUTED_VALUE"""),"+ 3,4 %")</f>
        <v>+ 3,4 %</v>
      </c>
    </row>
    <row r="111">
      <c r="A111" s="2">
        <f>IFERROR(__xludf.DUMMYFUNCTION("""COMPUTED_VALUE"""),42856.0)</f>
        <v>42856</v>
      </c>
      <c r="B111" s="1" t="str">
        <f>IFERROR(__xludf.DUMMYFUNCTION("""COMPUTED_VALUE"""),"1.574 €/m2")</f>
        <v>1.574 €/m2</v>
      </c>
      <c r="C111" s="1" t="str">
        <f>IFERROR(__xludf.DUMMYFUNCTION("""COMPUTED_VALUE"""),"+ 3,4 %")</f>
        <v>+ 3,4 %</v>
      </c>
      <c r="D111" s="1" t="str">
        <f>IFERROR(__xludf.DUMMYFUNCTION("""COMPUTED_VALUE"""),"+ 3,8 %")</f>
        <v>+ 3,8 %</v>
      </c>
      <c r="E111" s="1" t="str">
        <f>IFERROR(__xludf.DUMMYFUNCTION("""COMPUTED_VALUE"""),"+ 4,0 %")</f>
        <v>+ 4,0 %</v>
      </c>
    </row>
    <row r="112">
      <c r="A112" s="2">
        <f>IFERROR(__xludf.DUMMYFUNCTION("""COMPUTED_VALUE"""),42826.0)</f>
        <v>42826</v>
      </c>
      <c r="B112" s="1" t="str">
        <f>IFERROR(__xludf.DUMMYFUNCTION("""COMPUTED_VALUE"""),"1.522 €/m2")</f>
        <v>1.522 €/m2</v>
      </c>
      <c r="C112" s="1" t="str">
        <f>IFERROR(__xludf.DUMMYFUNCTION("""COMPUTED_VALUE"""),"+ 1,1 %")</f>
        <v>+ 1,1 %</v>
      </c>
      <c r="D112" s="1" t="str">
        <f>IFERROR(__xludf.DUMMYFUNCTION("""COMPUTED_VALUE"""),"- 0,4 %")</f>
        <v>- 0,4 %</v>
      </c>
      <c r="E112" s="1" t="str">
        <f>IFERROR(__xludf.DUMMYFUNCTION("""COMPUTED_VALUE"""),"+ 1,6 %")</f>
        <v>+ 1,6 %</v>
      </c>
    </row>
    <row r="113">
      <c r="A113" s="2">
        <f>IFERROR(__xludf.DUMMYFUNCTION("""COMPUTED_VALUE"""),42795.0)</f>
        <v>42795</v>
      </c>
      <c r="B113" s="1" t="str">
        <f>IFERROR(__xludf.DUMMYFUNCTION("""COMPUTED_VALUE"""),"1.505 €/m2")</f>
        <v>1.505 €/m2</v>
      </c>
      <c r="C113" s="1" t="str">
        <f>IFERROR(__xludf.DUMMYFUNCTION("""COMPUTED_VALUE"""),"- 0,7 %")</f>
        <v>- 0,7 %</v>
      </c>
      <c r="D113" s="1" t="str">
        <f>IFERROR(__xludf.DUMMYFUNCTION("""COMPUTED_VALUE"""),"- 1,2 %")</f>
        <v>- 1,2 %</v>
      </c>
      <c r="E113" s="1" t="str">
        <f>IFERROR(__xludf.DUMMYFUNCTION("""COMPUTED_VALUE"""),"+ 0,9 %")</f>
        <v>+ 0,9 %</v>
      </c>
    </row>
    <row r="114">
      <c r="A114" s="2">
        <f>IFERROR(__xludf.DUMMYFUNCTION("""COMPUTED_VALUE"""),42767.0)</f>
        <v>42767</v>
      </c>
      <c r="B114" s="1" t="str">
        <f>IFERROR(__xludf.DUMMYFUNCTION("""COMPUTED_VALUE"""),"1.516 €/m2")</f>
        <v>1.516 €/m2</v>
      </c>
      <c r="C114" s="1" t="str">
        <f>IFERROR(__xludf.DUMMYFUNCTION("""COMPUTED_VALUE"""),"- 0,8 %")</f>
        <v>- 0,8 %</v>
      </c>
      <c r="D114" s="1" t="str">
        <f>IFERROR(__xludf.DUMMYFUNCTION("""COMPUTED_VALUE"""),"+ 0,9 %")</f>
        <v>+ 0,9 %</v>
      </c>
      <c r="E114" s="1" t="str">
        <f>IFERROR(__xludf.DUMMYFUNCTION("""COMPUTED_VALUE"""),"+ 2,1 %")</f>
        <v>+ 2,1 %</v>
      </c>
    </row>
    <row r="115">
      <c r="A115" s="2">
        <f>IFERROR(__xludf.DUMMYFUNCTION("""COMPUTED_VALUE"""),42736.0)</f>
        <v>42736</v>
      </c>
      <c r="B115" s="1" t="str">
        <f>IFERROR(__xludf.DUMMYFUNCTION("""COMPUTED_VALUE"""),"1.528 €/m2")</f>
        <v>1.528 €/m2</v>
      </c>
      <c r="C115" s="1" t="str">
        <f>IFERROR(__xludf.DUMMYFUNCTION("""COMPUTED_VALUE"""),"+ 0,3 %")</f>
        <v>+ 0,3 %</v>
      </c>
      <c r="D115" s="1" t="str">
        <f>IFERROR(__xludf.DUMMYFUNCTION("""COMPUTED_VALUE"""),"+ 0,3 %")</f>
        <v>+ 0,3 %</v>
      </c>
      <c r="E115" s="1" t="str">
        <f>IFERROR(__xludf.DUMMYFUNCTION("""COMPUTED_VALUE"""),"+ 3,3 %")</f>
        <v>+ 3,3 %</v>
      </c>
    </row>
    <row r="116">
      <c r="A116" s="2">
        <f>IFERROR(__xludf.DUMMYFUNCTION("""COMPUTED_VALUE"""),42705.0)</f>
        <v>42705</v>
      </c>
      <c r="B116" s="1" t="str">
        <f>IFERROR(__xludf.DUMMYFUNCTION("""COMPUTED_VALUE"""),"1.523 €/m2")</f>
        <v>1.523 €/m2</v>
      </c>
      <c r="C116" s="1" t="str">
        <f>IFERROR(__xludf.DUMMYFUNCTION("""COMPUTED_VALUE"""),"+ 1,4 %")</f>
        <v>+ 1,4 %</v>
      </c>
      <c r="D116" s="1" t="str">
        <f>IFERROR(__xludf.DUMMYFUNCTION("""COMPUTED_VALUE"""),"+ 1,4 %")</f>
        <v>+ 1,4 %</v>
      </c>
      <c r="E116" s="1" t="str">
        <f>IFERROR(__xludf.DUMMYFUNCTION("""COMPUTED_VALUE"""),"+ 1,8 %")</f>
        <v>+ 1,8 %</v>
      </c>
    </row>
    <row r="117">
      <c r="A117" s="2">
        <f>IFERROR(__xludf.DUMMYFUNCTION("""COMPUTED_VALUE"""),42675.0)</f>
        <v>42675</v>
      </c>
      <c r="B117" s="1" t="str">
        <f>IFERROR(__xludf.DUMMYFUNCTION("""COMPUTED_VALUE"""),"1.502 €/m2")</f>
        <v>1.502 €/m2</v>
      </c>
      <c r="C117" s="1" t="str">
        <f>IFERROR(__xludf.DUMMYFUNCTION("""COMPUTED_VALUE"""),"- 1,4 %")</f>
        <v>- 1,4 %</v>
      </c>
      <c r="D117" s="1" t="str">
        <f>IFERROR(__xludf.DUMMYFUNCTION("""COMPUTED_VALUE"""),"0,0 %")</f>
        <v>0,0 %</v>
      </c>
      <c r="E117" s="1" t="str">
        <f>IFERROR(__xludf.DUMMYFUNCTION("""COMPUTED_VALUE"""),"- 1,6 %")</f>
        <v>- 1,6 %</v>
      </c>
    </row>
    <row r="118">
      <c r="A118" s="2">
        <f>IFERROR(__xludf.DUMMYFUNCTION("""COMPUTED_VALUE"""),42644.0)</f>
        <v>42644</v>
      </c>
      <c r="B118" s="1" t="str">
        <f>IFERROR(__xludf.DUMMYFUNCTION("""COMPUTED_VALUE"""),"1.524 €/m2")</f>
        <v>1.524 €/m2</v>
      </c>
      <c r="C118" s="1" t="str">
        <f>IFERROR(__xludf.DUMMYFUNCTION("""COMPUTED_VALUE"""),"+ 1,4 %")</f>
        <v>+ 1,4 %</v>
      </c>
      <c r="D118" s="1" t="str">
        <f>IFERROR(__xludf.DUMMYFUNCTION("""COMPUTED_VALUE"""),"+ 0,9 %")</f>
        <v>+ 0,9 %</v>
      </c>
      <c r="E118" s="1" t="str">
        <f>IFERROR(__xludf.DUMMYFUNCTION("""COMPUTED_VALUE"""),"- 1,3 %")</f>
        <v>- 1,3 %</v>
      </c>
    </row>
    <row r="119">
      <c r="A119" s="2">
        <f>IFERROR(__xludf.DUMMYFUNCTION("""COMPUTED_VALUE"""),42614.0)</f>
        <v>42614</v>
      </c>
      <c r="B119" s="1" t="str">
        <f>IFERROR(__xludf.DUMMYFUNCTION("""COMPUTED_VALUE"""),"1.502 €/m2")</f>
        <v>1.502 €/m2</v>
      </c>
      <c r="C119" s="1" t="str">
        <f>IFERROR(__xludf.DUMMYFUNCTION("""COMPUTED_VALUE"""),"0,0 %")</f>
        <v>0,0 %</v>
      </c>
      <c r="D119" s="1" t="str">
        <f>IFERROR(__xludf.DUMMYFUNCTION("""COMPUTED_VALUE"""),"- 1,5 %")</f>
        <v>- 1,5 %</v>
      </c>
      <c r="E119" s="1" t="str">
        <f>IFERROR(__xludf.DUMMYFUNCTION("""COMPUTED_VALUE"""),"- 2,1 %")</f>
        <v>- 2,1 %</v>
      </c>
    </row>
    <row r="120">
      <c r="A120" s="2">
        <f>IFERROR(__xludf.DUMMYFUNCTION("""COMPUTED_VALUE"""),42583.0)</f>
        <v>42583</v>
      </c>
      <c r="B120" s="1" t="str">
        <f>IFERROR(__xludf.DUMMYFUNCTION("""COMPUTED_VALUE"""),"1.502 €/m2")</f>
        <v>1.502 €/m2</v>
      </c>
      <c r="C120" s="1" t="str">
        <f>IFERROR(__xludf.DUMMYFUNCTION("""COMPUTED_VALUE"""),"- 0,6 %")</f>
        <v>- 0,6 %</v>
      </c>
      <c r="D120" s="1" t="str">
        <f>IFERROR(__xludf.DUMMYFUNCTION("""COMPUTED_VALUE"""),"- 0,7 %")</f>
        <v>- 0,7 %</v>
      </c>
      <c r="E120" s="1" t="str">
        <f>IFERROR(__xludf.DUMMYFUNCTION("""COMPUTED_VALUE"""),"- 0,1 %")</f>
        <v>- 0,1 %</v>
      </c>
    </row>
    <row r="121">
      <c r="A121" s="2">
        <f>IFERROR(__xludf.DUMMYFUNCTION("""COMPUTED_VALUE"""),42552.0)</f>
        <v>42552</v>
      </c>
      <c r="B121" s="1" t="str">
        <f>IFERROR(__xludf.DUMMYFUNCTION("""COMPUTED_VALUE"""),"1.510 €/m2")</f>
        <v>1.510 €/m2</v>
      </c>
      <c r="C121" s="1" t="str">
        <f>IFERROR(__xludf.DUMMYFUNCTION("""COMPUTED_VALUE"""),"- 0,9 %")</f>
        <v>- 0,9 %</v>
      </c>
      <c r="D121" s="1" t="str">
        <f>IFERROR(__xludf.DUMMYFUNCTION("""COMPUTED_VALUE"""),"+ 0,9 %")</f>
        <v>+ 0,9 %</v>
      </c>
      <c r="E121" s="1" t="str">
        <f>IFERROR(__xludf.DUMMYFUNCTION("""COMPUTED_VALUE"""),"- 0,5 %")</f>
        <v>- 0,5 %</v>
      </c>
    </row>
    <row r="122">
      <c r="A122" s="2">
        <f>IFERROR(__xludf.DUMMYFUNCTION("""COMPUTED_VALUE"""),42522.0)</f>
        <v>42522</v>
      </c>
      <c r="B122" s="1" t="str">
        <f>IFERROR(__xludf.DUMMYFUNCTION("""COMPUTED_VALUE"""),"1.524 €/m2")</f>
        <v>1.524 €/m2</v>
      </c>
      <c r="C122" s="1" t="str">
        <f>IFERROR(__xludf.DUMMYFUNCTION("""COMPUTED_VALUE"""),"+ 0,8 %")</f>
        <v>+ 0,8 %</v>
      </c>
      <c r="D122" s="1" t="str">
        <f>IFERROR(__xludf.DUMMYFUNCTION("""COMPUTED_VALUE"""),"+ 2,1 %")</f>
        <v>+ 2,1 %</v>
      </c>
      <c r="E122" s="1" t="str">
        <f>IFERROR(__xludf.DUMMYFUNCTION("""COMPUTED_VALUE"""),"- 1,1 %")</f>
        <v>- 1,1 %</v>
      </c>
    </row>
    <row r="123">
      <c r="A123" s="2">
        <f>IFERROR(__xludf.DUMMYFUNCTION("""COMPUTED_VALUE"""),42491.0)</f>
        <v>42491</v>
      </c>
      <c r="B123" s="1" t="str">
        <f>IFERROR(__xludf.DUMMYFUNCTION("""COMPUTED_VALUE"""),"1.512 €/m2")</f>
        <v>1.512 €/m2</v>
      </c>
      <c r="C123" s="1" t="str">
        <f>IFERROR(__xludf.DUMMYFUNCTION("""COMPUTED_VALUE"""),"+ 1,0 %")</f>
        <v>+ 1,0 %</v>
      </c>
      <c r="D123" s="1" t="str">
        <f>IFERROR(__xludf.DUMMYFUNCTION("""COMPUTED_VALUE"""),"+ 1,9 %")</f>
        <v>+ 1,9 %</v>
      </c>
      <c r="E123" s="1" t="str">
        <f>IFERROR(__xludf.DUMMYFUNCTION("""COMPUTED_VALUE"""),"- 1,1 %")</f>
        <v>- 1,1 %</v>
      </c>
    </row>
    <row r="124">
      <c r="A124" s="2">
        <f>IFERROR(__xludf.DUMMYFUNCTION("""COMPUTED_VALUE"""),42461.0)</f>
        <v>42461</v>
      </c>
      <c r="B124" s="1" t="str">
        <f>IFERROR(__xludf.DUMMYFUNCTION("""COMPUTED_VALUE"""),"1.497 €/m2")</f>
        <v>1.497 €/m2</v>
      </c>
      <c r="C124" s="1" t="str">
        <f>IFERROR(__xludf.DUMMYFUNCTION("""COMPUTED_VALUE"""),"+ 0,4 %")</f>
        <v>+ 0,4 %</v>
      </c>
      <c r="D124" s="1" t="str">
        <f>IFERROR(__xludf.DUMMYFUNCTION("""COMPUTED_VALUE"""),"+ 1,2 %")</f>
        <v>+ 1,2 %</v>
      </c>
      <c r="E124" s="1" t="str">
        <f>IFERROR(__xludf.DUMMYFUNCTION("""COMPUTED_VALUE"""),"- 0,1 %")</f>
        <v>- 0,1 %</v>
      </c>
    </row>
    <row r="125">
      <c r="A125" s="2">
        <f>IFERROR(__xludf.DUMMYFUNCTION("""COMPUTED_VALUE"""),42430.0)</f>
        <v>42430</v>
      </c>
      <c r="B125" s="1" t="str">
        <f>IFERROR(__xludf.DUMMYFUNCTION("""COMPUTED_VALUE"""),"1.492 €/m2")</f>
        <v>1.492 €/m2</v>
      </c>
      <c r="C125" s="1" t="str">
        <f>IFERROR(__xludf.DUMMYFUNCTION("""COMPUTED_VALUE"""),"+ 0,6 %")</f>
        <v>+ 0,6 %</v>
      </c>
      <c r="D125" s="1" t="str">
        <f>IFERROR(__xludf.DUMMYFUNCTION("""COMPUTED_VALUE"""),"- 0,3 %")</f>
        <v>- 0,3 %</v>
      </c>
      <c r="E125" s="1" t="str">
        <f>IFERROR(__xludf.DUMMYFUNCTION("""COMPUTED_VALUE"""),"- 0,4 %")</f>
        <v>- 0,4 %</v>
      </c>
    </row>
    <row r="126">
      <c r="A126" s="2">
        <f>IFERROR(__xludf.DUMMYFUNCTION("""COMPUTED_VALUE"""),42401.0)</f>
        <v>42401</v>
      </c>
      <c r="B126" s="1" t="str">
        <f>IFERROR(__xludf.DUMMYFUNCTION("""COMPUTED_VALUE"""),"1.484 €/m2")</f>
        <v>1.484 €/m2</v>
      </c>
      <c r="C126" s="1" t="str">
        <f>IFERROR(__xludf.DUMMYFUNCTION("""COMPUTED_VALUE"""),"+ 0,3 %")</f>
        <v>+ 0,3 %</v>
      </c>
      <c r="D126" s="1" t="str">
        <f>IFERROR(__xludf.DUMMYFUNCTION("""COMPUTED_VALUE"""),"- 2,7 %")</f>
        <v>- 2,7 %</v>
      </c>
      <c r="E126" s="1" t="str">
        <f>IFERROR(__xludf.DUMMYFUNCTION("""COMPUTED_VALUE"""),"- 0,6 %")</f>
        <v>- 0,6 %</v>
      </c>
    </row>
    <row r="127">
      <c r="A127" s="2">
        <f>IFERROR(__xludf.DUMMYFUNCTION("""COMPUTED_VALUE"""),42370.0)</f>
        <v>42370</v>
      </c>
      <c r="B127" s="1" t="str">
        <f>IFERROR(__xludf.DUMMYFUNCTION("""COMPUTED_VALUE"""),"1.479 €/m2")</f>
        <v>1.479 €/m2</v>
      </c>
      <c r="C127" s="1" t="str">
        <f>IFERROR(__xludf.DUMMYFUNCTION("""COMPUTED_VALUE"""),"- 1,1 %")</f>
        <v>- 1,1 %</v>
      </c>
      <c r="D127" s="1" t="str">
        <f>IFERROR(__xludf.DUMMYFUNCTION("""COMPUTED_VALUE"""),"- 4,1 %")</f>
        <v>- 4,1 %</v>
      </c>
      <c r="E127" s="1" t="str">
        <f>IFERROR(__xludf.DUMMYFUNCTION("""COMPUTED_VALUE"""),"+ 0,5 %")</f>
        <v>+ 0,5 %</v>
      </c>
    </row>
    <row r="128">
      <c r="A128" s="2">
        <f>IFERROR(__xludf.DUMMYFUNCTION("""COMPUTED_VALUE"""),42339.0)</f>
        <v>42339</v>
      </c>
      <c r="B128" s="1" t="str">
        <f>IFERROR(__xludf.DUMMYFUNCTION("""COMPUTED_VALUE"""),"1.496 €/m2")</f>
        <v>1.496 €/m2</v>
      </c>
      <c r="C128" s="1" t="str">
        <f>IFERROR(__xludf.DUMMYFUNCTION("""COMPUTED_VALUE"""),"- 1,9 %")</f>
        <v>- 1,9 %</v>
      </c>
      <c r="D128" s="1" t="str">
        <f>IFERROR(__xludf.DUMMYFUNCTION("""COMPUTED_VALUE"""),"- 2,4 %")</f>
        <v>- 2,4 %</v>
      </c>
      <c r="E128" s="1" t="str">
        <f>IFERROR(__xludf.DUMMYFUNCTION("""COMPUTED_VALUE"""),"+ 1,7 %")</f>
        <v>+ 1,7 %</v>
      </c>
    </row>
    <row r="129">
      <c r="A129" s="2">
        <f>IFERROR(__xludf.DUMMYFUNCTION("""COMPUTED_VALUE"""),42309.0)</f>
        <v>42309</v>
      </c>
      <c r="B129" s="1" t="str">
        <f>IFERROR(__xludf.DUMMYFUNCTION("""COMPUTED_VALUE"""),"1.525 €/m2")</f>
        <v>1.525 €/m2</v>
      </c>
      <c r="C129" s="1" t="str">
        <f>IFERROR(__xludf.DUMMYFUNCTION("""COMPUTED_VALUE"""),"- 1,2 %")</f>
        <v>- 1,2 %</v>
      </c>
      <c r="D129" s="1" t="str">
        <f>IFERROR(__xludf.DUMMYFUNCTION("""COMPUTED_VALUE"""),"+ 1,5 %")</f>
        <v>+ 1,5 %</v>
      </c>
      <c r="E129" s="1" t="str">
        <f>IFERROR(__xludf.DUMMYFUNCTION("""COMPUTED_VALUE"""),"+ 4,7 %")</f>
        <v>+ 4,7 %</v>
      </c>
    </row>
    <row r="130">
      <c r="A130" s="2">
        <f>IFERROR(__xludf.DUMMYFUNCTION("""COMPUTED_VALUE"""),42278.0)</f>
        <v>42278</v>
      </c>
      <c r="B130" s="1" t="str">
        <f>IFERROR(__xludf.DUMMYFUNCTION("""COMPUTED_VALUE"""),"1.543 €/m2")</f>
        <v>1.543 €/m2</v>
      </c>
      <c r="C130" s="1" t="str">
        <f>IFERROR(__xludf.DUMMYFUNCTION("""COMPUTED_VALUE"""),"+ 0,6 %")</f>
        <v>+ 0,6 %</v>
      </c>
      <c r="D130" s="1" t="str">
        <f>IFERROR(__xludf.DUMMYFUNCTION("""COMPUTED_VALUE"""),"+ 1,7 %")</f>
        <v>+ 1,7 %</v>
      </c>
      <c r="E130" s="1" t="str">
        <f>IFERROR(__xludf.DUMMYFUNCTION("""COMPUTED_VALUE"""),"+ 4,8 %")</f>
        <v>+ 4,8 %</v>
      </c>
    </row>
    <row r="131">
      <c r="A131" s="2">
        <f>IFERROR(__xludf.DUMMYFUNCTION("""COMPUTED_VALUE"""),42248.0)</f>
        <v>42248</v>
      </c>
      <c r="B131" s="1" t="str">
        <f>IFERROR(__xludf.DUMMYFUNCTION("""COMPUTED_VALUE"""),"1.534 €/m2")</f>
        <v>1.534 €/m2</v>
      </c>
      <c r="C131" s="1" t="str">
        <f>IFERROR(__xludf.DUMMYFUNCTION("""COMPUTED_VALUE"""),"+ 2,0 %")</f>
        <v>+ 2,0 %</v>
      </c>
      <c r="D131" s="1" t="str">
        <f>IFERROR(__xludf.DUMMYFUNCTION("""COMPUTED_VALUE"""),"- 0,5 %")</f>
        <v>- 0,5 %</v>
      </c>
      <c r="E131" s="1" t="str">
        <f>IFERROR(__xludf.DUMMYFUNCTION("""COMPUTED_VALUE"""),"+ 5,0 %")</f>
        <v>+ 5,0 %</v>
      </c>
    </row>
    <row r="132">
      <c r="A132" s="2">
        <f>IFERROR(__xludf.DUMMYFUNCTION("""COMPUTED_VALUE"""),42217.0)</f>
        <v>42217</v>
      </c>
      <c r="B132" s="1" t="str">
        <f>IFERROR(__xludf.DUMMYFUNCTION("""COMPUTED_VALUE"""),"1.503 €/m2")</f>
        <v>1.503 €/m2</v>
      </c>
      <c r="C132" s="1" t="str">
        <f>IFERROR(__xludf.DUMMYFUNCTION("""COMPUTED_VALUE"""),"- 1,0 %")</f>
        <v>- 1,0 %</v>
      </c>
      <c r="D132" s="1" t="str">
        <f>IFERROR(__xludf.DUMMYFUNCTION("""COMPUTED_VALUE"""),"- 1,7 %")</f>
        <v>- 1,7 %</v>
      </c>
      <c r="E132" s="1" t="str">
        <f>IFERROR(__xludf.DUMMYFUNCTION("""COMPUTED_VALUE"""),"+ 3,0 %")</f>
        <v>+ 3,0 %</v>
      </c>
    </row>
    <row r="133">
      <c r="A133" s="2">
        <f>IFERROR(__xludf.DUMMYFUNCTION("""COMPUTED_VALUE"""),42186.0)</f>
        <v>42186</v>
      </c>
      <c r="B133" s="1" t="str">
        <f>IFERROR(__xludf.DUMMYFUNCTION("""COMPUTED_VALUE"""),"1.518 €/m2")</f>
        <v>1.518 €/m2</v>
      </c>
      <c r="C133" s="1" t="str">
        <f>IFERROR(__xludf.DUMMYFUNCTION("""COMPUTED_VALUE"""),"- 1,5 %")</f>
        <v>- 1,5 %</v>
      </c>
      <c r="D133" s="1" t="str">
        <f>IFERROR(__xludf.DUMMYFUNCTION("""COMPUTED_VALUE"""),"+ 1,3 %")</f>
        <v>+ 1,3 %</v>
      </c>
      <c r="E133" s="1" t="str">
        <f>IFERROR(__xludf.DUMMYFUNCTION("""COMPUTED_VALUE"""),"+ 2,6 %")</f>
        <v>+ 2,6 %</v>
      </c>
    </row>
    <row r="134">
      <c r="A134" s="2">
        <f>IFERROR(__xludf.DUMMYFUNCTION("""COMPUTED_VALUE"""),42156.0)</f>
        <v>42156</v>
      </c>
      <c r="B134" s="1" t="str">
        <f>IFERROR(__xludf.DUMMYFUNCTION("""COMPUTED_VALUE"""),"1.542 €/m2")</f>
        <v>1.542 €/m2</v>
      </c>
      <c r="C134" s="1" t="str">
        <f>IFERROR(__xludf.DUMMYFUNCTION("""COMPUTED_VALUE"""),"+ 0,8 %")</f>
        <v>+ 0,8 %</v>
      </c>
      <c r="D134" s="1" t="str">
        <f>IFERROR(__xludf.DUMMYFUNCTION("""COMPUTED_VALUE"""),"+ 2,9 %")</f>
        <v>+ 2,9 %</v>
      </c>
      <c r="E134" s="1" t="str">
        <f>IFERROR(__xludf.DUMMYFUNCTION("""COMPUTED_VALUE"""),"+ 1,3 %")</f>
        <v>+ 1,3 %</v>
      </c>
    </row>
    <row r="135">
      <c r="A135" s="2">
        <f>IFERROR(__xludf.DUMMYFUNCTION("""COMPUTED_VALUE"""),42125.0)</f>
        <v>42125</v>
      </c>
      <c r="B135" s="1" t="str">
        <f>IFERROR(__xludf.DUMMYFUNCTION("""COMPUTED_VALUE"""),"1.530 €/m2")</f>
        <v>1.530 €/m2</v>
      </c>
      <c r="C135" s="1" t="str">
        <f>IFERROR(__xludf.DUMMYFUNCTION("""COMPUTED_VALUE"""),"+ 2,1 %")</f>
        <v>+ 2,1 %</v>
      </c>
      <c r="D135" s="1" t="str">
        <f>IFERROR(__xludf.DUMMYFUNCTION("""COMPUTED_VALUE"""),"+ 2,5 %")</f>
        <v>+ 2,5 %</v>
      </c>
      <c r="E135" s="1" t="str">
        <f>IFERROR(__xludf.DUMMYFUNCTION("""COMPUTED_VALUE"""),"- 1,2 %")</f>
        <v>- 1,2 %</v>
      </c>
    </row>
    <row r="136">
      <c r="A136" s="2">
        <f>IFERROR(__xludf.DUMMYFUNCTION("""COMPUTED_VALUE"""),42095.0)</f>
        <v>42095</v>
      </c>
      <c r="B136" s="1" t="str">
        <f>IFERROR(__xludf.DUMMYFUNCTION("""COMPUTED_VALUE"""),"1.498 €/m2")</f>
        <v>1.498 €/m2</v>
      </c>
      <c r="C136" s="1" t="str">
        <f>IFERROR(__xludf.DUMMYFUNCTION("""COMPUTED_VALUE"""),"0,0 %")</f>
        <v>0,0 %</v>
      </c>
      <c r="D136" s="1" t="str">
        <f>IFERROR(__xludf.DUMMYFUNCTION("""COMPUTED_VALUE"""),"+ 1,7 %")</f>
        <v>+ 1,7 %</v>
      </c>
      <c r="E136" s="1" t="str">
        <f>IFERROR(__xludf.DUMMYFUNCTION("""COMPUTED_VALUE"""),"- 3,3 %")</f>
        <v>- 3,3 %</v>
      </c>
    </row>
    <row r="137">
      <c r="A137" s="2">
        <f>IFERROR(__xludf.DUMMYFUNCTION("""COMPUTED_VALUE"""),42064.0)</f>
        <v>42064</v>
      </c>
      <c r="B137" s="1" t="str">
        <f>IFERROR(__xludf.DUMMYFUNCTION("""COMPUTED_VALUE"""),"1.498 €/m2")</f>
        <v>1.498 €/m2</v>
      </c>
      <c r="C137" s="1" t="str">
        <f>IFERROR(__xludf.DUMMYFUNCTION("""COMPUTED_VALUE"""),"+ 0,4 %")</f>
        <v>+ 0,4 %</v>
      </c>
      <c r="D137" s="1" t="str">
        <f>IFERROR(__xludf.DUMMYFUNCTION("""COMPUTED_VALUE"""),"+ 1,9 %")</f>
        <v>+ 1,9 %</v>
      </c>
      <c r="E137" s="1" t="str">
        <f>IFERROR(__xludf.DUMMYFUNCTION("""COMPUTED_VALUE"""),"- 5,8 %")</f>
        <v>- 5,8 %</v>
      </c>
    </row>
    <row r="138">
      <c r="A138" s="2">
        <f>IFERROR(__xludf.DUMMYFUNCTION("""COMPUTED_VALUE"""),42036.0)</f>
        <v>42036</v>
      </c>
      <c r="B138" s="1" t="str">
        <f>IFERROR(__xludf.DUMMYFUNCTION("""COMPUTED_VALUE"""),"1.493 €/m2")</f>
        <v>1.493 €/m2</v>
      </c>
      <c r="C138" s="1" t="str">
        <f>IFERROR(__xludf.DUMMYFUNCTION("""COMPUTED_VALUE"""),"+ 1,3 %")</f>
        <v>+ 1,3 %</v>
      </c>
      <c r="D138" s="1" t="str">
        <f>IFERROR(__xludf.DUMMYFUNCTION("""COMPUTED_VALUE"""),"+ 2,5 %")</f>
        <v>+ 2,5 %</v>
      </c>
      <c r="E138" s="1" t="str">
        <f>IFERROR(__xludf.DUMMYFUNCTION("""COMPUTED_VALUE"""),"- 8,0 %")</f>
        <v>- 8,0 %</v>
      </c>
    </row>
    <row r="139">
      <c r="A139" s="2">
        <f>IFERROR(__xludf.DUMMYFUNCTION("""COMPUTED_VALUE"""),42005.0)</f>
        <v>42005</v>
      </c>
      <c r="B139" s="1" t="str">
        <f>IFERROR(__xludf.DUMMYFUNCTION("""COMPUTED_VALUE"""),"1.473 €/m2")</f>
        <v>1.473 €/m2</v>
      </c>
      <c r="C139" s="1" t="str">
        <f>IFERROR(__xludf.DUMMYFUNCTION("""COMPUTED_VALUE"""),"+ 0,2 %")</f>
        <v>+ 0,2 %</v>
      </c>
      <c r="D139" s="1" t="str">
        <f>IFERROR(__xludf.DUMMYFUNCTION("""COMPUTED_VALUE"""),"0,0 %")</f>
        <v>0,0 %</v>
      </c>
      <c r="E139" s="1" t="str">
        <f>IFERROR(__xludf.DUMMYFUNCTION("""COMPUTED_VALUE"""),"- 9,3 %")</f>
        <v>- 9,3 %</v>
      </c>
    </row>
    <row r="140">
      <c r="A140" s="2">
        <f>IFERROR(__xludf.DUMMYFUNCTION("""COMPUTED_VALUE"""),41974.0)</f>
        <v>41974</v>
      </c>
      <c r="B140" s="1" t="str">
        <f>IFERROR(__xludf.DUMMYFUNCTION("""COMPUTED_VALUE"""),"1.470 €/m2")</f>
        <v>1.470 €/m2</v>
      </c>
      <c r="C140" s="1" t="str">
        <f>IFERROR(__xludf.DUMMYFUNCTION("""COMPUTED_VALUE"""),"+ 1,0 %")</f>
        <v>+ 1,0 %</v>
      </c>
      <c r="D140" s="1" t="str">
        <f>IFERROR(__xludf.DUMMYFUNCTION("""COMPUTED_VALUE"""),"+ 0,7 %")</f>
        <v>+ 0,7 %</v>
      </c>
      <c r="E140" s="1" t="str">
        <f>IFERROR(__xludf.DUMMYFUNCTION("""COMPUTED_VALUE"""),"- 9,4 %")</f>
        <v>- 9,4 %</v>
      </c>
    </row>
    <row r="141">
      <c r="A141" s="2">
        <f>IFERROR(__xludf.DUMMYFUNCTION("""COMPUTED_VALUE"""),41944.0)</f>
        <v>41944</v>
      </c>
      <c r="B141" s="1" t="str">
        <f>IFERROR(__xludf.DUMMYFUNCTION("""COMPUTED_VALUE"""),"1.456 €/m2")</f>
        <v>1.456 €/m2</v>
      </c>
      <c r="C141" s="1" t="str">
        <f>IFERROR(__xludf.DUMMYFUNCTION("""COMPUTED_VALUE"""),"- 1,1 %")</f>
        <v>- 1,1 %</v>
      </c>
      <c r="D141" s="1" t="str">
        <f>IFERROR(__xludf.DUMMYFUNCTION("""COMPUTED_VALUE"""),"- 0,2 %")</f>
        <v>- 0,2 %</v>
      </c>
      <c r="E141" s="1" t="str">
        <f>IFERROR(__xludf.DUMMYFUNCTION("""COMPUTED_VALUE"""),"- 11,3 %")</f>
        <v>- 11,3 %</v>
      </c>
    </row>
    <row r="142">
      <c r="A142" s="2">
        <f>IFERROR(__xludf.DUMMYFUNCTION("""COMPUTED_VALUE"""),41913.0)</f>
        <v>41913</v>
      </c>
      <c r="B142" s="1" t="str">
        <f>IFERROR(__xludf.DUMMYFUNCTION("""COMPUTED_VALUE"""),"1.473 €/m2")</f>
        <v>1.473 €/m2</v>
      </c>
      <c r="C142" s="1" t="str">
        <f>IFERROR(__xludf.DUMMYFUNCTION("""COMPUTED_VALUE"""),"+ 0,9 %")</f>
        <v>+ 0,9 %</v>
      </c>
      <c r="D142" s="1" t="str">
        <f>IFERROR(__xludf.DUMMYFUNCTION("""COMPUTED_VALUE"""),"- 0,4 %")</f>
        <v>- 0,4 %</v>
      </c>
      <c r="E142" s="1" t="str">
        <f>IFERROR(__xludf.DUMMYFUNCTION("""COMPUTED_VALUE"""),"- 11,3 %")</f>
        <v>- 11,3 %</v>
      </c>
    </row>
    <row r="143">
      <c r="A143" s="2">
        <f>IFERROR(__xludf.DUMMYFUNCTION("""COMPUTED_VALUE"""),41883.0)</f>
        <v>41883</v>
      </c>
      <c r="B143" s="1" t="str">
        <f>IFERROR(__xludf.DUMMYFUNCTION("""COMPUTED_VALUE"""),"1.461 €/m2")</f>
        <v>1.461 €/m2</v>
      </c>
      <c r="C143" s="1" t="str">
        <f>IFERROR(__xludf.DUMMYFUNCTION("""COMPUTED_VALUE"""),"+ 0,1 %")</f>
        <v>+ 0,1 %</v>
      </c>
      <c r="D143" s="1" t="str">
        <f>IFERROR(__xludf.DUMMYFUNCTION("""COMPUTED_VALUE"""),"- 4,0 %")</f>
        <v>- 4,0 %</v>
      </c>
      <c r="E143" s="1" t="str">
        <f>IFERROR(__xludf.DUMMYFUNCTION("""COMPUTED_VALUE"""),"- 12,4 %")</f>
        <v>- 12,4 %</v>
      </c>
    </row>
    <row r="144">
      <c r="A144" s="2">
        <f>IFERROR(__xludf.DUMMYFUNCTION("""COMPUTED_VALUE"""),41852.0)</f>
        <v>41852</v>
      </c>
      <c r="B144" s="1" t="str">
        <f>IFERROR(__xludf.DUMMYFUNCTION("""COMPUTED_VALUE"""),"1.459 €/m2")</f>
        <v>1.459 €/m2</v>
      </c>
      <c r="C144" s="1" t="str">
        <f>IFERROR(__xludf.DUMMYFUNCTION("""COMPUTED_VALUE"""),"- 1,3 %")</f>
        <v>- 1,3 %</v>
      </c>
      <c r="D144" s="1" t="str">
        <f>IFERROR(__xludf.DUMMYFUNCTION("""COMPUTED_VALUE"""),"- 5,7 %")</f>
        <v>- 5,7 %</v>
      </c>
      <c r="E144" s="1" t="str">
        <f>IFERROR(__xludf.DUMMYFUNCTION("""COMPUTED_VALUE"""),"- 12,6 %")</f>
        <v>- 12,6 %</v>
      </c>
    </row>
    <row r="145">
      <c r="A145" s="2">
        <f>IFERROR(__xludf.DUMMYFUNCTION("""COMPUTED_VALUE"""),41821.0)</f>
        <v>41821</v>
      </c>
      <c r="B145" s="1" t="str">
        <f>IFERROR(__xludf.DUMMYFUNCTION("""COMPUTED_VALUE"""),"1.479 €/m2")</f>
        <v>1.479 €/m2</v>
      </c>
      <c r="C145" s="1" t="str">
        <f>IFERROR(__xludf.DUMMYFUNCTION("""COMPUTED_VALUE"""),"- 2,8 %")</f>
        <v>- 2,8 %</v>
      </c>
      <c r="D145" s="1" t="str">
        <f>IFERROR(__xludf.DUMMYFUNCTION("""COMPUTED_VALUE"""),"- 4,6 %")</f>
        <v>- 4,6 %</v>
      </c>
      <c r="E145" s="1" t="str">
        <f>IFERROR(__xludf.DUMMYFUNCTION("""COMPUTED_VALUE"""),"- 13,6 %")</f>
        <v>- 13,6 %</v>
      </c>
    </row>
    <row r="146">
      <c r="A146" s="2">
        <f>IFERROR(__xludf.DUMMYFUNCTION("""COMPUTED_VALUE"""),41791.0)</f>
        <v>41791</v>
      </c>
      <c r="B146" s="1" t="str">
        <f>IFERROR(__xludf.DUMMYFUNCTION("""COMPUTED_VALUE"""),"1.521 €/m2")</f>
        <v>1.521 €/m2</v>
      </c>
      <c r="C146" s="1" t="str">
        <f>IFERROR(__xludf.DUMMYFUNCTION("""COMPUTED_VALUE"""),"- 1,7 %")</f>
        <v>- 1,7 %</v>
      </c>
      <c r="D146" s="1" t="str">
        <f>IFERROR(__xludf.DUMMYFUNCTION("""COMPUTED_VALUE"""),"- 4,3 %")</f>
        <v>- 4,3 %</v>
      </c>
      <c r="E146" s="1" t="str">
        <f>IFERROR(__xludf.DUMMYFUNCTION("""COMPUTED_VALUE"""),"- 11,4 %")</f>
        <v>- 11,4 %</v>
      </c>
    </row>
    <row r="147">
      <c r="A147" s="2">
        <f>IFERROR(__xludf.DUMMYFUNCTION("""COMPUTED_VALUE"""),41760.0)</f>
        <v>41760</v>
      </c>
      <c r="B147" s="1" t="str">
        <f>IFERROR(__xludf.DUMMYFUNCTION("""COMPUTED_VALUE"""),"1.548 €/m2")</f>
        <v>1.548 €/m2</v>
      </c>
      <c r="C147" s="1" t="str">
        <f>IFERROR(__xludf.DUMMYFUNCTION("""COMPUTED_VALUE"""),"- 0,1 %")</f>
        <v>- 0,1 %</v>
      </c>
      <c r="D147" s="1" t="str">
        <f>IFERROR(__xludf.DUMMYFUNCTION("""COMPUTED_VALUE"""),"- 4,6 %")</f>
        <v>- 4,6 %</v>
      </c>
      <c r="E147" s="1" t="str">
        <f>IFERROR(__xludf.DUMMYFUNCTION("""COMPUTED_VALUE"""),"- 11,3 %")</f>
        <v>- 11,3 %</v>
      </c>
    </row>
    <row r="148">
      <c r="A148" s="2">
        <f>IFERROR(__xludf.DUMMYFUNCTION("""COMPUTED_VALUE"""),41730.0)</f>
        <v>41730</v>
      </c>
      <c r="B148" s="1" t="str">
        <f>IFERROR(__xludf.DUMMYFUNCTION("""COMPUTED_VALUE"""),"1.550 €/m2")</f>
        <v>1.550 €/m2</v>
      </c>
      <c r="C148" s="1" t="str">
        <f>IFERROR(__xludf.DUMMYFUNCTION("""COMPUTED_VALUE"""),"- 2,5 %")</f>
        <v>- 2,5 %</v>
      </c>
      <c r="D148" s="1" t="str">
        <f>IFERROR(__xludf.DUMMYFUNCTION("""COMPUTED_VALUE"""),"- 4,5 %")</f>
        <v>- 4,5 %</v>
      </c>
      <c r="E148" s="1" t="str">
        <f>IFERROR(__xludf.DUMMYFUNCTION("""COMPUTED_VALUE"""),"- 11,5 %")</f>
        <v>- 11,5 %</v>
      </c>
    </row>
    <row r="149">
      <c r="A149" s="2">
        <f>IFERROR(__xludf.DUMMYFUNCTION("""COMPUTED_VALUE"""),41699.0)</f>
        <v>41699</v>
      </c>
      <c r="B149" s="1" t="str">
        <f>IFERROR(__xludf.DUMMYFUNCTION("""COMPUTED_VALUE"""),"1.590 €/m2")</f>
        <v>1.590 €/m2</v>
      </c>
      <c r="C149" s="1" t="str">
        <f>IFERROR(__xludf.DUMMYFUNCTION("""COMPUTED_VALUE"""),"- 2,0 %")</f>
        <v>- 2,0 %</v>
      </c>
      <c r="D149" s="1" t="str">
        <f>IFERROR(__xludf.DUMMYFUNCTION("""COMPUTED_VALUE"""),"- 2,0 %")</f>
        <v>- 2,0 %</v>
      </c>
      <c r="E149" s="1" t="str">
        <f>IFERROR(__xludf.DUMMYFUNCTION("""COMPUTED_VALUE"""),"- 8,9 %")</f>
        <v>- 8,9 %</v>
      </c>
    </row>
    <row r="150">
      <c r="A150" s="2">
        <f>IFERROR(__xludf.DUMMYFUNCTION("""COMPUTED_VALUE"""),41671.0)</f>
        <v>41671</v>
      </c>
      <c r="B150" s="1" t="str">
        <f>IFERROR(__xludf.DUMMYFUNCTION("""COMPUTED_VALUE"""),"1.622 €/m2")</f>
        <v>1.622 €/m2</v>
      </c>
      <c r="C150" s="1" t="str">
        <f>IFERROR(__xludf.DUMMYFUNCTION("""COMPUTED_VALUE"""),"- 0,1 %")</f>
        <v>- 0,1 %</v>
      </c>
      <c r="D150" s="1" t="str">
        <f>IFERROR(__xludf.DUMMYFUNCTION("""COMPUTED_VALUE"""),"- 1,2 %")</f>
        <v>- 1,2 %</v>
      </c>
      <c r="E150" s="1" t="str">
        <f>IFERROR(__xludf.DUMMYFUNCTION("""COMPUTED_VALUE"""),"- 6,7 %")</f>
        <v>- 6,7 %</v>
      </c>
    </row>
    <row r="151">
      <c r="A151" s="2">
        <f>IFERROR(__xludf.DUMMYFUNCTION("""COMPUTED_VALUE"""),41640.0)</f>
        <v>41640</v>
      </c>
      <c r="B151" s="1" t="str">
        <f>IFERROR(__xludf.DUMMYFUNCTION("""COMPUTED_VALUE"""),"1.623 €/m2")</f>
        <v>1.623 €/m2</v>
      </c>
      <c r="C151" s="1" t="str">
        <f>IFERROR(__xludf.DUMMYFUNCTION("""COMPUTED_VALUE"""),"0,0 %")</f>
        <v>0,0 %</v>
      </c>
      <c r="D151" s="1" t="str">
        <f>IFERROR(__xludf.DUMMYFUNCTION("""COMPUTED_VALUE"""),"- 2,3 %")</f>
        <v>- 2,3 %</v>
      </c>
      <c r="E151" s="1" t="str">
        <f>IFERROR(__xludf.DUMMYFUNCTION("""COMPUTED_VALUE"""),"- 8,7 %")</f>
        <v>- 8,7 %</v>
      </c>
    </row>
    <row r="152">
      <c r="A152" s="2">
        <f>IFERROR(__xludf.DUMMYFUNCTION("""COMPUTED_VALUE"""),41609.0)</f>
        <v>41609</v>
      </c>
      <c r="B152" s="1" t="str">
        <f>IFERROR(__xludf.DUMMYFUNCTION("""COMPUTED_VALUE"""),"1.622 €/m2")</f>
        <v>1.622 €/m2</v>
      </c>
      <c r="C152" s="1" t="str">
        <f>IFERROR(__xludf.DUMMYFUNCTION("""COMPUTED_VALUE"""),"- 1,2 %")</f>
        <v>- 1,2 %</v>
      </c>
      <c r="D152" s="1" t="str">
        <f>IFERROR(__xludf.DUMMYFUNCTION("""COMPUTED_VALUE"""),"- 2,7 %")</f>
        <v>- 2,7 %</v>
      </c>
      <c r="E152" s="1" t="str">
        <f>IFERROR(__xludf.DUMMYFUNCTION("""COMPUTED_VALUE"""),"- 10,4 %")</f>
        <v>- 10,4 %</v>
      </c>
    </row>
    <row r="153">
      <c r="A153" s="2">
        <f>IFERROR(__xludf.DUMMYFUNCTION("""COMPUTED_VALUE"""),41579.0)</f>
        <v>41579</v>
      </c>
      <c r="B153" s="1" t="str">
        <f>IFERROR(__xludf.DUMMYFUNCTION("""COMPUTED_VALUE"""),"1.642 €/m2")</f>
        <v>1.642 €/m2</v>
      </c>
      <c r="C153" s="1" t="str">
        <f>IFERROR(__xludf.DUMMYFUNCTION("""COMPUTED_VALUE"""),"- 1,2 %")</f>
        <v>- 1,2 %</v>
      </c>
      <c r="D153" s="1" t="str">
        <f>IFERROR(__xludf.DUMMYFUNCTION("""COMPUTED_VALUE"""),"- 1,6 %")</f>
        <v>- 1,6 %</v>
      </c>
      <c r="E153" s="1" t="str">
        <f>IFERROR(__xludf.DUMMYFUNCTION("""COMPUTED_VALUE"""),"- 10,4 %")</f>
        <v>- 10,4 %</v>
      </c>
    </row>
    <row r="154">
      <c r="A154" s="2">
        <f>IFERROR(__xludf.DUMMYFUNCTION("""COMPUTED_VALUE"""),41548.0)</f>
        <v>41548</v>
      </c>
      <c r="B154" s="1" t="str">
        <f>IFERROR(__xludf.DUMMYFUNCTION("""COMPUTED_VALUE"""),"1.661 €/m2")</f>
        <v>1.661 €/m2</v>
      </c>
      <c r="C154" s="1" t="str">
        <f>IFERROR(__xludf.DUMMYFUNCTION("""COMPUTED_VALUE"""),"- 0,4 %")</f>
        <v>- 0,4 %</v>
      </c>
      <c r="D154" s="1" t="str">
        <f>IFERROR(__xludf.DUMMYFUNCTION("""COMPUTED_VALUE"""),"- 2,9 %")</f>
        <v>- 2,9 %</v>
      </c>
      <c r="E154" s="1" t="str">
        <f>IFERROR(__xludf.DUMMYFUNCTION("""COMPUTED_VALUE"""),"- 10,1 %")</f>
        <v>- 10,1 %</v>
      </c>
    </row>
    <row r="155">
      <c r="A155" s="2">
        <f>IFERROR(__xludf.DUMMYFUNCTION("""COMPUTED_VALUE"""),41518.0)</f>
        <v>41518</v>
      </c>
      <c r="B155" s="1" t="str">
        <f>IFERROR(__xludf.DUMMYFUNCTION("""COMPUTED_VALUE"""),"1.668 €/m2")</f>
        <v>1.668 €/m2</v>
      </c>
      <c r="C155" s="1" t="str">
        <f>IFERROR(__xludf.DUMMYFUNCTION("""COMPUTED_VALUE"""),"0,0 %")</f>
        <v>0,0 %</v>
      </c>
      <c r="D155" s="1" t="str">
        <f>IFERROR(__xludf.DUMMYFUNCTION("""COMPUTED_VALUE"""),"- 2,9 %")</f>
        <v>- 2,9 %</v>
      </c>
      <c r="E155" s="1" t="str">
        <f>IFERROR(__xludf.DUMMYFUNCTION("""COMPUTED_VALUE"""),"- 10,3 %")</f>
        <v>- 10,3 %</v>
      </c>
    </row>
    <row r="156">
      <c r="A156" s="2">
        <f>IFERROR(__xludf.DUMMYFUNCTION("""COMPUTED_VALUE"""),41487.0)</f>
        <v>41487</v>
      </c>
      <c r="B156" s="1" t="str">
        <f>IFERROR(__xludf.DUMMYFUNCTION("""COMPUTED_VALUE"""),"1.668 €/m2")</f>
        <v>1.668 €/m2</v>
      </c>
      <c r="C156" s="1" t="str">
        <f>IFERROR(__xludf.DUMMYFUNCTION("""COMPUTED_VALUE"""),"- 2,5 %")</f>
        <v>- 2,5 %</v>
      </c>
      <c r="D156" s="1" t="str">
        <f>IFERROR(__xludf.DUMMYFUNCTION("""COMPUTED_VALUE"""),"- 4,4 %")</f>
        <v>- 4,4 %</v>
      </c>
      <c r="E156" s="1" t="str">
        <f>IFERROR(__xludf.DUMMYFUNCTION("""COMPUTED_VALUE"""),"- 10,5 %")</f>
        <v>- 10,5 %</v>
      </c>
    </row>
    <row r="157">
      <c r="A157" s="2">
        <f>IFERROR(__xludf.DUMMYFUNCTION("""COMPUTED_VALUE"""),41456.0)</f>
        <v>41456</v>
      </c>
      <c r="B157" s="1" t="str">
        <f>IFERROR(__xludf.DUMMYFUNCTION("""COMPUTED_VALUE"""),"1.712 €/m2")</f>
        <v>1.712 €/m2</v>
      </c>
      <c r="C157" s="1" t="str">
        <f>IFERROR(__xludf.DUMMYFUNCTION("""COMPUTED_VALUE"""),"- 0,3 %")</f>
        <v>- 0,3 %</v>
      </c>
      <c r="D157" s="1" t="str">
        <f>IFERROR(__xludf.DUMMYFUNCTION("""COMPUTED_VALUE"""),"- 2,3 %")</f>
        <v>- 2,3 %</v>
      </c>
      <c r="E157" s="1" t="str">
        <f>IFERROR(__xludf.DUMMYFUNCTION("""COMPUTED_VALUE"""),"- 10,3 %")</f>
        <v>- 10,3 %</v>
      </c>
    </row>
    <row r="158">
      <c r="A158" s="2">
        <f>IFERROR(__xludf.DUMMYFUNCTION("""COMPUTED_VALUE"""),41426.0)</f>
        <v>41426</v>
      </c>
      <c r="B158" s="1" t="str">
        <f>IFERROR(__xludf.DUMMYFUNCTION("""COMPUTED_VALUE"""),"1.717 €/m2")</f>
        <v>1.717 €/m2</v>
      </c>
      <c r="C158" s="1" t="str">
        <f>IFERROR(__xludf.DUMMYFUNCTION("""COMPUTED_VALUE"""),"- 1,6 %")</f>
        <v>- 1,6 %</v>
      </c>
      <c r="D158" s="1" t="str">
        <f>IFERROR(__xludf.DUMMYFUNCTION("""COMPUTED_VALUE"""),"- 1,6 %")</f>
        <v>- 1,6 %</v>
      </c>
      <c r="E158" s="1" t="str">
        <f>IFERROR(__xludf.DUMMYFUNCTION("""COMPUTED_VALUE"""),"- 12,9 %")</f>
        <v>- 12,9 %</v>
      </c>
    </row>
    <row r="159">
      <c r="A159" s="2">
        <f>IFERROR(__xludf.DUMMYFUNCTION("""COMPUTED_VALUE"""),41395.0)</f>
        <v>41395</v>
      </c>
      <c r="B159" s="1" t="str">
        <f>IFERROR(__xludf.DUMMYFUNCTION("""COMPUTED_VALUE"""),"1.745 €/m2")</f>
        <v>1.745 €/m2</v>
      </c>
      <c r="C159" s="1" t="str">
        <f>IFERROR(__xludf.DUMMYFUNCTION("""COMPUTED_VALUE"""),"- 0,3 %")</f>
        <v>- 0,3 %</v>
      </c>
      <c r="D159" s="1" t="str">
        <f>IFERROR(__xludf.DUMMYFUNCTION("""COMPUTED_VALUE"""),"+ 0,4 %")</f>
        <v>+ 0,4 %</v>
      </c>
      <c r="E159" s="1" t="str">
        <f>IFERROR(__xludf.DUMMYFUNCTION("""COMPUTED_VALUE"""),"- 12,6 %")</f>
        <v>- 12,6 %</v>
      </c>
    </row>
    <row r="160">
      <c r="A160" s="2">
        <f>IFERROR(__xludf.DUMMYFUNCTION("""COMPUTED_VALUE"""),41365.0)</f>
        <v>41365</v>
      </c>
      <c r="B160" s="1" t="str">
        <f>IFERROR(__xludf.DUMMYFUNCTION("""COMPUTED_VALUE"""),"1.751 €/m2")</f>
        <v>1.751 €/m2</v>
      </c>
      <c r="C160" s="1" t="str">
        <f>IFERROR(__xludf.DUMMYFUNCTION("""COMPUTED_VALUE"""),"+ 0,3 %")</f>
        <v>+ 0,3 %</v>
      </c>
      <c r="D160" s="1" t="str">
        <f>IFERROR(__xludf.DUMMYFUNCTION("""COMPUTED_VALUE"""),"- 1,5 %")</f>
        <v>- 1,5 %</v>
      </c>
      <c r="E160" s="1" t="str">
        <f>IFERROR(__xludf.DUMMYFUNCTION("""COMPUTED_VALUE"""),"- 13,1 %")</f>
        <v>- 13,1 %</v>
      </c>
    </row>
    <row r="161">
      <c r="A161" s="2">
        <f>IFERROR(__xludf.DUMMYFUNCTION("""COMPUTED_VALUE"""),41334.0)</f>
        <v>41334</v>
      </c>
      <c r="B161" s="1" t="str">
        <f>IFERROR(__xludf.DUMMYFUNCTION("""COMPUTED_VALUE"""),"1.745 €/m2")</f>
        <v>1.745 €/m2</v>
      </c>
      <c r="C161" s="1" t="str">
        <f>IFERROR(__xludf.DUMMYFUNCTION("""COMPUTED_VALUE"""),"+ 0,4 %")</f>
        <v>+ 0,4 %</v>
      </c>
      <c r="D161" s="1" t="str">
        <f>IFERROR(__xludf.DUMMYFUNCTION("""COMPUTED_VALUE"""),"- 3,6 %")</f>
        <v>- 3,6 %</v>
      </c>
      <c r="E161" s="1" t="str">
        <f>IFERROR(__xludf.DUMMYFUNCTION("""COMPUTED_VALUE"""),"- 15,0 %")</f>
        <v>- 15,0 %</v>
      </c>
    </row>
    <row r="162">
      <c r="A162" s="2">
        <f>IFERROR(__xludf.DUMMYFUNCTION("""COMPUTED_VALUE"""),41306.0)</f>
        <v>41306</v>
      </c>
      <c r="B162" s="1" t="str">
        <f>IFERROR(__xludf.DUMMYFUNCTION("""COMPUTED_VALUE"""),"1.739 €/m2")</f>
        <v>1.739 €/m2</v>
      </c>
      <c r="C162" s="1" t="str">
        <f>IFERROR(__xludf.DUMMYFUNCTION("""COMPUTED_VALUE"""),"- 2,1 %")</f>
        <v>- 2,1 %</v>
      </c>
      <c r="D162" s="1" t="str">
        <f>IFERROR(__xludf.DUMMYFUNCTION("""COMPUTED_VALUE"""),"- 5,1 %")</f>
        <v>- 5,1 %</v>
      </c>
      <c r="E162" s="1" t="str">
        <f>IFERROR(__xludf.DUMMYFUNCTION("""COMPUTED_VALUE"""),"- 15,4 %")</f>
        <v>- 15,4 %</v>
      </c>
    </row>
    <row r="163">
      <c r="A163" s="2">
        <f>IFERROR(__xludf.DUMMYFUNCTION("""COMPUTED_VALUE"""),41275.0)</f>
        <v>41275</v>
      </c>
      <c r="B163" s="1" t="str">
        <f>IFERROR(__xludf.DUMMYFUNCTION("""COMPUTED_VALUE"""),"1.777 €/m2")</f>
        <v>1.777 €/m2</v>
      </c>
      <c r="C163" s="1" t="str">
        <f>IFERROR(__xludf.DUMMYFUNCTION("""COMPUTED_VALUE"""),"- 1,8 %")</f>
        <v>- 1,8 %</v>
      </c>
      <c r="D163" s="1" t="str">
        <f>IFERROR(__xludf.DUMMYFUNCTION("""COMPUTED_VALUE"""),"- 3,9 %")</f>
        <v>- 3,9 %</v>
      </c>
      <c r="E163" s="1" t="str">
        <f>IFERROR(__xludf.DUMMYFUNCTION("""COMPUTED_VALUE"""),"- 14,9 %")</f>
        <v>- 14,9 %</v>
      </c>
    </row>
    <row r="164">
      <c r="A164" s="2">
        <f>IFERROR(__xludf.DUMMYFUNCTION("""COMPUTED_VALUE"""),41244.0)</f>
        <v>41244</v>
      </c>
      <c r="B164" s="1" t="str">
        <f>IFERROR(__xludf.DUMMYFUNCTION("""COMPUTED_VALUE"""),"1.810 €/m2")</f>
        <v>1.810 €/m2</v>
      </c>
      <c r="C164" s="1" t="str">
        <f>IFERROR(__xludf.DUMMYFUNCTION("""COMPUTED_VALUE"""),"- 1,2 %")</f>
        <v>- 1,2 %</v>
      </c>
      <c r="D164" s="1" t="str">
        <f>IFERROR(__xludf.DUMMYFUNCTION("""COMPUTED_VALUE"""),"- 2,6 %")</f>
        <v>- 2,6 %</v>
      </c>
      <c r="E164" s="1" t="str">
        <f>IFERROR(__xludf.DUMMYFUNCTION("""COMPUTED_VALUE"""),"- 14,0 %")</f>
        <v>- 14,0 %</v>
      </c>
    </row>
    <row r="165">
      <c r="A165" s="2">
        <f>IFERROR(__xludf.DUMMYFUNCTION("""COMPUTED_VALUE"""),41214.0)</f>
        <v>41214</v>
      </c>
      <c r="B165" s="1" t="str">
        <f>IFERROR(__xludf.DUMMYFUNCTION("""COMPUTED_VALUE"""),"1.832 €/m2")</f>
        <v>1.832 €/m2</v>
      </c>
      <c r="C165" s="1" t="str">
        <f>IFERROR(__xludf.DUMMYFUNCTION("""COMPUTED_VALUE"""),"- 0,9 %")</f>
        <v>- 0,9 %</v>
      </c>
      <c r="D165" s="1" t="str">
        <f>IFERROR(__xludf.DUMMYFUNCTION("""COMPUTED_VALUE"""),"- 1,7 %")</f>
        <v>- 1,7 %</v>
      </c>
      <c r="E165" s="1" t="str">
        <f>IFERROR(__xludf.DUMMYFUNCTION("""COMPUTED_VALUE"""),"- 14,1 %")</f>
        <v>- 14,1 %</v>
      </c>
    </row>
    <row r="166">
      <c r="A166" s="2">
        <f>IFERROR(__xludf.DUMMYFUNCTION("""COMPUTED_VALUE"""),41183.0)</f>
        <v>41183</v>
      </c>
      <c r="B166" s="1" t="str">
        <f>IFERROR(__xludf.DUMMYFUNCTION("""COMPUTED_VALUE"""),"1.849 €/m2")</f>
        <v>1.849 €/m2</v>
      </c>
      <c r="C166" s="1" t="str">
        <f>IFERROR(__xludf.DUMMYFUNCTION("""COMPUTED_VALUE"""),"- 0,6 %")</f>
        <v>- 0,6 %</v>
      </c>
      <c r="D166" s="1" t="str">
        <f>IFERROR(__xludf.DUMMYFUNCTION("""COMPUTED_VALUE"""),"- 3,1 %")</f>
        <v>- 3,1 %</v>
      </c>
      <c r="E166" s="1" t="str">
        <f>IFERROR(__xludf.DUMMYFUNCTION("""COMPUTED_VALUE"""),"- 15,0 %")</f>
        <v>- 15,0 %</v>
      </c>
    </row>
    <row r="167">
      <c r="A167" s="2">
        <f>IFERROR(__xludf.DUMMYFUNCTION("""COMPUTED_VALUE"""),41153.0)</f>
        <v>41153</v>
      </c>
      <c r="B167" s="1" t="str">
        <f>IFERROR(__xludf.DUMMYFUNCTION("""COMPUTED_VALUE"""),"1.859 €/m2")</f>
        <v>1.859 €/m2</v>
      </c>
      <c r="C167" s="1" t="str">
        <f>IFERROR(__xludf.DUMMYFUNCTION("""COMPUTED_VALUE"""),"- 0,3 %")</f>
        <v>- 0,3 %</v>
      </c>
      <c r="D167" s="1" t="str">
        <f>IFERROR(__xludf.DUMMYFUNCTION("""COMPUTED_VALUE"""),"- 5,7 %")</f>
        <v>- 5,7 %</v>
      </c>
      <c r="E167" s="1" t="str">
        <f>IFERROR(__xludf.DUMMYFUNCTION("""COMPUTED_VALUE"""),"- 17,2 %")</f>
        <v>- 17,2 %</v>
      </c>
    </row>
    <row r="168">
      <c r="A168" s="2">
        <f>IFERROR(__xludf.DUMMYFUNCTION("""COMPUTED_VALUE"""),41122.0)</f>
        <v>41122</v>
      </c>
      <c r="B168" s="1" t="str">
        <f>IFERROR(__xludf.DUMMYFUNCTION("""COMPUTED_VALUE"""),"1.864 €/m2")</f>
        <v>1.864 €/m2</v>
      </c>
      <c r="C168" s="1" t="str">
        <f>IFERROR(__xludf.DUMMYFUNCTION("""COMPUTED_VALUE"""),"- 2,3 %")</f>
        <v>- 2,3 %</v>
      </c>
      <c r="D168" s="1" t="str">
        <f>IFERROR(__xludf.DUMMYFUNCTION("""COMPUTED_VALUE"""),"- 6,7 %")</f>
        <v>- 6,7 %</v>
      </c>
      <c r="E168" s="1" t="str">
        <f>IFERROR(__xludf.DUMMYFUNCTION("""COMPUTED_VALUE"""),"- 14,7 %")</f>
        <v>- 14,7 %</v>
      </c>
    </row>
    <row r="169">
      <c r="A169" s="2">
        <f>IFERROR(__xludf.DUMMYFUNCTION("""COMPUTED_VALUE"""),41091.0)</f>
        <v>41091</v>
      </c>
      <c r="B169" s="1" t="str">
        <f>IFERROR(__xludf.DUMMYFUNCTION("""COMPUTED_VALUE"""),"1.908 €/m2")</f>
        <v>1.908 €/m2</v>
      </c>
      <c r="C169" s="1" t="str">
        <f>IFERROR(__xludf.DUMMYFUNCTION("""COMPUTED_VALUE"""),"- 3,2 %")</f>
        <v>- 3,2 %</v>
      </c>
      <c r="D169" s="1" t="str">
        <f>IFERROR(__xludf.DUMMYFUNCTION("""COMPUTED_VALUE"""),"- 5,3 %")</f>
        <v>- 5,3 %</v>
      </c>
      <c r="E169" s="1" t="str">
        <f>IFERROR(__xludf.DUMMYFUNCTION("""COMPUTED_VALUE"""),"- 14,6 %")</f>
        <v>- 14,6 %</v>
      </c>
    </row>
    <row r="170">
      <c r="A170" s="2">
        <f>IFERROR(__xludf.DUMMYFUNCTION("""COMPUTED_VALUE"""),41061.0)</f>
        <v>41061</v>
      </c>
      <c r="B170" s="1" t="str">
        <f>IFERROR(__xludf.DUMMYFUNCTION("""COMPUTED_VALUE"""),"1.972 €/m2")</f>
        <v>1.972 €/m2</v>
      </c>
      <c r="C170" s="1" t="str">
        <f>IFERROR(__xludf.DUMMYFUNCTION("""COMPUTED_VALUE"""),"- 1,3 %")</f>
        <v>- 1,3 %</v>
      </c>
      <c r="D170" s="1" t="str">
        <f>IFERROR(__xludf.DUMMYFUNCTION("""COMPUTED_VALUE"""),"- 4,0 %")</f>
        <v>- 4,0 %</v>
      </c>
      <c r="E170" s="1" t="str">
        <f>IFERROR(__xludf.DUMMYFUNCTION("""COMPUTED_VALUE"""),"- 12,5 %")</f>
        <v>- 12,5 %</v>
      </c>
    </row>
    <row r="171">
      <c r="A171" s="2">
        <f>IFERROR(__xludf.DUMMYFUNCTION("""COMPUTED_VALUE"""),41030.0)</f>
        <v>41030</v>
      </c>
      <c r="B171" s="1" t="str">
        <f>IFERROR(__xludf.DUMMYFUNCTION("""COMPUTED_VALUE"""),"1.998 €/m2")</f>
        <v>1.998 €/m2</v>
      </c>
      <c r="C171" s="1" t="str">
        <f>IFERROR(__xludf.DUMMYFUNCTION("""COMPUTED_VALUE"""),"- 0,9 %")</f>
        <v>- 0,9 %</v>
      </c>
      <c r="D171" s="1" t="str">
        <f>IFERROR(__xludf.DUMMYFUNCTION("""COMPUTED_VALUE"""),"- 2,9 %")</f>
        <v>- 2,9 %</v>
      </c>
      <c r="E171" s="1" t="str">
        <f>IFERROR(__xludf.DUMMYFUNCTION("""COMPUTED_VALUE"""),"- 13,0 %")</f>
        <v>- 13,0 %</v>
      </c>
    </row>
    <row r="172">
      <c r="A172" s="2">
        <f>IFERROR(__xludf.DUMMYFUNCTION("""COMPUTED_VALUE"""),41000.0)</f>
        <v>41000</v>
      </c>
      <c r="B172" s="1" t="str">
        <f>IFERROR(__xludf.DUMMYFUNCTION("""COMPUTED_VALUE"""),"2.015 €/m2")</f>
        <v>2.015 €/m2</v>
      </c>
      <c r="C172" s="1" t="str">
        <f>IFERROR(__xludf.DUMMYFUNCTION("""COMPUTED_VALUE"""),"- 1,8 %")</f>
        <v>- 1,8 %</v>
      </c>
      <c r="D172" s="1" t="str">
        <f>IFERROR(__xludf.DUMMYFUNCTION("""COMPUTED_VALUE"""),"- 3,6 %")</f>
        <v>- 3,6 %</v>
      </c>
      <c r="E172" s="1" t="str">
        <f>IFERROR(__xludf.DUMMYFUNCTION("""COMPUTED_VALUE"""),"- 12,7 %")</f>
        <v>- 12,7 %</v>
      </c>
    </row>
    <row r="173">
      <c r="A173" s="2">
        <f>IFERROR(__xludf.DUMMYFUNCTION("""COMPUTED_VALUE"""),40969.0)</f>
        <v>40969</v>
      </c>
      <c r="B173" s="1" t="str">
        <f>IFERROR(__xludf.DUMMYFUNCTION("""COMPUTED_VALUE"""),"2.053 €/m2")</f>
        <v>2.053 €/m2</v>
      </c>
      <c r="C173" s="1" t="str">
        <f>IFERROR(__xludf.DUMMYFUNCTION("""COMPUTED_VALUE"""),"- 0,2 %")</f>
        <v>- 0,2 %</v>
      </c>
      <c r="D173" s="1" t="str">
        <f>IFERROR(__xludf.DUMMYFUNCTION("""COMPUTED_VALUE"""),"- 2,5 %")</f>
        <v>- 2,5 %</v>
      </c>
      <c r="E173" s="1" t="str">
        <f>IFERROR(__xludf.DUMMYFUNCTION("""COMPUTED_VALUE"""),"- 12,0 %")</f>
        <v>- 12,0 %</v>
      </c>
    </row>
    <row r="174">
      <c r="A174" s="2">
        <f>IFERROR(__xludf.DUMMYFUNCTION("""COMPUTED_VALUE"""),40940.0)</f>
        <v>40940</v>
      </c>
      <c r="B174" s="1" t="str">
        <f>IFERROR(__xludf.DUMMYFUNCTION("""COMPUTED_VALUE"""),"2.057 €/m2")</f>
        <v>2.057 €/m2</v>
      </c>
      <c r="C174" s="1" t="str">
        <f>IFERROR(__xludf.DUMMYFUNCTION("""COMPUTED_VALUE"""),"- 1,6 %")</f>
        <v>- 1,6 %</v>
      </c>
      <c r="D174" s="1" t="str">
        <f>IFERROR(__xludf.DUMMYFUNCTION("""COMPUTED_VALUE"""),"- 3,6 %")</f>
        <v>- 3,6 %</v>
      </c>
      <c r="E174" s="1" t="str">
        <f>IFERROR(__xludf.DUMMYFUNCTION("""COMPUTED_VALUE"""),"- 11,8 %")</f>
        <v>- 11,8 %</v>
      </c>
    </row>
    <row r="175">
      <c r="A175" s="2">
        <f>IFERROR(__xludf.DUMMYFUNCTION("""COMPUTED_VALUE"""),40909.0)</f>
        <v>40909</v>
      </c>
      <c r="B175" s="1" t="str">
        <f>IFERROR(__xludf.DUMMYFUNCTION("""COMPUTED_VALUE"""),"2.090 €/m2")</f>
        <v>2.090 €/m2</v>
      </c>
      <c r="C175" s="1" t="str">
        <f>IFERROR(__xludf.DUMMYFUNCTION("""COMPUTED_VALUE"""),"- 0,8 %")</f>
        <v>- 0,8 %</v>
      </c>
      <c r="D175" s="1" t="str">
        <f>IFERROR(__xludf.DUMMYFUNCTION("""COMPUTED_VALUE"""),"- 3,9 %")</f>
        <v>- 3,9 %</v>
      </c>
      <c r="E175" s="1" t="str">
        <f>IFERROR(__xludf.DUMMYFUNCTION("""COMPUTED_VALUE"""),"- 12,0 %")</f>
        <v>- 12,0 %</v>
      </c>
    </row>
    <row r="176">
      <c r="A176" s="2">
        <f>IFERROR(__xludf.DUMMYFUNCTION("""COMPUTED_VALUE"""),40878.0)</f>
        <v>40878</v>
      </c>
      <c r="B176" s="1" t="str">
        <f>IFERROR(__xludf.DUMMYFUNCTION("""COMPUTED_VALUE"""),"2.106 €/m2")</f>
        <v>2.106 €/m2</v>
      </c>
      <c r="C176" s="1" t="str">
        <f>IFERROR(__xludf.DUMMYFUNCTION("""COMPUTED_VALUE"""),"- 1,3 %")</f>
        <v>- 1,3 %</v>
      </c>
      <c r="D176" s="1" t="str">
        <f>IFERROR(__xludf.DUMMYFUNCTION("""COMPUTED_VALUE"""),"- 6,2 %")</f>
        <v>- 6,2 %</v>
      </c>
      <c r="E176" s="1" t="str">
        <f>IFERROR(__xludf.DUMMYFUNCTION("""COMPUTED_VALUE"""),"- 12,5 %")</f>
        <v>- 12,5 %</v>
      </c>
    </row>
    <row r="177">
      <c r="A177" s="2">
        <f>IFERROR(__xludf.DUMMYFUNCTION("""COMPUTED_VALUE"""),40848.0)</f>
        <v>40848</v>
      </c>
      <c r="B177" s="1" t="str">
        <f>IFERROR(__xludf.DUMMYFUNCTION("""COMPUTED_VALUE"""),"2.134 €/m2")</f>
        <v>2.134 €/m2</v>
      </c>
      <c r="C177" s="1" t="str">
        <f>IFERROR(__xludf.DUMMYFUNCTION("""COMPUTED_VALUE"""),"- 1,9 %")</f>
        <v>- 1,9 %</v>
      </c>
      <c r="D177" s="1" t="str">
        <f>IFERROR(__xludf.DUMMYFUNCTION("""COMPUTED_VALUE"""),"- 2,4 %")</f>
        <v>- 2,4 %</v>
      </c>
      <c r="E177" s="1" t="str">
        <f>IFERROR(__xludf.DUMMYFUNCTION("""COMPUTED_VALUE"""),"- 11,7 %")</f>
        <v>- 11,7 %</v>
      </c>
    </row>
    <row r="178">
      <c r="A178" s="2">
        <f>IFERROR(__xludf.DUMMYFUNCTION("""COMPUTED_VALUE"""),40817.0)</f>
        <v>40817</v>
      </c>
      <c r="B178" s="1" t="str">
        <f>IFERROR(__xludf.DUMMYFUNCTION("""COMPUTED_VALUE"""),"2.175 €/m2")</f>
        <v>2.175 €/m2</v>
      </c>
      <c r="C178" s="1" t="str">
        <f>IFERROR(__xludf.DUMMYFUNCTION("""COMPUTED_VALUE"""),"- 3,2 %")</f>
        <v>- 3,2 %</v>
      </c>
      <c r="D178" s="1" t="str">
        <f>IFERROR(__xludf.DUMMYFUNCTION("""COMPUTED_VALUE"""),"- 2,6 %")</f>
        <v>- 2,6 %</v>
      </c>
      <c r="E178" s="1" t="str">
        <f>IFERROR(__xludf.DUMMYFUNCTION("""COMPUTED_VALUE"""),"- 8,9 %")</f>
        <v>- 8,9 %</v>
      </c>
    </row>
    <row r="179">
      <c r="A179" s="2">
        <f>IFERROR(__xludf.DUMMYFUNCTION("""COMPUTED_VALUE"""),40787.0)</f>
        <v>40787</v>
      </c>
      <c r="B179" s="1" t="str">
        <f>IFERROR(__xludf.DUMMYFUNCTION("""COMPUTED_VALUE"""),"2.246 €/m2")</f>
        <v>2.246 €/m2</v>
      </c>
      <c r="C179" s="1" t="str">
        <f>IFERROR(__xludf.DUMMYFUNCTION("""COMPUTED_VALUE"""),"+ 2,8 %")</f>
        <v>+ 2,8 %</v>
      </c>
      <c r="D179" s="1" t="str">
        <f>IFERROR(__xludf.DUMMYFUNCTION("""COMPUTED_VALUE"""),"- 0,3 %")</f>
        <v>- 0,3 %</v>
      </c>
      <c r="E179" s="1" t="str">
        <f>IFERROR(__xludf.DUMMYFUNCTION("""COMPUTED_VALUE"""),"- 5,4 %")</f>
        <v>- 5,4 %</v>
      </c>
    </row>
    <row r="180">
      <c r="A180" s="2">
        <f>IFERROR(__xludf.DUMMYFUNCTION("""COMPUTED_VALUE"""),40756.0)</f>
        <v>40756</v>
      </c>
      <c r="B180" s="1" t="str">
        <f>IFERROR(__xludf.DUMMYFUNCTION("""COMPUTED_VALUE"""),"2.186 €/m2")</f>
        <v>2.186 €/m2</v>
      </c>
      <c r="C180" s="1" t="str">
        <f>IFERROR(__xludf.DUMMYFUNCTION("""COMPUTED_VALUE"""),"- 2,2 %")</f>
        <v>- 2,2 %</v>
      </c>
      <c r="D180" s="1" t="str">
        <f>IFERROR(__xludf.DUMMYFUNCTION("""COMPUTED_VALUE"""),"- 4,9 %")</f>
        <v>- 4,9 %</v>
      </c>
      <c r="E180" s="1" t="str">
        <f>IFERROR(__xludf.DUMMYFUNCTION("""COMPUTED_VALUE"""),"- 8,2 %")</f>
        <v>- 8,2 %</v>
      </c>
    </row>
    <row r="181">
      <c r="A181" s="2">
        <f>IFERROR(__xludf.DUMMYFUNCTION("""COMPUTED_VALUE"""),40725.0)</f>
        <v>40725</v>
      </c>
      <c r="B181" s="1" t="str">
        <f>IFERROR(__xludf.DUMMYFUNCTION("""COMPUTED_VALUE"""),"2.234 €/m2")</f>
        <v>2.234 €/m2</v>
      </c>
      <c r="C181" s="1" t="str">
        <f>IFERROR(__xludf.DUMMYFUNCTION("""COMPUTED_VALUE"""),"- 0,9 %")</f>
        <v>- 0,9 %</v>
      </c>
      <c r="D181" s="1" t="str">
        <f>IFERROR(__xludf.DUMMYFUNCTION("""COMPUTED_VALUE"""),"- 3,2 %")</f>
        <v>- 3,2 %</v>
      </c>
      <c r="E181" s="1" t="str">
        <f>IFERROR(__xludf.DUMMYFUNCTION("""COMPUTED_VALUE"""),"- 9,2 %")</f>
        <v>- 9,2 %</v>
      </c>
    </row>
    <row r="182">
      <c r="A182" s="2">
        <f>IFERROR(__xludf.DUMMYFUNCTION("""COMPUTED_VALUE"""),40695.0)</f>
        <v>40695</v>
      </c>
      <c r="B182" s="1" t="str">
        <f>IFERROR(__xludf.DUMMYFUNCTION("""COMPUTED_VALUE"""),"2.253 €/m2")</f>
        <v>2.253 €/m2</v>
      </c>
      <c r="C182" s="1" t="str">
        <f>IFERROR(__xludf.DUMMYFUNCTION("""COMPUTED_VALUE"""),"- 1,9 %")</f>
        <v>- 1,9 %</v>
      </c>
      <c r="D182" s="1" t="str">
        <f>IFERROR(__xludf.DUMMYFUNCTION("""COMPUTED_VALUE"""),"- 3,4 %")</f>
        <v>- 3,4 %</v>
      </c>
      <c r="E182" s="1" t="str">
        <f>IFERROR(__xludf.DUMMYFUNCTION("""COMPUTED_VALUE"""),"- 7,8 %")</f>
        <v>- 7,8 %</v>
      </c>
    </row>
    <row r="183">
      <c r="A183" s="2">
        <f>IFERROR(__xludf.DUMMYFUNCTION("""COMPUTED_VALUE"""),40664.0)</f>
        <v>40664</v>
      </c>
      <c r="B183" s="1" t="str">
        <f>IFERROR(__xludf.DUMMYFUNCTION("""COMPUTED_VALUE"""),"2.297 €/m2")</f>
        <v>2.297 €/m2</v>
      </c>
      <c r="C183" s="1" t="str">
        <f>IFERROR(__xludf.DUMMYFUNCTION("""COMPUTED_VALUE"""),"- 0,5 %")</f>
        <v>- 0,5 %</v>
      </c>
      <c r="D183" s="1" t="str">
        <f>IFERROR(__xludf.DUMMYFUNCTION("""COMPUTED_VALUE"""),"- 1,4 %")</f>
        <v>- 1,4 %</v>
      </c>
      <c r="E183" s="1" t="str">
        <f>IFERROR(__xludf.DUMMYFUNCTION("""COMPUTED_VALUE"""),"- 5,0 %")</f>
        <v>- 5,0 %</v>
      </c>
    </row>
    <row r="184">
      <c r="A184" s="2">
        <f>IFERROR(__xludf.DUMMYFUNCTION("""COMPUTED_VALUE"""),40634.0)</f>
        <v>40634</v>
      </c>
      <c r="B184" s="1" t="str">
        <f>IFERROR(__xludf.DUMMYFUNCTION("""COMPUTED_VALUE"""),"2.308 €/m2")</f>
        <v>2.308 €/m2</v>
      </c>
      <c r="C184" s="1" t="str">
        <f>IFERROR(__xludf.DUMMYFUNCTION("""COMPUTED_VALUE"""),"- 1,1 %")</f>
        <v>- 1,1 %</v>
      </c>
      <c r="D184" s="1" t="str">
        <f>IFERROR(__xludf.DUMMYFUNCTION("""COMPUTED_VALUE"""),"- 2,8 %")</f>
        <v>- 2,8 %</v>
      </c>
      <c r="E184" s="1" t="str">
        <f>IFERROR(__xludf.DUMMYFUNCTION("""COMPUTED_VALUE"""),"- 4,0 %")</f>
        <v>- 4,0 %</v>
      </c>
    </row>
    <row r="185">
      <c r="A185" s="2">
        <f>IFERROR(__xludf.DUMMYFUNCTION("""COMPUTED_VALUE"""),40603.0)</f>
        <v>40603</v>
      </c>
      <c r="B185" s="1" t="str">
        <f>IFERROR(__xludf.DUMMYFUNCTION("""COMPUTED_VALUE"""),"2.333 €/m2")</f>
        <v>2.333 €/m2</v>
      </c>
      <c r="C185" s="1" t="str">
        <f>IFERROR(__xludf.DUMMYFUNCTION("""COMPUTED_VALUE"""),"+ 0,1 %")</f>
        <v>+ 0,1 %</v>
      </c>
      <c r="D185" s="1" t="str">
        <f>IFERROR(__xludf.DUMMYFUNCTION("""COMPUTED_VALUE"""),"- 3,0 %")</f>
        <v>- 3,0 %</v>
      </c>
      <c r="E185" s="1" t="str">
        <f>IFERROR(__xludf.DUMMYFUNCTION("""COMPUTED_VALUE"""),"- 4,0 %")</f>
        <v>- 4,0 %</v>
      </c>
    </row>
    <row r="186">
      <c r="A186" s="2">
        <f>IFERROR(__xludf.DUMMYFUNCTION("""COMPUTED_VALUE"""),40575.0)</f>
        <v>40575</v>
      </c>
      <c r="B186" s="1" t="str">
        <f>IFERROR(__xludf.DUMMYFUNCTION("""COMPUTED_VALUE"""),"2.331 €/m2")</f>
        <v>2.331 €/m2</v>
      </c>
      <c r="C186" s="1" t="str">
        <f>IFERROR(__xludf.DUMMYFUNCTION("""COMPUTED_VALUE"""),"- 1,8 %")</f>
        <v>- 1,8 %</v>
      </c>
      <c r="D186" s="1" t="str">
        <f>IFERROR(__xludf.DUMMYFUNCTION("""COMPUTED_VALUE"""),"- 3,5 %")</f>
        <v>- 3,5 %</v>
      </c>
      <c r="E186" s="1" t="str">
        <f>IFERROR(__xludf.DUMMYFUNCTION("""COMPUTED_VALUE"""),"- 6,9 %")</f>
        <v>- 6,9 %</v>
      </c>
    </row>
    <row r="187">
      <c r="A187" s="2">
        <f>IFERROR(__xludf.DUMMYFUNCTION("""COMPUTED_VALUE"""),40544.0)</f>
        <v>40544</v>
      </c>
      <c r="B187" s="1" t="str">
        <f>IFERROR(__xludf.DUMMYFUNCTION("""COMPUTED_VALUE"""),"2.375 €/m2")</f>
        <v>2.375 €/m2</v>
      </c>
      <c r="C187" s="1" t="str">
        <f>IFERROR(__xludf.DUMMYFUNCTION("""COMPUTED_VALUE"""),"- 1,3 %")</f>
        <v>- 1,3 %</v>
      </c>
      <c r="D187" s="1" t="str">
        <f>IFERROR(__xludf.DUMMYFUNCTION("""COMPUTED_VALUE"""),"- 0,5 %")</f>
        <v>- 0,5 %</v>
      </c>
      <c r="E187" s="1" t="str">
        <f>IFERROR(__xludf.DUMMYFUNCTION("""COMPUTED_VALUE"""),"- 4,2 %")</f>
        <v>- 4,2 %</v>
      </c>
    </row>
    <row r="188">
      <c r="A188" s="2">
        <f>IFERROR(__xludf.DUMMYFUNCTION("""COMPUTED_VALUE"""),40513.0)</f>
        <v>40513</v>
      </c>
      <c r="B188" s="1" t="str">
        <f>IFERROR(__xludf.DUMMYFUNCTION("""COMPUTED_VALUE"""),"2.406 €/m2")</f>
        <v>2.406 €/m2</v>
      </c>
      <c r="C188" s="1" t="str">
        <f>IFERROR(__xludf.DUMMYFUNCTION("""COMPUTED_VALUE"""),"- 0,4 %")</f>
        <v>- 0,4 %</v>
      </c>
      <c r="D188" s="1" t="str">
        <f>IFERROR(__xludf.DUMMYFUNCTION("""COMPUTED_VALUE"""),"+ 1,4 %")</f>
        <v>+ 1,4 %</v>
      </c>
      <c r="E188" s="1" t="str">
        <f>IFERROR(__xludf.DUMMYFUNCTION("""COMPUTED_VALUE"""),"- 4,3 %")</f>
        <v>- 4,3 %</v>
      </c>
    </row>
    <row r="189">
      <c r="A189" s="2">
        <f>IFERROR(__xludf.DUMMYFUNCTION("""COMPUTED_VALUE"""),40483.0)</f>
        <v>40483</v>
      </c>
      <c r="B189" s="1" t="str">
        <f>IFERROR(__xludf.DUMMYFUNCTION("""COMPUTED_VALUE"""),"2.416 €/m2")</f>
        <v>2.416 €/m2</v>
      </c>
      <c r="C189" s="1" t="str">
        <f>IFERROR(__xludf.DUMMYFUNCTION("""COMPUTED_VALUE"""),"+ 1,2 %")</f>
        <v>+ 1,2 %</v>
      </c>
      <c r="D189" s="1" t="str">
        <f>IFERROR(__xludf.DUMMYFUNCTION("""COMPUTED_VALUE"""),"+ 1,5 %")</f>
        <v>+ 1,5 %</v>
      </c>
      <c r="E189" s="1" t="str">
        <f>IFERROR(__xludf.DUMMYFUNCTION("""COMPUTED_VALUE"""),"- 4,3 %")</f>
        <v>- 4,3 %</v>
      </c>
    </row>
    <row r="190">
      <c r="A190" s="2">
        <f>IFERROR(__xludf.DUMMYFUNCTION("""COMPUTED_VALUE"""),40452.0)</f>
        <v>40452</v>
      </c>
      <c r="B190" s="1" t="str">
        <f>IFERROR(__xludf.DUMMYFUNCTION("""COMPUTED_VALUE"""),"2.387 €/m2")</f>
        <v>2.387 €/m2</v>
      </c>
      <c r="C190" s="1" t="str">
        <f>IFERROR(__xludf.DUMMYFUNCTION("""COMPUTED_VALUE"""),"+ 0,6 %")</f>
        <v>+ 0,6 %</v>
      </c>
      <c r="D190" s="1" t="str">
        <f>IFERROR(__xludf.DUMMYFUNCTION("""COMPUTED_VALUE"""),"- 2,9 %")</f>
        <v>- 2,9 %</v>
      </c>
      <c r="E190" s="1" t="str">
        <f>IFERROR(__xludf.DUMMYFUNCTION("""COMPUTED_VALUE"""),"- 5,4 %")</f>
        <v>- 5,4 %</v>
      </c>
    </row>
    <row r="191">
      <c r="A191" s="2">
        <f>IFERROR(__xludf.DUMMYFUNCTION("""COMPUTED_VALUE"""),40422.0)</f>
        <v>40422</v>
      </c>
      <c r="B191" s="1" t="str">
        <f>IFERROR(__xludf.DUMMYFUNCTION("""COMPUTED_VALUE"""),"2.373 €/m2")</f>
        <v>2.373 €/m2</v>
      </c>
      <c r="C191" s="1" t="str">
        <f>IFERROR(__xludf.DUMMYFUNCTION("""COMPUTED_VALUE"""),"- 0,3 %")</f>
        <v>- 0,3 %</v>
      </c>
      <c r="D191" s="1" t="str">
        <f>IFERROR(__xludf.DUMMYFUNCTION("""COMPUTED_VALUE"""),"- 2,9 %")</f>
        <v>- 2,9 %</v>
      </c>
      <c r="E191" s="1" t="str">
        <f>IFERROR(__xludf.DUMMYFUNCTION("""COMPUTED_VALUE"""),"- 5,9 %")</f>
        <v>- 5,9 %</v>
      </c>
    </row>
    <row r="192">
      <c r="A192" s="2">
        <f>IFERROR(__xludf.DUMMYFUNCTION("""COMPUTED_VALUE"""),40391.0)</f>
        <v>40391</v>
      </c>
      <c r="B192" s="1" t="str">
        <f>IFERROR(__xludf.DUMMYFUNCTION("""COMPUTED_VALUE"""),"2.381 €/m2")</f>
        <v>2.381 €/m2</v>
      </c>
      <c r="C192" s="1" t="str">
        <f>IFERROR(__xludf.DUMMYFUNCTION("""COMPUTED_VALUE"""),"- 3,2 %")</f>
        <v>- 3,2 %</v>
      </c>
      <c r="D192" s="1" t="str">
        <f>IFERROR(__xludf.DUMMYFUNCTION("""COMPUTED_VALUE"""),"- 1,6 %")</f>
        <v>- 1,6 %</v>
      </c>
      <c r="E192" s="1" t="str">
        <f>IFERROR(__xludf.DUMMYFUNCTION("""COMPUTED_VALUE"""),"- 5,3 %")</f>
        <v>- 5,3 %</v>
      </c>
    </row>
    <row r="193">
      <c r="A193" s="2">
        <f>IFERROR(__xludf.DUMMYFUNCTION("""COMPUTED_VALUE"""),40360.0)</f>
        <v>40360</v>
      </c>
      <c r="B193" s="1" t="str">
        <f>IFERROR(__xludf.DUMMYFUNCTION("""COMPUTED_VALUE"""),"2.459 €/m2")</f>
        <v>2.459 €/m2</v>
      </c>
      <c r="C193" s="1" t="str">
        <f>IFERROR(__xludf.DUMMYFUNCTION("""COMPUTED_VALUE"""),"+ 0,6 %")</f>
        <v>+ 0,6 %</v>
      </c>
      <c r="D193" s="1" t="str">
        <f>IFERROR(__xludf.DUMMYFUNCTION("""COMPUTED_VALUE"""),"+ 2,2 %")</f>
        <v>+ 2,2 %</v>
      </c>
      <c r="E193" s="1" t="str">
        <f>IFERROR(__xludf.DUMMYFUNCTION("""COMPUTED_VALUE"""),"- 3,8 %")</f>
        <v>- 3,8 %</v>
      </c>
    </row>
    <row r="194">
      <c r="A194" s="2">
        <f>IFERROR(__xludf.DUMMYFUNCTION("""COMPUTED_VALUE"""),40330.0)</f>
        <v>40330</v>
      </c>
      <c r="B194" s="1" t="str">
        <f>IFERROR(__xludf.DUMMYFUNCTION("""COMPUTED_VALUE"""),"2.443 €/m2")</f>
        <v>2.443 €/m2</v>
      </c>
      <c r="C194" s="1" t="str">
        <f>IFERROR(__xludf.DUMMYFUNCTION("""COMPUTED_VALUE"""),"+ 1,0 %")</f>
        <v>+ 1,0 %</v>
      </c>
      <c r="D194" s="1" t="str">
        <f>IFERROR(__xludf.DUMMYFUNCTION("""COMPUTED_VALUE"""),"+ 0,6 %")</f>
        <v>+ 0,6 %</v>
      </c>
      <c r="E194" s="1" t="str">
        <f>IFERROR(__xludf.DUMMYFUNCTION("""COMPUTED_VALUE"""),"- 5,8 %")</f>
        <v>- 5,8 %</v>
      </c>
    </row>
    <row r="195">
      <c r="A195" s="2">
        <f>IFERROR(__xludf.DUMMYFUNCTION("""COMPUTED_VALUE"""),40299.0)</f>
        <v>40299</v>
      </c>
      <c r="B195" s="1" t="str">
        <f>IFERROR(__xludf.DUMMYFUNCTION("""COMPUTED_VALUE"""),"2.419 €/m2")</f>
        <v>2.419 €/m2</v>
      </c>
      <c r="C195" s="1" t="str">
        <f>IFERROR(__xludf.DUMMYFUNCTION("""COMPUTED_VALUE"""),"+ 0,6 %")</f>
        <v>+ 0,6 %</v>
      </c>
      <c r="D195" s="1" t="str">
        <f>IFERROR(__xludf.DUMMYFUNCTION("""COMPUTED_VALUE"""),"- 3,4 %")</f>
        <v>- 3,4 %</v>
      </c>
      <c r="E195" s="1" t="str">
        <f>IFERROR(__xludf.DUMMYFUNCTION("""COMPUTED_VALUE"""),"- 8,3 %")</f>
        <v>- 8,3 %</v>
      </c>
    </row>
    <row r="196">
      <c r="A196" s="2">
        <f>IFERROR(__xludf.DUMMYFUNCTION("""COMPUTED_VALUE"""),40269.0)</f>
        <v>40269</v>
      </c>
      <c r="B196" s="1" t="str">
        <f>IFERROR(__xludf.DUMMYFUNCTION("""COMPUTED_VALUE"""),"2.406 €/m2")</f>
        <v>2.406 €/m2</v>
      </c>
      <c r="C196" s="1" t="str">
        <f>IFERROR(__xludf.DUMMYFUNCTION("""COMPUTED_VALUE"""),"- 1,0 %")</f>
        <v>- 1,0 %</v>
      </c>
      <c r="D196" s="1" t="str">
        <f>IFERROR(__xludf.DUMMYFUNCTION("""COMPUTED_VALUE"""),"- 3,0 %")</f>
        <v>- 3,0 %</v>
      </c>
      <c r="E196" s="1" t="str">
        <f>IFERROR(__xludf.DUMMYFUNCTION("""COMPUTED_VALUE"""),"- 10,1 %")</f>
        <v>- 10,1 %</v>
      </c>
    </row>
    <row r="197">
      <c r="A197" s="2">
        <f>IFERROR(__xludf.DUMMYFUNCTION("""COMPUTED_VALUE"""),40238.0)</f>
        <v>40238</v>
      </c>
      <c r="B197" s="1" t="str">
        <f>IFERROR(__xludf.DUMMYFUNCTION("""COMPUTED_VALUE"""),"2.430 €/m2")</f>
        <v>2.430 €/m2</v>
      </c>
      <c r="C197" s="1" t="str">
        <f>IFERROR(__xludf.DUMMYFUNCTION("""COMPUTED_VALUE"""),"- 3,0 %")</f>
        <v>- 3,0 %</v>
      </c>
      <c r="D197" s="1" t="str">
        <f>IFERROR(__xludf.DUMMYFUNCTION("""COMPUTED_VALUE"""),"- 3,4 %")</f>
        <v>- 3,4 %</v>
      </c>
      <c r="E197" s="1" t="str">
        <f>IFERROR(__xludf.DUMMYFUNCTION("""COMPUTED_VALUE"""),"- 7,9 %")</f>
        <v>- 7,9 %</v>
      </c>
    </row>
    <row r="198">
      <c r="A198" s="2">
        <f>IFERROR(__xludf.DUMMYFUNCTION("""COMPUTED_VALUE"""),40210.0)</f>
        <v>40210</v>
      </c>
      <c r="B198" s="1" t="str">
        <f>IFERROR(__xludf.DUMMYFUNCTION("""COMPUTED_VALUE"""),"2.504 €/m2")</f>
        <v>2.504 €/m2</v>
      </c>
      <c r="C198" s="1" t="str">
        <f>IFERROR(__xludf.DUMMYFUNCTION("""COMPUTED_VALUE"""),"+ 1,0 %")</f>
        <v>+ 1,0 %</v>
      </c>
      <c r="D198" s="1" t="str">
        <f>IFERROR(__xludf.DUMMYFUNCTION("""COMPUTED_VALUE"""),"- 0,7 %")</f>
        <v>- 0,7 %</v>
      </c>
      <c r="E198" s="1" t="str">
        <f>IFERROR(__xludf.DUMMYFUNCTION("""COMPUTED_VALUE"""),"- 5,1 %")</f>
        <v>- 5,1 %</v>
      </c>
    </row>
    <row r="199">
      <c r="A199" s="2">
        <f>IFERROR(__xludf.DUMMYFUNCTION("""COMPUTED_VALUE"""),40179.0)</f>
        <v>40179</v>
      </c>
      <c r="B199" s="1" t="str">
        <f>IFERROR(__xludf.DUMMYFUNCTION("""COMPUTED_VALUE"""),"2.480 €/m2")</f>
        <v>2.480 €/m2</v>
      </c>
      <c r="C199" s="1" t="str">
        <f>IFERROR(__xludf.DUMMYFUNCTION("""COMPUTED_VALUE"""),"- 1,4 %")</f>
        <v>- 1,4 %</v>
      </c>
      <c r="D199" s="1" t="str">
        <f>IFERROR(__xludf.DUMMYFUNCTION("""COMPUTED_VALUE"""),"- 1,7 %")</f>
        <v>- 1,7 %</v>
      </c>
      <c r="E199" s="1" t="str">
        <f>IFERROR(__xludf.DUMMYFUNCTION("""COMPUTED_VALUE"""),"- 8,7 %")</f>
        <v>- 8,7 %</v>
      </c>
    </row>
    <row r="200">
      <c r="A200" s="2">
        <f>IFERROR(__xludf.DUMMYFUNCTION("""COMPUTED_VALUE"""),40148.0)</f>
        <v>40148</v>
      </c>
      <c r="B200" s="1" t="str">
        <f>IFERROR(__xludf.DUMMYFUNCTION("""COMPUTED_VALUE"""),"2.514 €/m2")</f>
        <v>2.514 €/m2</v>
      </c>
      <c r="C200" s="1" t="str">
        <f>IFERROR(__xludf.DUMMYFUNCTION("""COMPUTED_VALUE"""),"- 0,3 %")</f>
        <v>- 0,3 %</v>
      </c>
      <c r="D200" s="1" t="str">
        <f>IFERROR(__xludf.DUMMYFUNCTION("""COMPUTED_VALUE"""),"- 0,3 %")</f>
        <v>- 0,3 %</v>
      </c>
      <c r="E200" s="1" t="str">
        <f>IFERROR(__xludf.DUMMYFUNCTION("""COMPUTED_VALUE"""),"- 8,2 %")</f>
        <v>- 8,2 %</v>
      </c>
    </row>
    <row r="201">
      <c r="A201" s="2">
        <f>IFERROR(__xludf.DUMMYFUNCTION("""COMPUTED_VALUE"""),40118.0)</f>
        <v>40118</v>
      </c>
      <c r="B201" s="1" t="str">
        <f>IFERROR(__xludf.DUMMYFUNCTION("""COMPUTED_VALUE"""),"2.523 €/m2")</f>
        <v>2.523 €/m2</v>
      </c>
      <c r="C201" s="1" t="str">
        <f>IFERROR(__xludf.DUMMYFUNCTION("""COMPUTED_VALUE"""),"0,0 %")</f>
        <v>0,0 %</v>
      </c>
      <c r="D201" s="1" t="str">
        <f>IFERROR(__xludf.DUMMYFUNCTION("""COMPUTED_VALUE"""),"+ 0,3 %")</f>
        <v>+ 0,3 %</v>
      </c>
      <c r="E201" s="1" t="str">
        <f>IFERROR(__xludf.DUMMYFUNCTION("""COMPUTED_VALUE"""),"- 10,0 %")</f>
        <v>- 10,0 %</v>
      </c>
    </row>
    <row r="202">
      <c r="A202" s="2">
        <f>IFERROR(__xludf.DUMMYFUNCTION("""COMPUTED_VALUE"""),40087.0)</f>
        <v>40087</v>
      </c>
      <c r="B202" s="1" t="str">
        <f>IFERROR(__xludf.DUMMYFUNCTION("""COMPUTED_VALUE"""),"2.522 €/m2")</f>
        <v>2.522 €/m2</v>
      </c>
      <c r="C202" s="1" t="str">
        <f>IFERROR(__xludf.DUMMYFUNCTION("""COMPUTED_VALUE"""),"0,0 %")</f>
        <v>0,0 %</v>
      </c>
      <c r="D202" s="1" t="str">
        <f>IFERROR(__xludf.DUMMYFUNCTION("""COMPUTED_VALUE"""),"- 1,4 %")</f>
        <v>- 1,4 %</v>
      </c>
      <c r="E202" s="1" t="str">
        <f>IFERROR(__xludf.DUMMYFUNCTION("""COMPUTED_VALUE"""),"- 9,6 %")</f>
        <v>- 9,6 %</v>
      </c>
    </row>
    <row r="203">
      <c r="A203" s="2">
        <f>IFERROR(__xludf.DUMMYFUNCTION("""COMPUTED_VALUE"""),40057.0)</f>
        <v>40057</v>
      </c>
      <c r="B203" s="1" t="str">
        <f>IFERROR(__xludf.DUMMYFUNCTION("""COMPUTED_VALUE"""),"2.522 €/m2")</f>
        <v>2.522 €/m2</v>
      </c>
      <c r="C203" s="1" t="str">
        <f>IFERROR(__xludf.DUMMYFUNCTION("""COMPUTED_VALUE"""),"+ 0,3 %")</f>
        <v>+ 0,3 %</v>
      </c>
      <c r="D203" s="1" t="str">
        <f>IFERROR(__xludf.DUMMYFUNCTION("""COMPUTED_VALUE"""),"- 2,7 %")</f>
        <v>- 2,7 %</v>
      </c>
      <c r="E203" s="1" t="str">
        <f>IFERROR(__xludf.DUMMYFUNCTION("""COMPUTED_VALUE"""),"- 7,1 %")</f>
        <v>- 7,1 %</v>
      </c>
    </row>
    <row r="204">
      <c r="A204" s="2">
        <f>IFERROR(__xludf.DUMMYFUNCTION("""COMPUTED_VALUE"""),40026.0)</f>
        <v>40026</v>
      </c>
      <c r="B204" s="1" t="str">
        <f>IFERROR(__xludf.DUMMYFUNCTION("""COMPUTED_VALUE"""),"2.514 €/m2")</f>
        <v>2.514 €/m2</v>
      </c>
      <c r="C204" s="1" t="str">
        <f>IFERROR(__xludf.DUMMYFUNCTION("""COMPUTED_VALUE"""),"- 1,7 %")</f>
        <v>- 1,7 %</v>
      </c>
      <c r="D204" s="1" t="str">
        <f>IFERROR(__xludf.DUMMYFUNCTION("""COMPUTED_VALUE"""),"- 4,7 %")</f>
        <v>- 4,7 %</v>
      </c>
      <c r="E204" s="1" t="str">
        <f>IFERROR(__xludf.DUMMYFUNCTION("""COMPUTED_VALUE"""),"- 11,2 %")</f>
        <v>- 11,2 %</v>
      </c>
    </row>
    <row r="205">
      <c r="A205" s="2">
        <f>IFERROR(__xludf.DUMMYFUNCTION("""COMPUTED_VALUE"""),39995.0)</f>
        <v>39995</v>
      </c>
      <c r="B205" s="1" t="str">
        <f>IFERROR(__xludf.DUMMYFUNCTION("""COMPUTED_VALUE"""),"2.558 €/m2")</f>
        <v>2.558 €/m2</v>
      </c>
      <c r="C205" s="1" t="str">
        <f>IFERROR(__xludf.DUMMYFUNCTION("""COMPUTED_VALUE"""),"- 1,4 %")</f>
        <v>- 1,4 %</v>
      </c>
      <c r="D205" s="1" t="str">
        <f>IFERROR(__xludf.DUMMYFUNCTION("""COMPUTED_VALUE"""),"- 4,4 %")</f>
        <v>- 4,4 %</v>
      </c>
      <c r="E205" s="1" t="str">
        <f>IFERROR(__xludf.DUMMYFUNCTION("""COMPUTED_VALUE"""),"- 9,7 %")</f>
        <v>- 9,7 %</v>
      </c>
    </row>
    <row r="206">
      <c r="A206" s="2">
        <f>IFERROR(__xludf.DUMMYFUNCTION("""COMPUTED_VALUE"""),39965.0)</f>
        <v>39965</v>
      </c>
      <c r="B206" s="1" t="str">
        <f>IFERROR(__xludf.DUMMYFUNCTION("""COMPUTED_VALUE"""),"2.593 €/m2")</f>
        <v>2.593 €/m2</v>
      </c>
      <c r="C206" s="1" t="str">
        <f>IFERROR(__xludf.DUMMYFUNCTION("""COMPUTED_VALUE"""),"- 1,8 %")</f>
        <v>- 1,8 %</v>
      </c>
      <c r="D206" s="1" t="str">
        <f>IFERROR(__xludf.DUMMYFUNCTION("""COMPUTED_VALUE"""),"- 1,8 %")</f>
        <v>- 1,8 %</v>
      </c>
      <c r="E206" s="1" t="str">
        <f>IFERROR(__xludf.DUMMYFUNCTION("""COMPUTED_VALUE"""),"- 7,5 %")</f>
        <v>- 7,5 %</v>
      </c>
    </row>
    <row r="207">
      <c r="A207" s="2">
        <f>IFERROR(__xludf.DUMMYFUNCTION("""COMPUTED_VALUE"""),39934.0)</f>
        <v>39934</v>
      </c>
      <c r="B207" s="1" t="str">
        <f>IFERROR(__xludf.DUMMYFUNCTION("""COMPUTED_VALUE"""),"2.640 €/m2")</f>
        <v>2.640 €/m2</v>
      </c>
      <c r="C207" s="1" t="str">
        <f>IFERROR(__xludf.DUMMYFUNCTION("""COMPUTED_VALUE"""),"- 1,3 %")</f>
        <v>- 1,3 %</v>
      </c>
      <c r="D207" s="1" t="str">
        <f>IFERROR(__xludf.DUMMYFUNCTION("""COMPUTED_VALUE"""),"+ 0,1 %")</f>
        <v>+ 0,1 %</v>
      </c>
      <c r="E207" s="1" t="str">
        <f>IFERROR(__xludf.DUMMYFUNCTION("""COMPUTED_VALUE"""),"- 6,5 %")</f>
        <v>- 6,5 %</v>
      </c>
    </row>
    <row r="208">
      <c r="A208" s="2">
        <f>IFERROR(__xludf.DUMMYFUNCTION("""COMPUTED_VALUE"""),39904.0)</f>
        <v>39904</v>
      </c>
      <c r="B208" s="1" t="str">
        <f>IFERROR(__xludf.DUMMYFUNCTION("""COMPUTED_VALUE"""),"2.675 €/m2")</f>
        <v>2.675 €/m2</v>
      </c>
      <c r="C208" s="1" t="str">
        <f>IFERROR(__xludf.DUMMYFUNCTION("""COMPUTED_VALUE"""),"+ 1,4 %")</f>
        <v>+ 1,4 %</v>
      </c>
      <c r="D208" s="1" t="str">
        <f>IFERROR(__xludf.DUMMYFUNCTION("""COMPUTED_VALUE"""),"- 1,5 %")</f>
        <v>- 1,5 %</v>
      </c>
      <c r="E208" s="1" t="str">
        <f>IFERROR(__xludf.DUMMYFUNCTION("""COMPUTED_VALUE"""),"- 5,9 %")</f>
        <v>- 5,9 %</v>
      </c>
    </row>
    <row r="209">
      <c r="A209" s="2">
        <f>IFERROR(__xludf.DUMMYFUNCTION("""COMPUTED_VALUE"""),39873.0)</f>
        <v>39873</v>
      </c>
      <c r="B209" s="1" t="str">
        <f>IFERROR(__xludf.DUMMYFUNCTION("""COMPUTED_VALUE"""),"2.639 €/m2")</f>
        <v>2.639 €/m2</v>
      </c>
      <c r="C209" s="1" t="str">
        <f>IFERROR(__xludf.DUMMYFUNCTION("""COMPUTED_VALUE"""),"0,0 %")</f>
        <v>0,0 %</v>
      </c>
      <c r="D209" s="1" t="str">
        <f>IFERROR(__xludf.DUMMYFUNCTION("""COMPUTED_VALUE"""),"- 3,6 %")</f>
        <v>- 3,6 %</v>
      </c>
      <c r="E209" s="1" t="str">
        <f>IFERROR(__xludf.DUMMYFUNCTION("""COMPUTED_VALUE"""),"- 8,8 %")</f>
        <v>- 8,8 %</v>
      </c>
    </row>
    <row r="210">
      <c r="A210" s="2">
        <f>IFERROR(__xludf.DUMMYFUNCTION("""COMPUTED_VALUE"""),39845.0)</f>
        <v>39845</v>
      </c>
      <c r="B210" s="1" t="str">
        <f>IFERROR(__xludf.DUMMYFUNCTION("""COMPUTED_VALUE"""),"2.638 €/m2")</f>
        <v>2.638 €/m2</v>
      </c>
      <c r="C210" s="1" t="str">
        <f>IFERROR(__xludf.DUMMYFUNCTION("""COMPUTED_VALUE"""),"- 2,9 %")</f>
        <v>- 2,9 %</v>
      </c>
      <c r="D210" s="1" t="str">
        <f>IFERROR(__xludf.DUMMYFUNCTION("""COMPUTED_VALUE"""),"- 5,9 %")</f>
        <v>- 5,9 %</v>
      </c>
      <c r="E210" s="1" t="str">
        <f>IFERROR(__xludf.DUMMYFUNCTION("""COMPUTED_VALUE"""),"- 5,5 %")</f>
        <v>- 5,5 %</v>
      </c>
    </row>
    <row r="211">
      <c r="A211" s="2">
        <f>IFERROR(__xludf.DUMMYFUNCTION("""COMPUTED_VALUE"""),39814.0)</f>
        <v>39814</v>
      </c>
      <c r="B211" s="1" t="str">
        <f>IFERROR(__xludf.DUMMYFUNCTION("""COMPUTED_VALUE"""),"2.717 €/m2")</f>
        <v>2.717 €/m2</v>
      </c>
      <c r="C211" s="1" t="str">
        <f>IFERROR(__xludf.DUMMYFUNCTION("""COMPUTED_VALUE"""),"- 0,8 %")</f>
        <v>- 0,8 %</v>
      </c>
      <c r="D211" s="1" t="str">
        <f>IFERROR(__xludf.DUMMYFUNCTION("""COMPUTED_VALUE"""),"- 2,7 %")</f>
        <v>- 2,7 %</v>
      </c>
      <c r="E211" s="1" t="str">
        <f>IFERROR(__xludf.DUMMYFUNCTION("""COMPUTED_VALUE"""),"- 7,6 %")</f>
        <v>- 7,6 %</v>
      </c>
    </row>
    <row r="212">
      <c r="A212" s="2">
        <f>IFERROR(__xludf.DUMMYFUNCTION("""COMPUTED_VALUE"""),39783.0)</f>
        <v>39783</v>
      </c>
      <c r="B212" s="1" t="str">
        <f>IFERROR(__xludf.DUMMYFUNCTION("""COMPUTED_VALUE"""),"2.738 €/m2")</f>
        <v>2.738 €/m2</v>
      </c>
      <c r="C212" s="1" t="str">
        <f>IFERROR(__xludf.DUMMYFUNCTION("""COMPUTED_VALUE"""),"- 2,3 %")</f>
        <v>- 2,3 %</v>
      </c>
      <c r="D212" s="1" t="str">
        <f>IFERROR(__xludf.DUMMYFUNCTION("""COMPUTED_VALUE"""),"+ 0,9 %")</f>
        <v>+ 0,9 %</v>
      </c>
      <c r="E212" s="1" t="str">
        <f>IFERROR(__xludf.DUMMYFUNCTION("""COMPUTED_VALUE"""),"- 4,0 %")</f>
        <v>- 4,0 %</v>
      </c>
    </row>
    <row r="213">
      <c r="A213" s="2">
        <f>IFERROR(__xludf.DUMMYFUNCTION("""COMPUTED_VALUE"""),39753.0)</f>
        <v>39753</v>
      </c>
      <c r="B213" s="1" t="str">
        <f>IFERROR(__xludf.DUMMYFUNCTION("""COMPUTED_VALUE"""),"2.802 €/m2")</f>
        <v>2.802 €/m2</v>
      </c>
      <c r="C213" s="1" t="str">
        <f>IFERROR(__xludf.DUMMYFUNCTION("""COMPUTED_VALUE"""),"+ 0,4 %")</f>
        <v>+ 0,4 %</v>
      </c>
      <c r="D213" s="1" t="str">
        <f>IFERROR(__xludf.DUMMYFUNCTION("""COMPUTED_VALUE"""),"- 1,0 %")</f>
        <v>- 1,0 %</v>
      </c>
      <c r="E213" s="1" t="str">
        <f>IFERROR(__xludf.DUMMYFUNCTION("""COMPUTED_VALUE"""),"- 10,4 %")</f>
        <v>- 10,4 %</v>
      </c>
    </row>
    <row r="214">
      <c r="A214" s="2">
        <f>IFERROR(__xludf.DUMMYFUNCTION("""COMPUTED_VALUE"""),39722.0)</f>
        <v>39722</v>
      </c>
      <c r="B214" s="1" t="str">
        <f>IFERROR(__xludf.DUMMYFUNCTION("""COMPUTED_VALUE"""),"2.791 €/m2")</f>
        <v>2.791 €/m2</v>
      </c>
      <c r="C214" s="1" t="str">
        <f>IFERROR(__xludf.DUMMYFUNCTION("""COMPUTED_VALUE"""),"+ 2,9 %")</f>
        <v>+ 2,9 %</v>
      </c>
      <c r="D214" s="1" t="str">
        <f>IFERROR(__xludf.DUMMYFUNCTION("""COMPUTED_VALUE"""),"- 1,4 %")</f>
        <v>- 1,4 %</v>
      </c>
      <c r="E214" s="1" t="str">
        <f>IFERROR(__xludf.DUMMYFUNCTION("""COMPUTED_VALUE"""),"- 10,7 %")</f>
        <v>- 10,7 %</v>
      </c>
    </row>
    <row r="215">
      <c r="A215" s="2">
        <f>IFERROR(__xludf.DUMMYFUNCTION("""COMPUTED_VALUE"""),39692.0)</f>
        <v>39692</v>
      </c>
      <c r="B215" s="1" t="str">
        <f>IFERROR(__xludf.DUMMYFUNCTION("""COMPUTED_VALUE"""),"2.714 €/m2")</f>
        <v>2.714 €/m2</v>
      </c>
      <c r="C215" s="1" t="str">
        <f>IFERROR(__xludf.DUMMYFUNCTION("""COMPUTED_VALUE"""),"- 4,2 %")</f>
        <v>- 4,2 %</v>
      </c>
      <c r="D215" s="1" t="str">
        <f>IFERROR(__xludf.DUMMYFUNCTION("""COMPUTED_VALUE"""),"- 3,2 %")</f>
        <v>- 3,2 %</v>
      </c>
      <c r="E215" s="1" t="str">
        <f>IFERROR(__xludf.DUMMYFUNCTION("""COMPUTED_VALUE"""),"n.d.")</f>
        <v>n.d.</v>
      </c>
    </row>
    <row r="216">
      <c r="A216" s="2">
        <f>IFERROR(__xludf.DUMMYFUNCTION("""COMPUTED_VALUE"""),39661.0)</f>
        <v>39661</v>
      </c>
      <c r="B216" s="1" t="str">
        <f>IFERROR(__xludf.DUMMYFUNCTION("""COMPUTED_VALUE"""),"2.831 €/m2")</f>
        <v>2.831 €/m2</v>
      </c>
      <c r="C216" s="1" t="str">
        <f>IFERROR(__xludf.DUMMYFUNCTION("""COMPUTED_VALUE"""),"0,0 %")</f>
        <v>0,0 %</v>
      </c>
      <c r="D216" s="1" t="str">
        <f>IFERROR(__xludf.DUMMYFUNCTION("""COMPUTED_VALUE"""),"+ 0,3 %")</f>
        <v>+ 0,3 %</v>
      </c>
      <c r="E216" s="1" t="str">
        <f>IFERROR(__xludf.DUMMYFUNCTION("""COMPUTED_VALUE"""),"n.d.")</f>
        <v>n.d.</v>
      </c>
    </row>
    <row r="217">
      <c r="A217" s="2">
        <f>IFERROR(__xludf.DUMMYFUNCTION("""COMPUTED_VALUE"""),39630.0)</f>
        <v>39630</v>
      </c>
      <c r="B217" s="1" t="str">
        <f>IFERROR(__xludf.DUMMYFUNCTION("""COMPUTED_VALUE"""),"2.831 €/m2")</f>
        <v>2.831 €/m2</v>
      </c>
      <c r="C217" s="1" t="str">
        <f>IFERROR(__xludf.DUMMYFUNCTION("""COMPUTED_VALUE"""),"+ 1,0 %")</f>
        <v>+ 1,0 %</v>
      </c>
      <c r="D217" s="1" t="str">
        <f>IFERROR(__xludf.DUMMYFUNCTION("""COMPUTED_VALUE"""),"- 0,4 %")</f>
        <v>- 0,4 %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IFERROR(__xludf.DUMMYFUNCTION("""COMPUTED_VALUE"""),"2.803 €/m2")</f>
        <v>2.803 €/m2</v>
      </c>
      <c r="C218" s="1" t="str">
        <f>IFERROR(__xludf.DUMMYFUNCTION("""COMPUTED_VALUE"""),"- 0,7 %")</f>
        <v>- 0,7 %</v>
      </c>
      <c r="D218" s="1" t="str">
        <f>IFERROR(__xludf.DUMMYFUNCTION("""COMPUTED_VALUE"""),"- 3,2 %")</f>
        <v>- 3,2 %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IFERROR(__xludf.DUMMYFUNCTION("""COMPUTED_VALUE"""),"2.823 €/m2")</f>
        <v>2.823 €/m2</v>
      </c>
      <c r="C219" s="1" t="str">
        <f>IFERROR(__xludf.DUMMYFUNCTION("""COMPUTED_VALUE"""),"- 0,6 %")</f>
        <v>- 0,6 %</v>
      </c>
      <c r="D219" s="1" t="str">
        <f>IFERROR(__xludf.DUMMYFUNCTION("""COMPUTED_VALUE"""),"+ 1,1 %")</f>
        <v>+ 1,1 %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IFERROR(__xludf.DUMMYFUNCTION("""COMPUTED_VALUE"""),"2.842 €/m2")</f>
        <v>2.842 €/m2</v>
      </c>
      <c r="C220" s="1" t="str">
        <f>IFERROR(__xludf.DUMMYFUNCTION("""COMPUTED_VALUE"""),"- 1,8 %")</f>
        <v>- 1,8 %</v>
      </c>
      <c r="D220" s="1" t="str">
        <f>IFERROR(__xludf.DUMMYFUNCTION("""COMPUTED_VALUE"""),"- 3,4 %")</f>
        <v>- 3,4 %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IFERROR(__xludf.DUMMYFUNCTION("""COMPUTED_VALUE"""),"2.895 €/m2")</f>
        <v>2.895 €/m2</v>
      </c>
      <c r="C221" s="1" t="str">
        <f>IFERROR(__xludf.DUMMYFUNCTION("""COMPUTED_VALUE"""),"+ 3,7 %")</f>
        <v>+ 3,7 %</v>
      </c>
      <c r="D221" s="1" t="str">
        <f>IFERROR(__xludf.DUMMYFUNCTION("""COMPUTED_VALUE"""),"+ 1,5 %")</f>
        <v>+ 1,5 %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IFERROR(__xludf.DUMMYFUNCTION("""COMPUTED_VALUE"""),"2.793 €/m2")</f>
        <v>2.793 €/m2</v>
      </c>
      <c r="C222" s="1" t="str">
        <f>IFERROR(__xludf.DUMMYFUNCTION("""COMPUTED_VALUE"""),"- 5,1 %")</f>
        <v>- 5,1 %</v>
      </c>
      <c r="D222" s="1" t="str">
        <f>IFERROR(__xludf.DUMMYFUNCTION("""COMPUTED_VALUE"""),"- 10,7 %")</f>
        <v>- 10,7 %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IFERROR(__xludf.DUMMYFUNCTION("""COMPUTED_VALUE"""),"2.941 €/m2")</f>
        <v>2.941 €/m2</v>
      </c>
      <c r="C223" s="1" t="str">
        <f>IFERROR(__xludf.DUMMYFUNCTION("""COMPUTED_VALUE"""),"+ 3,2 %")</f>
        <v>+ 3,2 %</v>
      </c>
      <c r="D223" s="1" t="str">
        <f>IFERROR(__xludf.DUMMYFUNCTION("""COMPUTED_VALUE"""),"- 5,9 %")</f>
        <v>- 5,9 %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IFERROR(__xludf.DUMMYFUNCTION("""COMPUTED_VALUE"""),"2.851 €/m2")</f>
        <v>2.851 €/m2</v>
      </c>
      <c r="C224" s="1" t="str">
        <f>IFERROR(__xludf.DUMMYFUNCTION("""COMPUTED_VALUE"""),"- 8,8 %")</f>
        <v>- 8,8 %</v>
      </c>
      <c r="D224" s="1" t="str">
        <f>IFERROR(__xludf.DUMMYFUNCTION("""COMPUTED_VALUE"""),"n.d.")</f>
        <v>n.d.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IFERROR(__xludf.DUMMYFUNCTION("""COMPUTED_VALUE"""),"3.127 €/m2")</f>
        <v>3.127 €/m2</v>
      </c>
      <c r="C225" s="1" t="str">
        <f>IFERROR(__xludf.DUMMYFUNCTION("""COMPUTED_VALUE"""),"n.d.")</f>
        <v>n.d.</v>
      </c>
      <c r="D225" s="1" t="str">
        <f>IFERROR(__xludf.DUMMYFUNCTION("""COMPUTED_VALUE"""),"n.d.")</f>
        <v>n.d.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IFERROR(__xludf.DUMMYFUNCTION("""COMPUTED_VALUE"""),"3.127 €/m2")</f>
        <v>3.127 €/m2</v>
      </c>
      <c r="C226" s="1" t="str">
        <f>IFERROR(__xludf.DUMMYFUNCTION("""COMPUTED_VALUE"""),"n.d.")</f>
        <v>n.d.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IFERROR(__xludf.DUMMYFUNCTION("""COMPUTED_VALUE"""),"n.d.")</f>
        <v>n.d.</v>
      </c>
      <c r="C227" s="1" t="str">
        <f>IFERROR(__xludf.DUMMYFUNCTION("""COMPUTED_VALUE"""),"n.d.")</f>
        <v>n.d.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IFERROR(__xludf.DUMMYFUNCTION("""COMPUTED_VALUE"""),"n.d.")</f>
        <v>n.d.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IFERROR(__xludf.DUMMYFUNCTION("IMPORTHTML(""https://www.idealista.com/sala-de-prensa/informes-precio-vivienda/venta/madrid-comunidad/madrid-provincia/madrid/vicalvaro/historico/"",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IFERROR(__xludf.DUMMYFUNCTION("""COMPUTED_VALUE"""),"3.999 €/m2")</f>
        <v>3.999 €/m2</v>
      </c>
      <c r="C2" s="1" t="str">
        <f>IFERROR(__xludf.DUMMYFUNCTION("""COMPUTED_VALUE"""),"+ 2,1 %")</f>
        <v>+ 2,1 %</v>
      </c>
      <c r="D2" s="1" t="str">
        <f>IFERROR(__xludf.DUMMYFUNCTION("""COMPUTED_VALUE"""),"+ 4,5 %")</f>
        <v>+ 4,5 %</v>
      </c>
      <c r="E2" s="1" t="str">
        <f>IFERROR(__xludf.DUMMYFUNCTION("""COMPUTED_VALUE"""),"+ 16,7 %")</f>
        <v>+ 16,7 %</v>
      </c>
    </row>
    <row r="3">
      <c r="A3" s="2">
        <f>IFERROR(__xludf.DUMMYFUNCTION("""COMPUTED_VALUE"""),46143.0)</f>
        <v>46143</v>
      </c>
      <c r="B3" s="1" t="str">
        <f>IFERROR(__xludf.DUMMYFUNCTION("""COMPUTED_VALUE"""),"3.917 €/m2")</f>
        <v>3.917 €/m2</v>
      </c>
      <c r="C3" s="1" t="str">
        <f>IFERROR(__xludf.DUMMYFUNCTION("""COMPUTED_VALUE"""),"+ 0,4 %")</f>
        <v>+ 0,4 %</v>
      </c>
      <c r="D3" s="1" t="str">
        <f>IFERROR(__xludf.DUMMYFUNCTION("""COMPUTED_VALUE"""),"+ 5,0 %")</f>
        <v>+ 5,0 %</v>
      </c>
      <c r="E3" s="1" t="str">
        <f>IFERROR(__xludf.DUMMYFUNCTION("""COMPUTED_VALUE"""),"+ 18,0 %")</f>
        <v>+ 18,0 %</v>
      </c>
    </row>
    <row r="4">
      <c r="A4" s="2">
        <f>IFERROR(__xludf.DUMMYFUNCTION("""COMPUTED_VALUE"""),46113.0)</f>
        <v>46113</v>
      </c>
      <c r="B4" s="1" t="str">
        <f>IFERROR(__xludf.DUMMYFUNCTION("""COMPUTED_VALUE"""),"3.903 €/m2")</f>
        <v>3.903 €/m2</v>
      </c>
      <c r="C4" s="1" t="str">
        <f>IFERROR(__xludf.DUMMYFUNCTION("""COMPUTED_VALUE"""),"+ 2,0 %")</f>
        <v>+ 2,0 %</v>
      </c>
      <c r="D4" s="1" t="str">
        <f>IFERROR(__xludf.DUMMYFUNCTION("""COMPUTED_VALUE"""),"+ 4,5 %")</f>
        <v>+ 4,5 %</v>
      </c>
      <c r="E4" s="1" t="str">
        <f>IFERROR(__xludf.DUMMYFUNCTION("""COMPUTED_VALUE"""),"+ 19,6 %")</f>
        <v>+ 19,6 %</v>
      </c>
    </row>
    <row r="5">
      <c r="A5" s="2">
        <f>IFERROR(__xludf.DUMMYFUNCTION("""COMPUTED_VALUE"""),46082.0)</f>
        <v>46082</v>
      </c>
      <c r="B5" s="1" t="str">
        <f>IFERROR(__xludf.DUMMYFUNCTION("""COMPUTED_VALUE"""),"3.827 €/m2")</f>
        <v>3.827 €/m2</v>
      </c>
      <c r="C5" s="1" t="str">
        <f>IFERROR(__xludf.DUMMYFUNCTION("""COMPUTED_VALUE"""),"+ 2,6 %")</f>
        <v>+ 2,6 %</v>
      </c>
      <c r="D5" s="1" t="str">
        <f>IFERROR(__xludf.DUMMYFUNCTION("""COMPUTED_VALUE"""),"+ 2,4 %")</f>
        <v>+ 2,4 %</v>
      </c>
      <c r="E5" s="1" t="str">
        <f>IFERROR(__xludf.DUMMYFUNCTION("""COMPUTED_VALUE"""),"+ 20,7 %")</f>
        <v>+ 20,7 %</v>
      </c>
    </row>
    <row r="6">
      <c r="A6" s="2">
        <f>IFERROR(__xludf.DUMMYFUNCTION("""COMPUTED_VALUE"""),46054.0)</f>
        <v>46054</v>
      </c>
      <c r="B6" s="1" t="str">
        <f>IFERROR(__xludf.DUMMYFUNCTION("""COMPUTED_VALUE"""),"3.730 €/m2")</f>
        <v>3.730 €/m2</v>
      </c>
      <c r="C6" s="1" t="str">
        <f>IFERROR(__xludf.DUMMYFUNCTION("""COMPUTED_VALUE"""),"- 0,1 %")</f>
        <v>- 0,1 %</v>
      </c>
      <c r="D6" s="1" t="str">
        <f>IFERROR(__xludf.DUMMYFUNCTION("""COMPUTED_VALUE"""),"+ 0,4 %")</f>
        <v>+ 0,4 %</v>
      </c>
      <c r="E6" s="1" t="str">
        <f>IFERROR(__xludf.DUMMYFUNCTION("""COMPUTED_VALUE"""),"+ 18,1 %")</f>
        <v>+ 18,1 %</v>
      </c>
    </row>
    <row r="7">
      <c r="A7" s="2">
        <f>IFERROR(__xludf.DUMMYFUNCTION("""COMPUTED_VALUE"""),46023.0)</f>
        <v>46023</v>
      </c>
      <c r="B7" s="1" t="str">
        <f>IFERROR(__xludf.DUMMYFUNCTION("""COMPUTED_VALUE"""),"3.735 €/m2")</f>
        <v>3.735 €/m2</v>
      </c>
      <c r="C7" s="1" t="str">
        <f>IFERROR(__xludf.DUMMYFUNCTION("""COMPUTED_VALUE"""),"0,0 %")</f>
        <v>0,0 %</v>
      </c>
      <c r="D7" s="1" t="str">
        <f>IFERROR(__xludf.DUMMYFUNCTION("""COMPUTED_VALUE"""),"+ 0,5 %")</f>
        <v>+ 0,5 %</v>
      </c>
      <c r="E7" s="1" t="str">
        <f>IFERROR(__xludf.DUMMYFUNCTION("""COMPUTED_VALUE"""),"+ 22,2 %")</f>
        <v>+ 22,2 %</v>
      </c>
    </row>
    <row r="8">
      <c r="A8" s="2">
        <f>IFERROR(__xludf.DUMMYFUNCTION("""COMPUTED_VALUE"""),45992.0)</f>
        <v>45992</v>
      </c>
      <c r="B8" s="1" t="str">
        <f>IFERROR(__xludf.DUMMYFUNCTION("""COMPUTED_VALUE"""),"3.737 €/m2")</f>
        <v>3.737 €/m2</v>
      </c>
      <c r="C8" s="1" t="str">
        <f>IFERROR(__xludf.DUMMYFUNCTION("""COMPUTED_VALUE"""),"+ 0,6 %")</f>
        <v>+ 0,6 %</v>
      </c>
      <c r="D8" s="1" t="str">
        <f>IFERROR(__xludf.DUMMYFUNCTION("""COMPUTED_VALUE"""),"+ 1,4 %")</f>
        <v>+ 1,4 %</v>
      </c>
      <c r="E8" s="1" t="str">
        <f>IFERROR(__xludf.DUMMYFUNCTION("""COMPUTED_VALUE"""),"+ 14,3 %")</f>
        <v>+ 14,3 %</v>
      </c>
    </row>
    <row r="9">
      <c r="A9" s="2">
        <f>IFERROR(__xludf.DUMMYFUNCTION("""COMPUTED_VALUE"""),45962.0)</f>
        <v>45962</v>
      </c>
      <c r="B9" s="1" t="str">
        <f>IFERROR(__xludf.DUMMYFUNCTION("""COMPUTED_VALUE"""),"3.715 €/m2")</f>
        <v>3.715 €/m2</v>
      </c>
      <c r="C9" s="1" t="str">
        <f>IFERROR(__xludf.DUMMYFUNCTION("""COMPUTED_VALUE"""),"0,0 %")</f>
        <v>0,0 %</v>
      </c>
      <c r="D9" s="1" t="str">
        <f>IFERROR(__xludf.DUMMYFUNCTION("""COMPUTED_VALUE"""),"+ 2,8 %")</f>
        <v>+ 2,8 %</v>
      </c>
      <c r="E9" s="1" t="str">
        <f>IFERROR(__xludf.DUMMYFUNCTION("""COMPUTED_VALUE"""),"+ 12,7 %")</f>
        <v>+ 12,7 %</v>
      </c>
    </row>
    <row r="10">
      <c r="A10" s="2">
        <f>IFERROR(__xludf.DUMMYFUNCTION("""COMPUTED_VALUE"""),45931.0)</f>
        <v>45931</v>
      </c>
      <c r="B10" s="1" t="str">
        <f>IFERROR(__xludf.DUMMYFUNCTION("""COMPUTED_VALUE"""),"3.716 €/m2")</f>
        <v>3.716 €/m2</v>
      </c>
      <c r="C10" s="1" t="str">
        <f>IFERROR(__xludf.DUMMYFUNCTION("""COMPUTED_VALUE"""),"+ 0,9 %")</f>
        <v>+ 0,9 %</v>
      </c>
      <c r="D10" s="1" t="str">
        <f>IFERROR(__xludf.DUMMYFUNCTION("""COMPUTED_VALUE"""),"+ 4,9 %")</f>
        <v>+ 4,9 %</v>
      </c>
      <c r="E10" s="1" t="str">
        <f>IFERROR(__xludf.DUMMYFUNCTION("""COMPUTED_VALUE"""),"+ 16,3 %")</f>
        <v>+ 16,3 %</v>
      </c>
    </row>
    <row r="11">
      <c r="A11" s="2">
        <f>IFERROR(__xludf.DUMMYFUNCTION("""COMPUTED_VALUE"""),45901.0)</f>
        <v>45901</v>
      </c>
      <c r="B11" s="1" t="str">
        <f>IFERROR(__xludf.DUMMYFUNCTION("""COMPUTED_VALUE"""),"3.685 €/m2")</f>
        <v>3.685 €/m2</v>
      </c>
      <c r="C11" s="1" t="str">
        <f>IFERROR(__xludf.DUMMYFUNCTION("""COMPUTED_VALUE"""),"+ 2,0 %")</f>
        <v>+ 2,0 %</v>
      </c>
      <c r="D11" s="1" t="str">
        <f>IFERROR(__xludf.DUMMYFUNCTION("""COMPUTED_VALUE"""),"+ 7,6 %")</f>
        <v>+ 7,6 %</v>
      </c>
      <c r="E11" s="1" t="str">
        <f>IFERROR(__xludf.DUMMYFUNCTION("""COMPUTED_VALUE"""),"+ 19,1 %")</f>
        <v>+ 19,1 %</v>
      </c>
    </row>
    <row r="12">
      <c r="A12" s="2">
        <f>IFERROR(__xludf.DUMMYFUNCTION("""COMPUTED_VALUE"""),45870.0)</f>
        <v>45870</v>
      </c>
      <c r="B12" s="1" t="str">
        <f>IFERROR(__xludf.DUMMYFUNCTION("""COMPUTED_VALUE"""),"3.613 €/m2")</f>
        <v>3.613 €/m2</v>
      </c>
      <c r="C12" s="1" t="str">
        <f>IFERROR(__xludf.DUMMYFUNCTION("""COMPUTED_VALUE"""),"+ 2,0 %")</f>
        <v>+ 2,0 %</v>
      </c>
      <c r="D12" s="1" t="str">
        <f>IFERROR(__xludf.DUMMYFUNCTION("""COMPUTED_VALUE"""),"+ 8,8 %")</f>
        <v>+ 8,8 %</v>
      </c>
      <c r="E12" s="1" t="str">
        <f>IFERROR(__xludf.DUMMYFUNCTION("""COMPUTED_VALUE"""),"+ 20,9 %")</f>
        <v>+ 20,9 %</v>
      </c>
    </row>
    <row r="13">
      <c r="A13" s="2">
        <f>IFERROR(__xludf.DUMMYFUNCTION("""COMPUTED_VALUE"""),45839.0)</f>
        <v>45839</v>
      </c>
      <c r="B13" s="1" t="str">
        <f>IFERROR(__xludf.DUMMYFUNCTION("""COMPUTED_VALUE"""),"3.542 €/m2")</f>
        <v>3.542 €/m2</v>
      </c>
      <c r="C13" s="1" t="str">
        <f>IFERROR(__xludf.DUMMYFUNCTION("""COMPUTED_VALUE"""),"+ 3,4 %")</f>
        <v>+ 3,4 %</v>
      </c>
      <c r="D13" s="1" t="str">
        <f>IFERROR(__xludf.DUMMYFUNCTION("""COMPUTED_VALUE"""),"+ 8,6 %")</f>
        <v>+ 8,6 %</v>
      </c>
      <c r="E13" s="1" t="str">
        <f>IFERROR(__xludf.DUMMYFUNCTION("""COMPUTED_VALUE"""),"+ 18,5 %")</f>
        <v>+ 18,5 %</v>
      </c>
    </row>
    <row r="14">
      <c r="A14" s="2">
        <f>IFERROR(__xludf.DUMMYFUNCTION("""COMPUTED_VALUE"""),45809.0)</f>
        <v>45809</v>
      </c>
      <c r="B14" s="1" t="str">
        <f>IFERROR(__xludf.DUMMYFUNCTION("""COMPUTED_VALUE"""),"3.426 €/m2")</f>
        <v>3.426 €/m2</v>
      </c>
      <c r="C14" s="1" t="str">
        <f>IFERROR(__xludf.DUMMYFUNCTION("""COMPUTED_VALUE"""),"+ 3,2 %")</f>
        <v>+ 3,2 %</v>
      </c>
      <c r="D14" s="1" t="str">
        <f>IFERROR(__xludf.DUMMYFUNCTION("""COMPUTED_VALUE"""),"+ 8,0 %")</f>
        <v>+ 8,0 %</v>
      </c>
      <c r="E14" s="1" t="str">
        <f>IFERROR(__xludf.DUMMYFUNCTION("""COMPUTED_VALUE"""),"+ 16,3 %")</f>
        <v>+ 16,3 %</v>
      </c>
    </row>
    <row r="15">
      <c r="A15" s="2">
        <f>IFERROR(__xludf.DUMMYFUNCTION("""COMPUTED_VALUE"""),45778.0)</f>
        <v>45778</v>
      </c>
      <c r="B15" s="1" t="str">
        <f>IFERROR(__xludf.DUMMYFUNCTION("""COMPUTED_VALUE"""),"3.321 €/m2")</f>
        <v>3.321 €/m2</v>
      </c>
      <c r="C15" s="1" t="str">
        <f>IFERROR(__xludf.DUMMYFUNCTION("""COMPUTED_VALUE"""),"+ 1,8 %")</f>
        <v>+ 1,8 %</v>
      </c>
      <c r="D15" s="1" t="str">
        <f>IFERROR(__xludf.DUMMYFUNCTION("""COMPUTED_VALUE"""),"+ 5,2 %")</f>
        <v>+ 5,2 %</v>
      </c>
      <c r="E15" s="1" t="str">
        <f>IFERROR(__xludf.DUMMYFUNCTION("""COMPUTED_VALUE"""),"+ 15,3 %")</f>
        <v>+ 15,3 %</v>
      </c>
    </row>
    <row r="16">
      <c r="A16" s="2">
        <f>IFERROR(__xludf.DUMMYFUNCTION("""COMPUTED_VALUE"""),45748.0)</f>
        <v>45748</v>
      </c>
      <c r="B16" s="1" t="str">
        <f>IFERROR(__xludf.DUMMYFUNCTION("""COMPUTED_VALUE"""),"3.262 €/m2")</f>
        <v>3.262 €/m2</v>
      </c>
      <c r="C16" s="1" t="str">
        <f>IFERROR(__xludf.DUMMYFUNCTION("""COMPUTED_VALUE"""),"+ 2,9 %")</f>
        <v>+ 2,9 %</v>
      </c>
      <c r="D16" s="1" t="str">
        <f>IFERROR(__xludf.DUMMYFUNCTION("""COMPUTED_VALUE"""),"+ 6,7 %")</f>
        <v>+ 6,7 %</v>
      </c>
      <c r="E16" s="1" t="str">
        <f>IFERROR(__xludf.DUMMYFUNCTION("""COMPUTED_VALUE"""),"+ 14,5 %")</f>
        <v>+ 14,5 %</v>
      </c>
    </row>
    <row r="17">
      <c r="A17" s="2">
        <f>IFERROR(__xludf.DUMMYFUNCTION("""COMPUTED_VALUE"""),45717.0)</f>
        <v>45717</v>
      </c>
      <c r="B17" s="1" t="str">
        <f>IFERROR(__xludf.DUMMYFUNCTION("""COMPUTED_VALUE"""),"3.171 €/m2")</f>
        <v>3.171 €/m2</v>
      </c>
      <c r="C17" s="1" t="str">
        <f>IFERROR(__xludf.DUMMYFUNCTION("""COMPUTED_VALUE"""),"+ 0,4 %")</f>
        <v>+ 0,4 %</v>
      </c>
      <c r="D17" s="1" t="str">
        <f>IFERROR(__xludf.DUMMYFUNCTION("""COMPUTED_VALUE"""),"- 3,0 %")</f>
        <v>- 3,0 %</v>
      </c>
      <c r="E17" s="1" t="str">
        <f>IFERROR(__xludf.DUMMYFUNCTION("""COMPUTED_VALUE"""),"+ 9,5 %")</f>
        <v>+ 9,5 %</v>
      </c>
    </row>
    <row r="18">
      <c r="A18" s="2">
        <f>IFERROR(__xludf.DUMMYFUNCTION("""COMPUTED_VALUE"""),45689.0)</f>
        <v>45689</v>
      </c>
      <c r="B18" s="1" t="str">
        <f>IFERROR(__xludf.DUMMYFUNCTION("""COMPUTED_VALUE"""),"3.158 €/m2")</f>
        <v>3.158 €/m2</v>
      </c>
      <c r="C18" s="1" t="str">
        <f>IFERROR(__xludf.DUMMYFUNCTION("""COMPUTED_VALUE"""),"+ 3,3 %")</f>
        <v>+ 3,3 %</v>
      </c>
      <c r="D18" s="1" t="str">
        <f>IFERROR(__xludf.DUMMYFUNCTION("""COMPUTED_VALUE"""),"- 4,2 %")</f>
        <v>- 4,2 %</v>
      </c>
      <c r="E18" s="1" t="str">
        <f>IFERROR(__xludf.DUMMYFUNCTION("""COMPUTED_VALUE"""),"+ 10,3 %")</f>
        <v>+ 10,3 %</v>
      </c>
    </row>
    <row r="19">
      <c r="A19" s="2">
        <f>IFERROR(__xludf.DUMMYFUNCTION("""COMPUTED_VALUE"""),45658.0)</f>
        <v>45658</v>
      </c>
      <c r="B19" s="1" t="str">
        <f>IFERROR(__xludf.DUMMYFUNCTION("""COMPUTED_VALUE"""),"3.057 €/m2")</f>
        <v>3.057 €/m2</v>
      </c>
      <c r="C19" s="1" t="str">
        <f>IFERROR(__xludf.DUMMYFUNCTION("""COMPUTED_VALUE"""),"- 6,5 %")</f>
        <v>- 6,5 %</v>
      </c>
      <c r="D19" s="1" t="str">
        <f>IFERROR(__xludf.DUMMYFUNCTION("""COMPUTED_VALUE"""),"- 4,3 %")</f>
        <v>- 4,3 %</v>
      </c>
      <c r="E19" s="1" t="str">
        <f>IFERROR(__xludf.DUMMYFUNCTION("""COMPUTED_VALUE"""),"+ 5,5 %")</f>
        <v>+ 5,5 %</v>
      </c>
    </row>
    <row r="20">
      <c r="A20" s="2">
        <f>IFERROR(__xludf.DUMMYFUNCTION("""COMPUTED_VALUE"""),45627.0)</f>
        <v>45627</v>
      </c>
      <c r="B20" s="1" t="str">
        <f>IFERROR(__xludf.DUMMYFUNCTION("""COMPUTED_VALUE"""),"3.270 €/m2")</f>
        <v>3.270 €/m2</v>
      </c>
      <c r="C20" s="1" t="str">
        <f>IFERROR(__xludf.DUMMYFUNCTION("""COMPUTED_VALUE"""),"- 0,8 %")</f>
        <v>- 0,8 %</v>
      </c>
      <c r="D20" s="1" t="str">
        <f>IFERROR(__xludf.DUMMYFUNCTION("""COMPUTED_VALUE"""),"+ 5,7 %")</f>
        <v>+ 5,7 %</v>
      </c>
      <c r="E20" s="1" t="str">
        <f>IFERROR(__xludf.DUMMYFUNCTION("""COMPUTED_VALUE"""),"+ 14,9 %")</f>
        <v>+ 14,9 %</v>
      </c>
    </row>
    <row r="21">
      <c r="A21" s="2">
        <f>IFERROR(__xludf.DUMMYFUNCTION("""COMPUTED_VALUE"""),45597.0)</f>
        <v>45597</v>
      </c>
      <c r="B21" s="1" t="str">
        <f>IFERROR(__xludf.DUMMYFUNCTION("""COMPUTED_VALUE"""),"3.297 €/m2")</f>
        <v>3.297 €/m2</v>
      </c>
      <c r="C21" s="1" t="str">
        <f>IFERROR(__xludf.DUMMYFUNCTION("""COMPUTED_VALUE"""),"+ 3,2 %")</f>
        <v>+ 3,2 %</v>
      </c>
      <c r="D21" s="1" t="str">
        <f>IFERROR(__xludf.DUMMYFUNCTION("""COMPUTED_VALUE"""),"+ 10,3 %")</f>
        <v>+ 10,3 %</v>
      </c>
      <c r="E21" s="1" t="str">
        <f>IFERROR(__xludf.DUMMYFUNCTION("""COMPUTED_VALUE"""),"+ 15,0 %")</f>
        <v>+ 15,0 %</v>
      </c>
    </row>
    <row r="22">
      <c r="A22" s="2">
        <f>IFERROR(__xludf.DUMMYFUNCTION("""COMPUTED_VALUE"""),45566.0)</f>
        <v>45566</v>
      </c>
      <c r="B22" s="1" t="str">
        <f>IFERROR(__xludf.DUMMYFUNCTION("""COMPUTED_VALUE"""),"3.195 €/m2")</f>
        <v>3.195 €/m2</v>
      </c>
      <c r="C22" s="1" t="str">
        <f>IFERROR(__xludf.DUMMYFUNCTION("""COMPUTED_VALUE"""),"+ 3,3 %")</f>
        <v>+ 3,3 %</v>
      </c>
      <c r="D22" s="1" t="str">
        <f>IFERROR(__xludf.DUMMYFUNCTION("""COMPUTED_VALUE"""),"+ 6,9 %")</f>
        <v>+ 6,9 %</v>
      </c>
      <c r="E22" s="1" t="str">
        <f>IFERROR(__xludf.DUMMYFUNCTION("""COMPUTED_VALUE"""),"+ 10,4 %")</f>
        <v>+ 10,4 %</v>
      </c>
    </row>
    <row r="23">
      <c r="A23" s="2">
        <f>IFERROR(__xludf.DUMMYFUNCTION("""COMPUTED_VALUE"""),45536.0)</f>
        <v>45536</v>
      </c>
      <c r="B23" s="1" t="str">
        <f>IFERROR(__xludf.DUMMYFUNCTION("""COMPUTED_VALUE"""),"3.093 €/m2")</f>
        <v>3.093 €/m2</v>
      </c>
      <c r="C23" s="1" t="str">
        <f>IFERROR(__xludf.DUMMYFUNCTION("""COMPUTED_VALUE"""),"+ 3,5 %")</f>
        <v>+ 3,5 %</v>
      </c>
      <c r="D23" s="1" t="str">
        <f>IFERROR(__xludf.DUMMYFUNCTION("""COMPUTED_VALUE"""),"+ 5,0 %")</f>
        <v>+ 5,0 %</v>
      </c>
      <c r="E23" s="1" t="str">
        <f>IFERROR(__xludf.DUMMYFUNCTION("""COMPUTED_VALUE"""),"+ 7,5 %")</f>
        <v>+ 7,5 %</v>
      </c>
    </row>
    <row r="24">
      <c r="A24" s="2">
        <f>IFERROR(__xludf.DUMMYFUNCTION("""COMPUTED_VALUE"""),45505.0)</f>
        <v>45505</v>
      </c>
      <c r="B24" s="1" t="str">
        <f>IFERROR(__xludf.DUMMYFUNCTION("""COMPUTED_VALUE"""),"2.990 €/m2")</f>
        <v>2.990 €/m2</v>
      </c>
      <c r="C24" s="1" t="str">
        <f>IFERROR(__xludf.DUMMYFUNCTION("""COMPUTED_VALUE"""),"0,0 %")</f>
        <v>0,0 %</v>
      </c>
      <c r="D24" s="1" t="str">
        <f>IFERROR(__xludf.DUMMYFUNCTION("""COMPUTED_VALUE"""),"+ 3,8 %")</f>
        <v>+ 3,8 %</v>
      </c>
      <c r="E24" s="1" t="str">
        <f>IFERROR(__xludf.DUMMYFUNCTION("""COMPUTED_VALUE"""),"+ 2,5 %")</f>
        <v>+ 2,5 %</v>
      </c>
    </row>
    <row r="25">
      <c r="A25" s="2">
        <f>IFERROR(__xludf.DUMMYFUNCTION("""COMPUTED_VALUE"""),45474.0)</f>
        <v>45474</v>
      </c>
      <c r="B25" s="1" t="str">
        <f>IFERROR(__xludf.DUMMYFUNCTION("""COMPUTED_VALUE"""),"2.989 €/m2")</f>
        <v>2.989 €/m2</v>
      </c>
      <c r="C25" s="1" t="str">
        <f>IFERROR(__xludf.DUMMYFUNCTION("""COMPUTED_VALUE"""),"+ 1,5 %")</f>
        <v>+ 1,5 %</v>
      </c>
      <c r="D25" s="1" t="str">
        <f>IFERROR(__xludf.DUMMYFUNCTION("""COMPUTED_VALUE"""),"+ 4,9 %")</f>
        <v>+ 4,9 %</v>
      </c>
      <c r="E25" s="1" t="str">
        <f>IFERROR(__xludf.DUMMYFUNCTION("""COMPUTED_VALUE"""),"+ 2,5 %")</f>
        <v>+ 2,5 %</v>
      </c>
    </row>
    <row r="26">
      <c r="A26" s="2">
        <f>IFERROR(__xludf.DUMMYFUNCTION("""COMPUTED_VALUE"""),45444.0)</f>
        <v>45444</v>
      </c>
      <c r="B26" s="1" t="str">
        <f>IFERROR(__xludf.DUMMYFUNCTION("""COMPUTED_VALUE"""),"2.947 €/m2")</f>
        <v>2.947 €/m2</v>
      </c>
      <c r="C26" s="1" t="str">
        <f>IFERROR(__xludf.DUMMYFUNCTION("""COMPUTED_VALUE"""),"+ 2,3 %")</f>
        <v>+ 2,3 %</v>
      </c>
      <c r="D26" s="1" t="str">
        <f>IFERROR(__xludf.DUMMYFUNCTION("""COMPUTED_VALUE"""),"+ 1,7 %")</f>
        <v>+ 1,7 %</v>
      </c>
      <c r="E26" s="1" t="str">
        <f>IFERROR(__xludf.DUMMYFUNCTION("""COMPUTED_VALUE"""),"+ 0,2 %")</f>
        <v>+ 0,2 %</v>
      </c>
    </row>
    <row r="27">
      <c r="A27" s="2">
        <f>IFERROR(__xludf.DUMMYFUNCTION("""COMPUTED_VALUE"""),45413.0)</f>
        <v>45413</v>
      </c>
      <c r="B27" s="1" t="str">
        <f>IFERROR(__xludf.DUMMYFUNCTION("""COMPUTED_VALUE"""),"2.880 €/m2")</f>
        <v>2.880 €/m2</v>
      </c>
      <c r="C27" s="1" t="str">
        <f>IFERROR(__xludf.DUMMYFUNCTION("""COMPUTED_VALUE"""),"+ 1,1 %")</f>
        <v>+ 1,1 %</v>
      </c>
      <c r="D27" s="1" t="str">
        <f>IFERROR(__xludf.DUMMYFUNCTION("""COMPUTED_VALUE"""),"+ 0,6 %")</f>
        <v>+ 0,6 %</v>
      </c>
      <c r="E27" s="1" t="str">
        <f>IFERROR(__xludf.DUMMYFUNCTION("""COMPUTED_VALUE"""),"- 1,3 %")</f>
        <v>- 1,3 %</v>
      </c>
    </row>
    <row r="28">
      <c r="A28" s="2">
        <f>IFERROR(__xludf.DUMMYFUNCTION("""COMPUTED_VALUE"""),45383.0)</f>
        <v>45383</v>
      </c>
      <c r="B28" s="1" t="str">
        <f>IFERROR(__xludf.DUMMYFUNCTION("""COMPUTED_VALUE"""),"2.849 €/m2")</f>
        <v>2.849 €/m2</v>
      </c>
      <c r="C28" s="1" t="str">
        <f>IFERROR(__xludf.DUMMYFUNCTION("""COMPUTED_VALUE"""),"- 1,6 %")</f>
        <v>- 1,6 %</v>
      </c>
      <c r="D28" s="1" t="str">
        <f>IFERROR(__xludf.DUMMYFUNCTION("""COMPUTED_VALUE"""),"- 1,7 %")</f>
        <v>- 1,7 %</v>
      </c>
      <c r="E28" s="1" t="str">
        <f>IFERROR(__xludf.DUMMYFUNCTION("""COMPUTED_VALUE"""),"- 0,5 %")</f>
        <v>- 0,5 %</v>
      </c>
    </row>
    <row r="29">
      <c r="A29" s="2">
        <f>IFERROR(__xludf.DUMMYFUNCTION("""COMPUTED_VALUE"""),45352.0)</f>
        <v>45352</v>
      </c>
      <c r="B29" s="1" t="str">
        <f>IFERROR(__xludf.DUMMYFUNCTION("""COMPUTED_VALUE"""),"2.897 €/m2")</f>
        <v>2.897 €/m2</v>
      </c>
      <c r="C29" s="1" t="str">
        <f>IFERROR(__xludf.DUMMYFUNCTION("""COMPUTED_VALUE"""),"+ 1,2 %")</f>
        <v>+ 1,2 %</v>
      </c>
      <c r="D29" s="1" t="str">
        <f>IFERROR(__xludf.DUMMYFUNCTION("""COMPUTED_VALUE"""),"+ 1,8 %")</f>
        <v>+ 1,8 %</v>
      </c>
      <c r="E29" s="1" t="str">
        <f>IFERROR(__xludf.DUMMYFUNCTION("""COMPUTED_VALUE"""),"+ 3,2 %")</f>
        <v>+ 3,2 %</v>
      </c>
    </row>
    <row r="30">
      <c r="A30" s="2">
        <f>IFERROR(__xludf.DUMMYFUNCTION("""COMPUTED_VALUE"""),45323.0)</f>
        <v>45323</v>
      </c>
      <c r="B30" s="1" t="str">
        <f>IFERROR(__xludf.DUMMYFUNCTION("""COMPUTED_VALUE"""),"2.862 €/m2")</f>
        <v>2.862 €/m2</v>
      </c>
      <c r="C30" s="1" t="str">
        <f>IFERROR(__xludf.DUMMYFUNCTION("""COMPUTED_VALUE"""),"- 1,3 %")</f>
        <v>- 1,3 %</v>
      </c>
      <c r="D30" s="1" t="str">
        <f>IFERROR(__xludf.DUMMYFUNCTION("""COMPUTED_VALUE"""),"- 0,2 %")</f>
        <v>- 0,2 %</v>
      </c>
      <c r="E30" s="1" t="str">
        <f>IFERROR(__xludf.DUMMYFUNCTION("""COMPUTED_VALUE"""),"+ 1,9 %")</f>
        <v>+ 1,9 %</v>
      </c>
    </row>
    <row r="31">
      <c r="A31" s="2">
        <f>IFERROR(__xludf.DUMMYFUNCTION("""COMPUTED_VALUE"""),45292.0)</f>
        <v>45292</v>
      </c>
      <c r="B31" s="1" t="str">
        <f>IFERROR(__xludf.DUMMYFUNCTION("""COMPUTED_VALUE"""),"2.899 €/m2")</f>
        <v>2.899 €/m2</v>
      </c>
      <c r="C31" s="1" t="str">
        <f>IFERROR(__xludf.DUMMYFUNCTION("""COMPUTED_VALUE"""),"+ 1,9 %")</f>
        <v>+ 1,9 %</v>
      </c>
      <c r="D31" s="1" t="str">
        <f>IFERROR(__xludf.DUMMYFUNCTION("""COMPUTED_VALUE"""),"+ 0,1 %")</f>
        <v>+ 0,1 %</v>
      </c>
      <c r="E31" s="1" t="str">
        <f>IFERROR(__xludf.DUMMYFUNCTION("""COMPUTED_VALUE"""),"+ 2,9 %")</f>
        <v>+ 2,9 %</v>
      </c>
    </row>
    <row r="32">
      <c r="A32" s="2">
        <f>IFERROR(__xludf.DUMMYFUNCTION("""COMPUTED_VALUE"""),45261.0)</f>
        <v>45261</v>
      </c>
      <c r="B32" s="1" t="str">
        <f>IFERROR(__xludf.DUMMYFUNCTION("""COMPUTED_VALUE"""),"2.846 €/m2")</f>
        <v>2.846 €/m2</v>
      </c>
      <c r="C32" s="1" t="str">
        <f>IFERROR(__xludf.DUMMYFUNCTION("""COMPUTED_VALUE"""),"- 0,7 %")</f>
        <v>- 0,7 %</v>
      </c>
      <c r="D32" s="1" t="str">
        <f>IFERROR(__xludf.DUMMYFUNCTION("""COMPUTED_VALUE"""),"- 1,1 %")</f>
        <v>- 1,1 %</v>
      </c>
      <c r="E32" s="1" t="str">
        <f>IFERROR(__xludf.DUMMYFUNCTION("""COMPUTED_VALUE"""),"+ 1,0 %")</f>
        <v>+ 1,0 %</v>
      </c>
    </row>
    <row r="33">
      <c r="A33" s="2">
        <f>IFERROR(__xludf.DUMMYFUNCTION("""COMPUTED_VALUE"""),45231.0)</f>
        <v>45231</v>
      </c>
      <c r="B33" s="1" t="str">
        <f>IFERROR(__xludf.DUMMYFUNCTION("""COMPUTED_VALUE"""),"2.867 €/m2")</f>
        <v>2.867 €/m2</v>
      </c>
      <c r="C33" s="1" t="str">
        <f>IFERROR(__xludf.DUMMYFUNCTION("""COMPUTED_VALUE"""),"- 1,0 %")</f>
        <v>- 1,0 %</v>
      </c>
      <c r="D33" s="1" t="str">
        <f>IFERROR(__xludf.DUMMYFUNCTION("""COMPUTED_VALUE"""),"- 1,7 %")</f>
        <v>- 1,7 %</v>
      </c>
      <c r="E33" s="1" t="str">
        <f>IFERROR(__xludf.DUMMYFUNCTION("""COMPUTED_VALUE"""),"+ 0,5 %")</f>
        <v>+ 0,5 %</v>
      </c>
    </row>
    <row r="34">
      <c r="A34" s="2">
        <f>IFERROR(__xludf.DUMMYFUNCTION("""COMPUTED_VALUE"""),45200.0)</f>
        <v>45200</v>
      </c>
      <c r="B34" s="1" t="str">
        <f>IFERROR(__xludf.DUMMYFUNCTION("""COMPUTED_VALUE"""),"2.895 €/m2")</f>
        <v>2.895 €/m2</v>
      </c>
      <c r="C34" s="1" t="str">
        <f>IFERROR(__xludf.DUMMYFUNCTION("""COMPUTED_VALUE"""),"+ 0,6 %")</f>
        <v>+ 0,6 %</v>
      </c>
      <c r="D34" s="1" t="str">
        <f>IFERROR(__xludf.DUMMYFUNCTION("""COMPUTED_VALUE"""),"- 0,8 %")</f>
        <v>- 0,8 %</v>
      </c>
      <c r="E34" s="1" t="str">
        <f>IFERROR(__xludf.DUMMYFUNCTION("""COMPUTED_VALUE"""),"+ 0,2 %")</f>
        <v>+ 0,2 %</v>
      </c>
    </row>
    <row r="35">
      <c r="A35" s="2">
        <f>IFERROR(__xludf.DUMMYFUNCTION("""COMPUTED_VALUE"""),45170.0)</f>
        <v>45170</v>
      </c>
      <c r="B35" s="1" t="str">
        <f>IFERROR(__xludf.DUMMYFUNCTION("""COMPUTED_VALUE"""),"2.877 €/m2")</f>
        <v>2.877 €/m2</v>
      </c>
      <c r="C35" s="1" t="str">
        <f>IFERROR(__xludf.DUMMYFUNCTION("""COMPUTED_VALUE"""),"- 1,4 %")</f>
        <v>- 1,4 %</v>
      </c>
      <c r="D35" s="1" t="str">
        <f>IFERROR(__xludf.DUMMYFUNCTION("""COMPUTED_VALUE"""),"- 2,1 %")</f>
        <v>- 2,1 %</v>
      </c>
      <c r="E35" s="1" t="str">
        <f>IFERROR(__xludf.DUMMYFUNCTION("""COMPUTED_VALUE"""),"+ 2,3 %")</f>
        <v>+ 2,3 %</v>
      </c>
    </row>
    <row r="36">
      <c r="A36" s="2">
        <f>IFERROR(__xludf.DUMMYFUNCTION("""COMPUTED_VALUE"""),45139.0)</f>
        <v>45139</v>
      </c>
      <c r="B36" s="1" t="str">
        <f>IFERROR(__xludf.DUMMYFUNCTION("""COMPUTED_VALUE"""),"2.918 €/m2")</f>
        <v>2.918 €/m2</v>
      </c>
      <c r="C36" s="1" t="str">
        <f>IFERROR(__xludf.DUMMYFUNCTION("""COMPUTED_VALUE"""),"0,0 %")</f>
        <v>0,0 %</v>
      </c>
      <c r="D36" s="1" t="str">
        <f>IFERROR(__xludf.DUMMYFUNCTION("""COMPUTED_VALUE"""),"0,0 %")</f>
        <v>0,0 %</v>
      </c>
      <c r="E36" s="1" t="str">
        <f>IFERROR(__xludf.DUMMYFUNCTION("""COMPUTED_VALUE"""),"+ 2,3 %")</f>
        <v>+ 2,3 %</v>
      </c>
    </row>
    <row r="37">
      <c r="A37" s="2">
        <f>IFERROR(__xludf.DUMMYFUNCTION("""COMPUTED_VALUE"""),45108.0)</f>
        <v>45108</v>
      </c>
      <c r="B37" s="1" t="str">
        <f>IFERROR(__xludf.DUMMYFUNCTION("""COMPUTED_VALUE"""),"2.918 €/m2")</f>
        <v>2.918 €/m2</v>
      </c>
      <c r="C37" s="1" t="str">
        <f>IFERROR(__xludf.DUMMYFUNCTION("""COMPUTED_VALUE"""),"- 0,8 %")</f>
        <v>- 0,8 %</v>
      </c>
      <c r="D37" s="1" t="str">
        <f>IFERROR(__xludf.DUMMYFUNCTION("""COMPUTED_VALUE"""),"+ 1,9 %")</f>
        <v>+ 1,9 %</v>
      </c>
      <c r="E37" s="1" t="str">
        <f>IFERROR(__xludf.DUMMYFUNCTION("""COMPUTED_VALUE"""),"+ 3,3 %")</f>
        <v>+ 3,3 %</v>
      </c>
    </row>
    <row r="38">
      <c r="A38" s="2">
        <f>IFERROR(__xludf.DUMMYFUNCTION("""COMPUTED_VALUE"""),45078.0)</f>
        <v>45078</v>
      </c>
      <c r="B38" s="1" t="str">
        <f>IFERROR(__xludf.DUMMYFUNCTION("""COMPUTED_VALUE"""),"2.940 €/m2")</f>
        <v>2.940 €/m2</v>
      </c>
      <c r="C38" s="1" t="str">
        <f>IFERROR(__xludf.DUMMYFUNCTION("""COMPUTED_VALUE"""),"+ 0,8 %")</f>
        <v>+ 0,8 %</v>
      </c>
      <c r="D38" s="1" t="str">
        <f>IFERROR(__xludf.DUMMYFUNCTION("""COMPUTED_VALUE"""),"+ 4,7 %")</f>
        <v>+ 4,7 %</v>
      </c>
      <c r="E38" s="1" t="str">
        <f>IFERROR(__xludf.DUMMYFUNCTION("""COMPUTED_VALUE"""),"+ 3,7 %")</f>
        <v>+ 3,7 %</v>
      </c>
    </row>
    <row r="39">
      <c r="A39" s="2">
        <f>IFERROR(__xludf.DUMMYFUNCTION("""COMPUTED_VALUE"""),45047.0)</f>
        <v>45047</v>
      </c>
      <c r="B39" s="1" t="str">
        <f>IFERROR(__xludf.DUMMYFUNCTION("""COMPUTED_VALUE"""),"2.918 €/m2")</f>
        <v>2.918 €/m2</v>
      </c>
      <c r="C39" s="1" t="str">
        <f>IFERROR(__xludf.DUMMYFUNCTION("""COMPUTED_VALUE"""),"+ 1,9 %")</f>
        <v>+ 1,9 %</v>
      </c>
      <c r="D39" s="1" t="str">
        <f>IFERROR(__xludf.DUMMYFUNCTION("""COMPUTED_VALUE"""),"+ 3,9 %")</f>
        <v>+ 3,9 %</v>
      </c>
      <c r="E39" s="1" t="str">
        <f>IFERROR(__xludf.DUMMYFUNCTION("""COMPUTED_VALUE"""),"+ 6,5 %")</f>
        <v>+ 6,5 %</v>
      </c>
    </row>
    <row r="40">
      <c r="A40" s="2">
        <f>IFERROR(__xludf.DUMMYFUNCTION("""COMPUTED_VALUE"""),45017.0)</f>
        <v>45017</v>
      </c>
      <c r="B40" s="1" t="str">
        <f>IFERROR(__xludf.DUMMYFUNCTION("""COMPUTED_VALUE"""),"2.865 €/m2")</f>
        <v>2.865 €/m2</v>
      </c>
      <c r="C40" s="1" t="str">
        <f>IFERROR(__xludf.DUMMYFUNCTION("""COMPUTED_VALUE"""),"+ 2,0 %")</f>
        <v>+ 2,0 %</v>
      </c>
      <c r="D40" s="1" t="str">
        <f>IFERROR(__xludf.DUMMYFUNCTION("""COMPUTED_VALUE"""),"+ 1,7 %")</f>
        <v>+ 1,7 %</v>
      </c>
      <c r="E40" s="1" t="str">
        <f>IFERROR(__xludf.DUMMYFUNCTION("""COMPUTED_VALUE"""),"+ 11,2 %")</f>
        <v>+ 11,2 %</v>
      </c>
    </row>
    <row r="41">
      <c r="A41" s="2">
        <f>IFERROR(__xludf.DUMMYFUNCTION("""COMPUTED_VALUE"""),44986.0)</f>
        <v>44986</v>
      </c>
      <c r="B41" s="1" t="str">
        <f>IFERROR(__xludf.DUMMYFUNCTION("""COMPUTED_VALUE"""),"2.809 €/m2")</f>
        <v>2.809 €/m2</v>
      </c>
      <c r="C41" s="1" t="str">
        <f>IFERROR(__xludf.DUMMYFUNCTION("""COMPUTED_VALUE"""),"0,0 %")</f>
        <v>0,0 %</v>
      </c>
      <c r="D41" s="1" t="str">
        <f>IFERROR(__xludf.DUMMYFUNCTION("""COMPUTED_VALUE"""),"- 0,3 %")</f>
        <v>- 0,3 %</v>
      </c>
      <c r="E41" s="1" t="str">
        <f>IFERROR(__xludf.DUMMYFUNCTION("""COMPUTED_VALUE"""),"+ 8,5 %")</f>
        <v>+ 8,5 %</v>
      </c>
    </row>
    <row r="42">
      <c r="A42" s="2">
        <f>IFERROR(__xludf.DUMMYFUNCTION("""COMPUTED_VALUE"""),44958.0)</f>
        <v>44958</v>
      </c>
      <c r="B42" s="1" t="str">
        <f>IFERROR(__xludf.DUMMYFUNCTION("""COMPUTED_VALUE"""),"2.809 €/m2")</f>
        <v>2.809 €/m2</v>
      </c>
      <c r="C42" s="1" t="str">
        <f>IFERROR(__xludf.DUMMYFUNCTION("""COMPUTED_VALUE"""),"- 0,3 %")</f>
        <v>- 0,3 %</v>
      </c>
      <c r="D42" s="1" t="str">
        <f>IFERROR(__xludf.DUMMYFUNCTION("""COMPUTED_VALUE"""),"- 1,6 %")</f>
        <v>- 1,6 %</v>
      </c>
      <c r="E42" s="1" t="str">
        <f>IFERROR(__xludf.DUMMYFUNCTION("""COMPUTED_VALUE"""),"+ 8,8 %")</f>
        <v>+ 8,8 %</v>
      </c>
    </row>
    <row r="43">
      <c r="A43" s="2">
        <f>IFERROR(__xludf.DUMMYFUNCTION("""COMPUTED_VALUE"""),44927.0)</f>
        <v>44927</v>
      </c>
      <c r="B43" s="1" t="str">
        <f>IFERROR(__xludf.DUMMYFUNCTION("""COMPUTED_VALUE"""),"2.817 €/m2")</f>
        <v>2.817 €/m2</v>
      </c>
      <c r="C43" s="1" t="str">
        <f>IFERROR(__xludf.DUMMYFUNCTION("""COMPUTED_VALUE"""),"0,0 %")</f>
        <v>0,0 %</v>
      </c>
      <c r="D43" s="1" t="str">
        <f>IFERROR(__xludf.DUMMYFUNCTION("""COMPUTED_VALUE"""),"- 2,5 %")</f>
        <v>- 2,5 %</v>
      </c>
      <c r="E43" s="1" t="str">
        <f>IFERROR(__xludf.DUMMYFUNCTION("""COMPUTED_VALUE"""),"+ 12,8 %")</f>
        <v>+ 12,8 %</v>
      </c>
    </row>
    <row r="44">
      <c r="A44" s="2">
        <f>IFERROR(__xludf.DUMMYFUNCTION("""COMPUTED_VALUE"""),44896.0)</f>
        <v>44896</v>
      </c>
      <c r="B44" s="1" t="str">
        <f>IFERROR(__xludf.DUMMYFUNCTION("""COMPUTED_VALUE"""),"2.818 €/m2")</f>
        <v>2.818 €/m2</v>
      </c>
      <c r="C44" s="1" t="str">
        <f>IFERROR(__xludf.DUMMYFUNCTION("""COMPUTED_VALUE"""),"- 1,3 %")</f>
        <v>- 1,3 %</v>
      </c>
      <c r="D44" s="1" t="str">
        <f>IFERROR(__xludf.DUMMYFUNCTION("""COMPUTED_VALUE"""),"+ 0,2 %")</f>
        <v>+ 0,2 %</v>
      </c>
      <c r="E44" s="1" t="str">
        <f>IFERROR(__xludf.DUMMYFUNCTION("""COMPUTED_VALUE"""),"+ 14,7 %")</f>
        <v>+ 14,7 %</v>
      </c>
    </row>
    <row r="45">
      <c r="A45" s="2">
        <f>IFERROR(__xludf.DUMMYFUNCTION("""COMPUTED_VALUE"""),44866.0)</f>
        <v>44866</v>
      </c>
      <c r="B45" s="1" t="str">
        <f>IFERROR(__xludf.DUMMYFUNCTION("""COMPUTED_VALUE"""),"2.853 €/m2")</f>
        <v>2.853 €/m2</v>
      </c>
      <c r="C45" s="1" t="str">
        <f>IFERROR(__xludf.DUMMYFUNCTION("""COMPUTED_VALUE"""),"- 1,2 %")</f>
        <v>- 1,2 %</v>
      </c>
      <c r="D45" s="1" t="str">
        <f>IFERROR(__xludf.DUMMYFUNCTION("""COMPUTED_VALUE"""),"+ 0,1 %")</f>
        <v>+ 0,1 %</v>
      </c>
      <c r="E45" s="1" t="str">
        <f>IFERROR(__xludf.DUMMYFUNCTION("""COMPUTED_VALUE"""),"+ 17,9 %")</f>
        <v>+ 17,9 %</v>
      </c>
    </row>
    <row r="46">
      <c r="A46" s="2">
        <f>IFERROR(__xludf.DUMMYFUNCTION("""COMPUTED_VALUE"""),44835.0)</f>
        <v>44835</v>
      </c>
      <c r="B46" s="1" t="str">
        <f>IFERROR(__xludf.DUMMYFUNCTION("""COMPUTED_VALUE"""),"2.888 €/m2")</f>
        <v>2.888 €/m2</v>
      </c>
      <c r="C46" s="1" t="str">
        <f>IFERROR(__xludf.DUMMYFUNCTION("""COMPUTED_VALUE"""),"+ 2,7 %")</f>
        <v>+ 2,7 %</v>
      </c>
      <c r="D46" s="1" t="str">
        <f>IFERROR(__xludf.DUMMYFUNCTION("""COMPUTED_VALUE"""),"+ 2,3 %")</f>
        <v>+ 2,3 %</v>
      </c>
      <c r="E46" s="1" t="str">
        <f>IFERROR(__xludf.DUMMYFUNCTION("""COMPUTED_VALUE"""),"+ 20,2 %")</f>
        <v>+ 20,2 %</v>
      </c>
    </row>
    <row r="47">
      <c r="A47" s="2">
        <f>IFERROR(__xludf.DUMMYFUNCTION("""COMPUTED_VALUE"""),44805.0)</f>
        <v>44805</v>
      </c>
      <c r="B47" s="1" t="str">
        <f>IFERROR(__xludf.DUMMYFUNCTION("""COMPUTED_VALUE"""),"2.812 €/m2")</f>
        <v>2.812 €/m2</v>
      </c>
      <c r="C47" s="1" t="str">
        <f>IFERROR(__xludf.DUMMYFUNCTION("""COMPUTED_VALUE"""),"- 1,4 %")</f>
        <v>- 1,4 %</v>
      </c>
      <c r="D47" s="1" t="str">
        <f>IFERROR(__xludf.DUMMYFUNCTION("""COMPUTED_VALUE"""),"- 0,8 %")</f>
        <v>- 0,8 %</v>
      </c>
      <c r="E47" s="1" t="str">
        <f>IFERROR(__xludf.DUMMYFUNCTION("""COMPUTED_VALUE"""),"+ 18,7 %")</f>
        <v>+ 18,7 %</v>
      </c>
    </row>
    <row r="48">
      <c r="A48" s="2">
        <f>IFERROR(__xludf.DUMMYFUNCTION("""COMPUTED_VALUE"""),44774.0)</f>
        <v>44774</v>
      </c>
      <c r="B48" s="1" t="str">
        <f>IFERROR(__xludf.DUMMYFUNCTION("""COMPUTED_VALUE"""),"2.852 €/m2")</f>
        <v>2.852 €/m2</v>
      </c>
      <c r="C48" s="1" t="str">
        <f>IFERROR(__xludf.DUMMYFUNCTION("""COMPUTED_VALUE"""),"+ 1,0 %")</f>
        <v>+ 1,0 %</v>
      </c>
      <c r="D48" s="1" t="str">
        <f>IFERROR(__xludf.DUMMYFUNCTION("""COMPUTED_VALUE"""),"+ 4,1 %")</f>
        <v>+ 4,1 %</v>
      </c>
      <c r="E48" s="1" t="str">
        <f>IFERROR(__xludf.DUMMYFUNCTION("""COMPUTED_VALUE"""),"+ 19,8 %")</f>
        <v>+ 19,8 %</v>
      </c>
    </row>
    <row r="49">
      <c r="A49" s="2">
        <f>IFERROR(__xludf.DUMMYFUNCTION("""COMPUTED_VALUE"""),44743.0)</f>
        <v>44743</v>
      </c>
      <c r="B49" s="1" t="str">
        <f>IFERROR(__xludf.DUMMYFUNCTION("""COMPUTED_VALUE"""),"2.824 €/m2")</f>
        <v>2.824 €/m2</v>
      </c>
      <c r="C49" s="1" t="str">
        <f>IFERROR(__xludf.DUMMYFUNCTION("""COMPUTED_VALUE"""),"- 0,5 %")</f>
        <v>- 0,5 %</v>
      </c>
      <c r="D49" s="1" t="str">
        <f>IFERROR(__xludf.DUMMYFUNCTION("""COMPUTED_VALUE"""),"+ 9,6 %")</f>
        <v>+ 9,6 %</v>
      </c>
      <c r="E49" s="1" t="str">
        <f>IFERROR(__xludf.DUMMYFUNCTION("""COMPUTED_VALUE"""),"+ 14,9 %")</f>
        <v>+ 14,9 %</v>
      </c>
    </row>
    <row r="50">
      <c r="A50" s="2">
        <f>IFERROR(__xludf.DUMMYFUNCTION("""COMPUTED_VALUE"""),44713.0)</f>
        <v>44713</v>
      </c>
      <c r="B50" s="1" t="str">
        <f>IFERROR(__xludf.DUMMYFUNCTION("""COMPUTED_VALUE"""),"2.836 €/m2")</f>
        <v>2.836 €/m2</v>
      </c>
      <c r="C50" s="1" t="str">
        <f>IFERROR(__xludf.DUMMYFUNCTION("""COMPUTED_VALUE"""),"+ 3,5 %")</f>
        <v>+ 3,5 %</v>
      </c>
      <c r="D50" s="1" t="str">
        <f>IFERROR(__xludf.DUMMYFUNCTION("""COMPUTED_VALUE"""),"+ 9,6 %")</f>
        <v>+ 9,6 %</v>
      </c>
      <c r="E50" s="1" t="str">
        <f>IFERROR(__xludf.DUMMYFUNCTION("""COMPUTED_VALUE"""),"+ 15,5 %")</f>
        <v>+ 15,5 %</v>
      </c>
    </row>
    <row r="51">
      <c r="A51" s="2">
        <f>IFERROR(__xludf.DUMMYFUNCTION("""COMPUTED_VALUE"""),44682.0)</f>
        <v>44682</v>
      </c>
      <c r="B51" s="1" t="str">
        <f>IFERROR(__xludf.DUMMYFUNCTION("""COMPUTED_VALUE"""),"2.739 €/m2")</f>
        <v>2.739 €/m2</v>
      </c>
      <c r="C51" s="1" t="str">
        <f>IFERROR(__xludf.DUMMYFUNCTION("""COMPUTED_VALUE"""),"+ 6,3 %")</f>
        <v>+ 6,3 %</v>
      </c>
      <c r="D51" s="1" t="str">
        <f>IFERROR(__xludf.DUMMYFUNCTION("""COMPUTED_VALUE"""),"+ 6,1 %")</f>
        <v>+ 6,1 %</v>
      </c>
      <c r="E51" s="1" t="str">
        <f>IFERROR(__xludf.DUMMYFUNCTION("""COMPUTED_VALUE"""),"+ 12,3 %")</f>
        <v>+ 12,3 %</v>
      </c>
    </row>
    <row r="52">
      <c r="A52" s="2">
        <f>IFERROR(__xludf.DUMMYFUNCTION("""COMPUTED_VALUE"""),44652.0)</f>
        <v>44652</v>
      </c>
      <c r="B52" s="1" t="str">
        <f>IFERROR(__xludf.DUMMYFUNCTION("""COMPUTED_VALUE"""),"2.576 €/m2")</f>
        <v>2.576 €/m2</v>
      </c>
      <c r="C52" s="1" t="str">
        <f>IFERROR(__xludf.DUMMYFUNCTION("""COMPUTED_VALUE"""),"- 0,5 %")</f>
        <v>- 0,5 %</v>
      </c>
      <c r="D52" s="1" t="str">
        <f>IFERROR(__xludf.DUMMYFUNCTION("""COMPUTED_VALUE"""),"+ 3,2 %")</f>
        <v>+ 3,2 %</v>
      </c>
      <c r="E52" s="1" t="str">
        <f>IFERROR(__xludf.DUMMYFUNCTION("""COMPUTED_VALUE"""),"+ 5,7 %")</f>
        <v>+ 5,7 %</v>
      </c>
    </row>
    <row r="53">
      <c r="A53" s="2">
        <f>IFERROR(__xludf.DUMMYFUNCTION("""COMPUTED_VALUE"""),44621.0)</f>
        <v>44621</v>
      </c>
      <c r="B53" s="1" t="str">
        <f>IFERROR(__xludf.DUMMYFUNCTION("""COMPUTED_VALUE"""),"2.588 €/m2")</f>
        <v>2.588 €/m2</v>
      </c>
      <c r="C53" s="1" t="str">
        <f>IFERROR(__xludf.DUMMYFUNCTION("""COMPUTED_VALUE"""),"+ 0,3 %")</f>
        <v>+ 0,3 %</v>
      </c>
      <c r="D53" s="1" t="str">
        <f>IFERROR(__xludf.DUMMYFUNCTION("""COMPUTED_VALUE"""),"+ 5,4 %")</f>
        <v>+ 5,4 %</v>
      </c>
      <c r="E53" s="1" t="str">
        <f>IFERROR(__xludf.DUMMYFUNCTION("""COMPUTED_VALUE"""),"+ 7,2 %")</f>
        <v>+ 7,2 %</v>
      </c>
    </row>
    <row r="54">
      <c r="A54" s="2">
        <f>IFERROR(__xludf.DUMMYFUNCTION("""COMPUTED_VALUE"""),44593.0)</f>
        <v>44593</v>
      </c>
      <c r="B54" s="1" t="str">
        <f>IFERROR(__xludf.DUMMYFUNCTION("""COMPUTED_VALUE"""),"2.581 €/m2")</f>
        <v>2.581 €/m2</v>
      </c>
      <c r="C54" s="1" t="str">
        <f>IFERROR(__xludf.DUMMYFUNCTION("""COMPUTED_VALUE"""),"+ 3,4 %")</f>
        <v>+ 3,4 %</v>
      </c>
      <c r="D54" s="1" t="str">
        <f>IFERROR(__xludf.DUMMYFUNCTION("""COMPUTED_VALUE"""),"+ 6,6 %")</f>
        <v>+ 6,6 %</v>
      </c>
      <c r="E54" s="1" t="str">
        <f>IFERROR(__xludf.DUMMYFUNCTION("""COMPUTED_VALUE"""),"+ 8,7 %")</f>
        <v>+ 8,7 %</v>
      </c>
    </row>
    <row r="55">
      <c r="A55" s="2">
        <f>IFERROR(__xludf.DUMMYFUNCTION("""COMPUTED_VALUE"""),44562.0)</f>
        <v>44562</v>
      </c>
      <c r="B55" s="1" t="str">
        <f>IFERROR(__xludf.DUMMYFUNCTION("""COMPUTED_VALUE"""),"2.496 €/m2")</f>
        <v>2.496 €/m2</v>
      </c>
      <c r="C55" s="1" t="str">
        <f>IFERROR(__xludf.DUMMYFUNCTION("""COMPUTED_VALUE"""),"+ 1,6 %")</f>
        <v>+ 1,6 %</v>
      </c>
      <c r="D55" s="1" t="str">
        <f>IFERROR(__xludf.DUMMYFUNCTION("""COMPUTED_VALUE"""),"+ 3,9 %")</f>
        <v>+ 3,9 %</v>
      </c>
      <c r="E55" s="1" t="str">
        <f>IFERROR(__xludf.DUMMYFUNCTION("""COMPUTED_VALUE"""),"+ 6,1 %")</f>
        <v>+ 6,1 %</v>
      </c>
    </row>
    <row r="56">
      <c r="A56" s="2">
        <f>IFERROR(__xludf.DUMMYFUNCTION("""COMPUTED_VALUE"""),44531.0)</f>
        <v>44531</v>
      </c>
      <c r="B56" s="1" t="str">
        <f>IFERROR(__xludf.DUMMYFUNCTION("""COMPUTED_VALUE"""),"2.456 €/m2")</f>
        <v>2.456 €/m2</v>
      </c>
      <c r="C56" s="1" t="str">
        <f>IFERROR(__xludf.DUMMYFUNCTION("""COMPUTED_VALUE"""),"+ 1,5 %")</f>
        <v>+ 1,5 %</v>
      </c>
      <c r="D56" s="1" t="str">
        <f>IFERROR(__xludf.DUMMYFUNCTION("""COMPUTED_VALUE"""),"+ 3,7 %")</f>
        <v>+ 3,7 %</v>
      </c>
      <c r="E56" s="1" t="str">
        <f>IFERROR(__xludf.DUMMYFUNCTION("""COMPUTED_VALUE"""),"+ 5,9 %")</f>
        <v>+ 5,9 %</v>
      </c>
    </row>
    <row r="57">
      <c r="A57" s="2">
        <f>IFERROR(__xludf.DUMMYFUNCTION("""COMPUTED_VALUE"""),44501.0)</f>
        <v>44501</v>
      </c>
      <c r="B57" s="1" t="str">
        <f>IFERROR(__xludf.DUMMYFUNCTION("""COMPUTED_VALUE"""),"2.421 €/m2")</f>
        <v>2.421 €/m2</v>
      </c>
      <c r="C57" s="1" t="str">
        <f>IFERROR(__xludf.DUMMYFUNCTION("""COMPUTED_VALUE"""),"+ 0,7 %")</f>
        <v>+ 0,7 %</v>
      </c>
      <c r="D57" s="1" t="str">
        <f>IFERROR(__xludf.DUMMYFUNCTION("""COMPUTED_VALUE"""),"+ 1,7 %")</f>
        <v>+ 1,7 %</v>
      </c>
      <c r="E57" s="1" t="str">
        <f>IFERROR(__xludf.DUMMYFUNCTION("""COMPUTED_VALUE"""),"+ 3,7 %")</f>
        <v>+ 3,7 %</v>
      </c>
    </row>
    <row r="58">
      <c r="A58" s="2">
        <f>IFERROR(__xludf.DUMMYFUNCTION("""COMPUTED_VALUE"""),44470.0)</f>
        <v>44470</v>
      </c>
      <c r="B58" s="1" t="str">
        <f>IFERROR(__xludf.DUMMYFUNCTION("""COMPUTED_VALUE"""),"2.404 €/m2")</f>
        <v>2.404 €/m2</v>
      </c>
      <c r="C58" s="1" t="str">
        <f>IFERROR(__xludf.DUMMYFUNCTION("""COMPUTED_VALUE"""),"+ 1,4 %")</f>
        <v>+ 1,4 %</v>
      </c>
      <c r="D58" s="1" t="str">
        <f>IFERROR(__xludf.DUMMYFUNCTION("""COMPUTED_VALUE"""),"- 2,2 %")</f>
        <v>- 2,2 %</v>
      </c>
      <c r="E58" s="1" t="str">
        <f>IFERROR(__xludf.DUMMYFUNCTION("""COMPUTED_VALUE"""),"+ 3,1 %")</f>
        <v>+ 3,1 %</v>
      </c>
    </row>
    <row r="59">
      <c r="A59" s="2">
        <f>IFERROR(__xludf.DUMMYFUNCTION("""COMPUTED_VALUE"""),44440.0)</f>
        <v>44440</v>
      </c>
      <c r="B59" s="1" t="str">
        <f>IFERROR(__xludf.DUMMYFUNCTION("""COMPUTED_VALUE"""),"2.369 €/m2")</f>
        <v>2.369 €/m2</v>
      </c>
      <c r="C59" s="1" t="str">
        <f>IFERROR(__xludf.DUMMYFUNCTION("""COMPUTED_VALUE"""),"- 0,4 %")</f>
        <v>- 0,4 %</v>
      </c>
      <c r="D59" s="1" t="str">
        <f>IFERROR(__xludf.DUMMYFUNCTION("""COMPUTED_VALUE"""),"- 3,5 %")</f>
        <v>- 3,5 %</v>
      </c>
      <c r="E59" s="1" t="str">
        <f>IFERROR(__xludf.DUMMYFUNCTION("""COMPUTED_VALUE"""),"+ 1,2 %")</f>
        <v>+ 1,2 %</v>
      </c>
    </row>
    <row r="60">
      <c r="A60" s="2">
        <f>IFERROR(__xludf.DUMMYFUNCTION("""COMPUTED_VALUE"""),44409.0)</f>
        <v>44409</v>
      </c>
      <c r="B60" s="1" t="str">
        <f>IFERROR(__xludf.DUMMYFUNCTION("""COMPUTED_VALUE"""),"2.380 €/m2")</f>
        <v>2.380 €/m2</v>
      </c>
      <c r="C60" s="1" t="str">
        <f>IFERROR(__xludf.DUMMYFUNCTION("""COMPUTED_VALUE"""),"- 3,1 %")</f>
        <v>- 3,1 %</v>
      </c>
      <c r="D60" s="1" t="str">
        <f>IFERROR(__xludf.DUMMYFUNCTION("""COMPUTED_VALUE"""),"- 2,4 %")</f>
        <v>- 2,4 %</v>
      </c>
      <c r="E60" s="1" t="str">
        <f>IFERROR(__xludf.DUMMYFUNCTION("""COMPUTED_VALUE"""),"+ 2,3 %")</f>
        <v>+ 2,3 %</v>
      </c>
    </row>
    <row r="61">
      <c r="A61" s="2">
        <f>IFERROR(__xludf.DUMMYFUNCTION("""COMPUTED_VALUE"""),44378.0)</f>
        <v>44378</v>
      </c>
      <c r="B61" s="1" t="str">
        <f>IFERROR(__xludf.DUMMYFUNCTION("""COMPUTED_VALUE"""),"2.457 €/m2")</f>
        <v>2.457 €/m2</v>
      </c>
      <c r="C61" s="1" t="str">
        <f>IFERROR(__xludf.DUMMYFUNCTION("""COMPUTED_VALUE"""),"+ 0,1 %")</f>
        <v>+ 0,1 %</v>
      </c>
      <c r="D61" s="1" t="str">
        <f>IFERROR(__xludf.DUMMYFUNCTION("""COMPUTED_VALUE"""),"+ 0,8 %")</f>
        <v>+ 0,8 %</v>
      </c>
      <c r="E61" s="1" t="str">
        <f>IFERROR(__xludf.DUMMYFUNCTION("""COMPUTED_VALUE"""),"+ 5,8 %")</f>
        <v>+ 5,8 %</v>
      </c>
    </row>
    <row r="62">
      <c r="A62" s="2">
        <f>IFERROR(__xludf.DUMMYFUNCTION("""COMPUTED_VALUE"""),44348.0)</f>
        <v>44348</v>
      </c>
      <c r="B62" s="1" t="str">
        <f>IFERROR(__xludf.DUMMYFUNCTION("""COMPUTED_VALUE"""),"2.455 €/m2")</f>
        <v>2.455 €/m2</v>
      </c>
      <c r="C62" s="1" t="str">
        <f>IFERROR(__xludf.DUMMYFUNCTION("""COMPUTED_VALUE"""),"+ 0,7 %")</f>
        <v>+ 0,7 %</v>
      </c>
      <c r="D62" s="1" t="str">
        <f>IFERROR(__xludf.DUMMYFUNCTION("""COMPUTED_VALUE"""),"+ 1,7 %")</f>
        <v>+ 1,7 %</v>
      </c>
      <c r="E62" s="1" t="str">
        <f>IFERROR(__xludf.DUMMYFUNCTION("""COMPUTED_VALUE"""),"+ 5,7 %")</f>
        <v>+ 5,7 %</v>
      </c>
    </row>
    <row r="63">
      <c r="A63" s="2">
        <f>IFERROR(__xludf.DUMMYFUNCTION("""COMPUTED_VALUE"""),44317.0)</f>
        <v>44317</v>
      </c>
      <c r="B63" s="1" t="str">
        <f>IFERROR(__xludf.DUMMYFUNCTION("""COMPUTED_VALUE"""),"2.439 €/m2")</f>
        <v>2.439 €/m2</v>
      </c>
      <c r="C63" s="1" t="str">
        <f>IFERROR(__xludf.DUMMYFUNCTION("""COMPUTED_VALUE"""),"+ 0,1 %")</f>
        <v>+ 0,1 %</v>
      </c>
      <c r="D63" s="1" t="str">
        <f>IFERROR(__xludf.DUMMYFUNCTION("""COMPUTED_VALUE"""),"+ 2,7 %")</f>
        <v>+ 2,7 %</v>
      </c>
      <c r="E63" s="1" t="str">
        <f>IFERROR(__xludf.DUMMYFUNCTION("""COMPUTED_VALUE"""),"+ 3,4 %")</f>
        <v>+ 3,4 %</v>
      </c>
    </row>
    <row r="64">
      <c r="A64" s="2">
        <f>IFERROR(__xludf.DUMMYFUNCTION("""COMPUTED_VALUE"""),44287.0)</f>
        <v>44287</v>
      </c>
      <c r="B64" s="1" t="str">
        <f>IFERROR(__xludf.DUMMYFUNCTION("""COMPUTED_VALUE"""),"2.437 €/m2")</f>
        <v>2.437 €/m2</v>
      </c>
      <c r="C64" s="1" t="str">
        <f>IFERROR(__xludf.DUMMYFUNCTION("""COMPUTED_VALUE"""),"+ 1,0 %")</f>
        <v>+ 1,0 %</v>
      </c>
      <c r="D64" s="1" t="str">
        <f>IFERROR(__xludf.DUMMYFUNCTION("""COMPUTED_VALUE"""),"+ 3,6 %")</f>
        <v>+ 3,6 %</v>
      </c>
      <c r="E64" s="1" t="str">
        <f>IFERROR(__xludf.DUMMYFUNCTION("""COMPUTED_VALUE"""),"+ 3,9 %")</f>
        <v>+ 3,9 %</v>
      </c>
    </row>
    <row r="65">
      <c r="A65" s="2">
        <f>IFERROR(__xludf.DUMMYFUNCTION("""COMPUTED_VALUE"""),44256.0)</f>
        <v>44256</v>
      </c>
      <c r="B65" s="1" t="str">
        <f>IFERROR(__xludf.DUMMYFUNCTION("""COMPUTED_VALUE"""),"2.414 €/m2")</f>
        <v>2.414 €/m2</v>
      </c>
      <c r="C65" s="1" t="str">
        <f>IFERROR(__xludf.DUMMYFUNCTION("""COMPUTED_VALUE"""),"+ 1,6 %")</f>
        <v>+ 1,6 %</v>
      </c>
      <c r="D65" s="1" t="str">
        <f>IFERROR(__xludf.DUMMYFUNCTION("""COMPUTED_VALUE"""),"+ 4,1 %")</f>
        <v>+ 4,1 %</v>
      </c>
      <c r="E65" s="1" t="str">
        <f>IFERROR(__xludf.DUMMYFUNCTION("""COMPUTED_VALUE"""),"+ 2,8 %")</f>
        <v>+ 2,8 %</v>
      </c>
    </row>
    <row r="66">
      <c r="A66" s="2">
        <f>IFERROR(__xludf.DUMMYFUNCTION("""COMPUTED_VALUE"""),44228.0)</f>
        <v>44228</v>
      </c>
      <c r="B66" s="1" t="str">
        <f>IFERROR(__xludf.DUMMYFUNCTION("""COMPUTED_VALUE"""),"2.375 €/m2")</f>
        <v>2.375 €/m2</v>
      </c>
      <c r="C66" s="1" t="str">
        <f>IFERROR(__xludf.DUMMYFUNCTION("""COMPUTED_VALUE"""),"+ 1,0 %")</f>
        <v>+ 1,0 %</v>
      </c>
      <c r="D66" s="1" t="str">
        <f>IFERROR(__xludf.DUMMYFUNCTION("""COMPUTED_VALUE"""),"+ 1,7 %")</f>
        <v>+ 1,7 %</v>
      </c>
      <c r="E66" s="1" t="str">
        <f>IFERROR(__xludf.DUMMYFUNCTION("""COMPUTED_VALUE"""),"+ 0,4 %")</f>
        <v>+ 0,4 %</v>
      </c>
    </row>
    <row r="67">
      <c r="A67" s="2">
        <f>IFERROR(__xludf.DUMMYFUNCTION("""COMPUTED_VALUE"""),44197.0)</f>
        <v>44197</v>
      </c>
      <c r="B67" s="1" t="str">
        <f>IFERROR(__xludf.DUMMYFUNCTION("""COMPUTED_VALUE"""),"2.352 €/m2")</f>
        <v>2.352 €/m2</v>
      </c>
      <c r="C67" s="1" t="str">
        <f>IFERROR(__xludf.DUMMYFUNCTION("""COMPUTED_VALUE"""),"+ 1,4 %")</f>
        <v>+ 1,4 %</v>
      </c>
      <c r="D67" s="1" t="str">
        <f>IFERROR(__xludf.DUMMYFUNCTION("""COMPUTED_VALUE"""),"+ 0,9 %")</f>
        <v>+ 0,9 %</v>
      </c>
      <c r="E67" s="1" t="str">
        <f>IFERROR(__xludf.DUMMYFUNCTION("""COMPUTED_VALUE"""),"- 1,0 %")</f>
        <v>- 1,0 %</v>
      </c>
    </row>
    <row r="68">
      <c r="A68" s="2">
        <f>IFERROR(__xludf.DUMMYFUNCTION("""COMPUTED_VALUE"""),44166.0)</f>
        <v>44166</v>
      </c>
      <c r="B68" s="1" t="str">
        <f>IFERROR(__xludf.DUMMYFUNCTION("""COMPUTED_VALUE"""),"2.320 €/m2")</f>
        <v>2.320 €/m2</v>
      </c>
      <c r="C68" s="1" t="str">
        <f>IFERROR(__xludf.DUMMYFUNCTION("""COMPUTED_VALUE"""),"- 0,6 %")</f>
        <v>- 0,6 %</v>
      </c>
      <c r="D68" s="1" t="str">
        <f>IFERROR(__xludf.DUMMYFUNCTION("""COMPUTED_VALUE"""),"- 1,0 %")</f>
        <v>- 1,0 %</v>
      </c>
      <c r="E68" s="1" t="str">
        <f>IFERROR(__xludf.DUMMYFUNCTION("""COMPUTED_VALUE"""),"- 0,9 %")</f>
        <v>- 0,9 %</v>
      </c>
    </row>
    <row r="69">
      <c r="A69" s="2">
        <f>IFERROR(__xludf.DUMMYFUNCTION("""COMPUTED_VALUE"""),44136.0)</f>
        <v>44136</v>
      </c>
      <c r="B69" s="1" t="str">
        <f>IFERROR(__xludf.DUMMYFUNCTION("""COMPUTED_VALUE"""),"2.334 €/m2")</f>
        <v>2.334 €/m2</v>
      </c>
      <c r="C69" s="1" t="str">
        <f>IFERROR(__xludf.DUMMYFUNCTION("""COMPUTED_VALUE"""),"+ 0,1 %")</f>
        <v>+ 0,1 %</v>
      </c>
      <c r="D69" s="1" t="str">
        <f>IFERROR(__xludf.DUMMYFUNCTION("""COMPUTED_VALUE"""),"+ 0,3 %")</f>
        <v>+ 0,3 %</v>
      </c>
      <c r="E69" s="1" t="str">
        <f>IFERROR(__xludf.DUMMYFUNCTION("""COMPUTED_VALUE"""),"+ 2,6 %")</f>
        <v>+ 2,6 %</v>
      </c>
    </row>
    <row r="70">
      <c r="A70" s="2">
        <f>IFERROR(__xludf.DUMMYFUNCTION("""COMPUTED_VALUE"""),44105.0)</f>
        <v>44105</v>
      </c>
      <c r="B70" s="1" t="str">
        <f>IFERROR(__xludf.DUMMYFUNCTION("""COMPUTED_VALUE"""),"2.331 €/m2")</f>
        <v>2.331 €/m2</v>
      </c>
      <c r="C70" s="1" t="str">
        <f>IFERROR(__xludf.DUMMYFUNCTION("""COMPUTED_VALUE"""),"- 0,5 %")</f>
        <v>- 0,5 %</v>
      </c>
      <c r="D70" s="1" t="str">
        <f>IFERROR(__xludf.DUMMYFUNCTION("""COMPUTED_VALUE"""),"+ 0,3 %")</f>
        <v>+ 0,3 %</v>
      </c>
      <c r="E70" s="1" t="str">
        <f>IFERROR(__xludf.DUMMYFUNCTION("""COMPUTED_VALUE"""),"+ 2,5 %")</f>
        <v>+ 2,5 %</v>
      </c>
    </row>
    <row r="71">
      <c r="A71" s="2">
        <f>IFERROR(__xludf.DUMMYFUNCTION("""COMPUTED_VALUE"""),44075.0)</f>
        <v>44075</v>
      </c>
      <c r="B71" s="1" t="str">
        <f>IFERROR(__xludf.DUMMYFUNCTION("""COMPUTED_VALUE"""),"2.342 €/m2")</f>
        <v>2.342 €/m2</v>
      </c>
      <c r="C71" s="1" t="str">
        <f>IFERROR(__xludf.DUMMYFUNCTION("""COMPUTED_VALUE"""),"+ 0,7 %")</f>
        <v>+ 0,7 %</v>
      </c>
      <c r="D71" s="1" t="str">
        <f>IFERROR(__xludf.DUMMYFUNCTION("""COMPUTED_VALUE"""),"+ 0,8 %")</f>
        <v>+ 0,8 %</v>
      </c>
      <c r="E71" s="1" t="str">
        <f>IFERROR(__xludf.DUMMYFUNCTION("""COMPUTED_VALUE"""),"+ 4,6 %")</f>
        <v>+ 4,6 %</v>
      </c>
    </row>
    <row r="72">
      <c r="A72" s="2">
        <f>IFERROR(__xludf.DUMMYFUNCTION("""COMPUTED_VALUE"""),44044.0)</f>
        <v>44044</v>
      </c>
      <c r="B72" s="1" t="str">
        <f>IFERROR(__xludf.DUMMYFUNCTION("""COMPUTED_VALUE"""),"2.326 €/m2")</f>
        <v>2.326 €/m2</v>
      </c>
      <c r="C72" s="1" t="str">
        <f>IFERROR(__xludf.DUMMYFUNCTION("""COMPUTED_VALUE"""),"+ 0,1 %")</f>
        <v>+ 0,1 %</v>
      </c>
      <c r="D72" s="1" t="str">
        <f>IFERROR(__xludf.DUMMYFUNCTION("""COMPUTED_VALUE"""),"- 1,4 %")</f>
        <v>- 1,4 %</v>
      </c>
      <c r="E72" s="1" t="str">
        <f>IFERROR(__xludf.DUMMYFUNCTION("""COMPUTED_VALUE"""),"+ 4,1 %")</f>
        <v>+ 4,1 %</v>
      </c>
    </row>
    <row r="73">
      <c r="A73" s="2">
        <f>IFERROR(__xludf.DUMMYFUNCTION("""COMPUTED_VALUE"""),44013.0)</f>
        <v>44013</v>
      </c>
      <c r="B73" s="1" t="str">
        <f>IFERROR(__xludf.DUMMYFUNCTION("""COMPUTED_VALUE"""),"2.323 €/m2")</f>
        <v>2.323 €/m2</v>
      </c>
      <c r="C73" s="1" t="str">
        <f>IFERROR(__xludf.DUMMYFUNCTION("""COMPUTED_VALUE"""),"0,0 %")</f>
        <v>0,0 %</v>
      </c>
      <c r="D73" s="1" t="str">
        <f>IFERROR(__xludf.DUMMYFUNCTION("""COMPUTED_VALUE"""),"- 1,0 %")</f>
        <v>- 1,0 %</v>
      </c>
      <c r="E73" s="1" t="str">
        <f>IFERROR(__xludf.DUMMYFUNCTION("""COMPUTED_VALUE"""),"+ 3,6 %")</f>
        <v>+ 3,6 %</v>
      </c>
    </row>
    <row r="74">
      <c r="A74" s="2">
        <f>IFERROR(__xludf.DUMMYFUNCTION("""COMPUTED_VALUE"""),43983.0)</f>
        <v>43983</v>
      </c>
      <c r="B74" s="1" t="str">
        <f>IFERROR(__xludf.DUMMYFUNCTION("""COMPUTED_VALUE"""),"2.323 €/m2")</f>
        <v>2.323 €/m2</v>
      </c>
      <c r="C74" s="1" t="str">
        <f>IFERROR(__xludf.DUMMYFUNCTION("""COMPUTED_VALUE"""),"- 1,5 %")</f>
        <v>- 1,5 %</v>
      </c>
      <c r="D74" s="1" t="str">
        <f>IFERROR(__xludf.DUMMYFUNCTION("""COMPUTED_VALUE"""),"- 1,0 %")</f>
        <v>- 1,0 %</v>
      </c>
      <c r="E74" s="1" t="str">
        <f>IFERROR(__xludf.DUMMYFUNCTION("""COMPUTED_VALUE"""),"+ 2,8 %")</f>
        <v>+ 2,8 %</v>
      </c>
    </row>
    <row r="75">
      <c r="A75" s="2">
        <f>IFERROR(__xludf.DUMMYFUNCTION("""COMPUTED_VALUE"""),43952.0)</f>
        <v>43952</v>
      </c>
      <c r="B75" s="1" t="str">
        <f>IFERROR(__xludf.DUMMYFUNCTION("""COMPUTED_VALUE"""),"2.358 €/m2")</f>
        <v>2.358 €/m2</v>
      </c>
      <c r="C75" s="1" t="str">
        <f>IFERROR(__xludf.DUMMYFUNCTION("""COMPUTED_VALUE"""),"+ 0,5 %")</f>
        <v>+ 0,5 %</v>
      </c>
      <c r="D75" s="1" t="str">
        <f>IFERROR(__xludf.DUMMYFUNCTION("""COMPUTED_VALUE"""),"- 0,3 %")</f>
        <v>- 0,3 %</v>
      </c>
      <c r="E75" s="1" t="str">
        <f>IFERROR(__xludf.DUMMYFUNCTION("""COMPUTED_VALUE"""),"+ 3,8 %")</f>
        <v>+ 3,8 %</v>
      </c>
    </row>
    <row r="76">
      <c r="A76" s="2">
        <f>IFERROR(__xludf.DUMMYFUNCTION("""COMPUTED_VALUE"""),43922.0)</f>
        <v>43922</v>
      </c>
      <c r="B76" s="1" t="str">
        <f>IFERROR(__xludf.DUMMYFUNCTION("""COMPUTED_VALUE"""),"2.347 €/m2")</f>
        <v>2.347 €/m2</v>
      </c>
      <c r="C76" s="1" t="str">
        <f>IFERROR(__xludf.DUMMYFUNCTION("""COMPUTED_VALUE"""),"0,0 %")</f>
        <v>0,0 %</v>
      </c>
      <c r="D76" s="1" t="str">
        <f>IFERROR(__xludf.DUMMYFUNCTION("""COMPUTED_VALUE"""),"- 1,3 %")</f>
        <v>- 1,3 %</v>
      </c>
      <c r="E76" s="1" t="str">
        <f>IFERROR(__xludf.DUMMYFUNCTION("""COMPUTED_VALUE"""),"+ 4,2 %")</f>
        <v>+ 4,2 %</v>
      </c>
    </row>
    <row r="77">
      <c r="A77" s="2">
        <f>IFERROR(__xludf.DUMMYFUNCTION("""COMPUTED_VALUE"""),43891.0)</f>
        <v>43891</v>
      </c>
      <c r="B77" s="1" t="str">
        <f>IFERROR(__xludf.DUMMYFUNCTION("""COMPUTED_VALUE"""),"2.347 €/m2")</f>
        <v>2.347 €/m2</v>
      </c>
      <c r="C77" s="1" t="str">
        <f>IFERROR(__xludf.DUMMYFUNCTION("""COMPUTED_VALUE"""),"- 0,8 %")</f>
        <v>- 0,8 %</v>
      </c>
      <c r="D77" s="1" t="str">
        <f>IFERROR(__xludf.DUMMYFUNCTION("""COMPUTED_VALUE"""),"+ 0,2 %")</f>
        <v>+ 0,2 %</v>
      </c>
      <c r="E77" s="1" t="str">
        <f>IFERROR(__xludf.DUMMYFUNCTION("""COMPUTED_VALUE"""),"+ 3,5 %")</f>
        <v>+ 3,5 %</v>
      </c>
    </row>
    <row r="78">
      <c r="A78" s="2">
        <f>IFERROR(__xludf.DUMMYFUNCTION("""COMPUTED_VALUE"""),43862.0)</f>
        <v>43862</v>
      </c>
      <c r="B78" s="1" t="str">
        <f>IFERROR(__xludf.DUMMYFUNCTION("""COMPUTED_VALUE"""),"2.366 €/m2")</f>
        <v>2.366 €/m2</v>
      </c>
      <c r="C78" s="1" t="str">
        <f>IFERROR(__xludf.DUMMYFUNCTION("""COMPUTED_VALUE"""),"- 0,5 %")</f>
        <v>- 0,5 %</v>
      </c>
      <c r="D78" s="1" t="str">
        <f>IFERROR(__xludf.DUMMYFUNCTION("""COMPUTED_VALUE"""),"+ 3,9 %")</f>
        <v>+ 3,9 %</v>
      </c>
      <c r="E78" s="1" t="str">
        <f>IFERROR(__xludf.DUMMYFUNCTION("""COMPUTED_VALUE"""),"+ 5,0 %")</f>
        <v>+ 5,0 %</v>
      </c>
    </row>
    <row r="79">
      <c r="A79" s="2">
        <f>IFERROR(__xludf.DUMMYFUNCTION("""COMPUTED_VALUE"""),43831.0)</f>
        <v>43831</v>
      </c>
      <c r="B79" s="1" t="str">
        <f>IFERROR(__xludf.DUMMYFUNCTION("""COMPUTED_VALUE"""),"2.377 €/m2")</f>
        <v>2.377 €/m2</v>
      </c>
      <c r="C79" s="1" t="str">
        <f>IFERROR(__xludf.DUMMYFUNCTION("""COMPUTED_VALUE"""),"+ 1,5 %")</f>
        <v>+ 1,5 %</v>
      </c>
      <c r="D79" s="1" t="str">
        <f>IFERROR(__xludf.DUMMYFUNCTION("""COMPUTED_VALUE"""),"+ 4,6 %")</f>
        <v>+ 4,6 %</v>
      </c>
      <c r="E79" s="1" t="str">
        <f>IFERROR(__xludf.DUMMYFUNCTION("""COMPUTED_VALUE"""),"+ 6,8 %")</f>
        <v>+ 6,8 %</v>
      </c>
    </row>
    <row r="80">
      <c r="A80" s="2">
        <f>IFERROR(__xludf.DUMMYFUNCTION("""COMPUTED_VALUE"""),43800.0)</f>
        <v>43800</v>
      </c>
      <c r="B80" s="1" t="str">
        <f>IFERROR(__xludf.DUMMYFUNCTION("""COMPUTED_VALUE"""),"2.342 €/m2")</f>
        <v>2.342 €/m2</v>
      </c>
      <c r="C80" s="1" t="str">
        <f>IFERROR(__xludf.DUMMYFUNCTION("""COMPUTED_VALUE"""),"+ 2,9 %")</f>
        <v>+ 2,9 %</v>
      </c>
      <c r="D80" s="1" t="str">
        <f>IFERROR(__xludf.DUMMYFUNCTION("""COMPUTED_VALUE"""),"+ 4,6 %")</f>
        <v>+ 4,6 %</v>
      </c>
      <c r="E80" s="1" t="str">
        <f>IFERROR(__xludf.DUMMYFUNCTION("""COMPUTED_VALUE"""),"+ 9,8 %")</f>
        <v>+ 9,8 %</v>
      </c>
    </row>
    <row r="81">
      <c r="A81" s="2">
        <f>IFERROR(__xludf.DUMMYFUNCTION("""COMPUTED_VALUE"""),43770.0)</f>
        <v>43770</v>
      </c>
      <c r="B81" s="1" t="str">
        <f>IFERROR(__xludf.DUMMYFUNCTION("""COMPUTED_VALUE"""),"2.276 €/m2")</f>
        <v>2.276 €/m2</v>
      </c>
      <c r="C81" s="1" t="str">
        <f>IFERROR(__xludf.DUMMYFUNCTION("""COMPUTED_VALUE"""),"+ 0,1 %")</f>
        <v>+ 0,1 %</v>
      </c>
      <c r="D81" s="1" t="str">
        <f>IFERROR(__xludf.DUMMYFUNCTION("""COMPUTED_VALUE"""),"+ 1,8 %")</f>
        <v>+ 1,8 %</v>
      </c>
      <c r="E81" s="1" t="str">
        <f>IFERROR(__xludf.DUMMYFUNCTION("""COMPUTED_VALUE"""),"+ 5,1 %")</f>
        <v>+ 5,1 %</v>
      </c>
    </row>
    <row r="82">
      <c r="A82" s="2">
        <f>IFERROR(__xludf.DUMMYFUNCTION("""COMPUTED_VALUE"""),43739.0)</f>
        <v>43739</v>
      </c>
      <c r="B82" s="1" t="str">
        <f>IFERROR(__xludf.DUMMYFUNCTION("""COMPUTED_VALUE"""),"2.273 €/m2")</f>
        <v>2.273 €/m2</v>
      </c>
      <c r="C82" s="1" t="str">
        <f>IFERROR(__xludf.DUMMYFUNCTION("""COMPUTED_VALUE"""),"+ 1,5 %")</f>
        <v>+ 1,5 %</v>
      </c>
      <c r="D82" s="1" t="str">
        <f>IFERROR(__xludf.DUMMYFUNCTION("""COMPUTED_VALUE"""),"+ 1,4 %")</f>
        <v>+ 1,4 %</v>
      </c>
      <c r="E82" s="1" t="str">
        <f>IFERROR(__xludf.DUMMYFUNCTION("""COMPUTED_VALUE"""),"+ 6,6 %")</f>
        <v>+ 6,6 %</v>
      </c>
    </row>
    <row r="83">
      <c r="A83" s="2">
        <f>IFERROR(__xludf.DUMMYFUNCTION("""COMPUTED_VALUE"""),43709.0)</f>
        <v>43709</v>
      </c>
      <c r="B83" s="1" t="str">
        <f>IFERROR(__xludf.DUMMYFUNCTION("""COMPUTED_VALUE"""),"2.239 €/m2")</f>
        <v>2.239 €/m2</v>
      </c>
      <c r="C83" s="1" t="str">
        <f>IFERROR(__xludf.DUMMYFUNCTION("""COMPUTED_VALUE"""),"+ 0,2 %")</f>
        <v>+ 0,2 %</v>
      </c>
      <c r="D83" s="1" t="str">
        <f>IFERROR(__xludf.DUMMYFUNCTION("""COMPUTED_VALUE"""),"- 1,0 %")</f>
        <v>- 1,0 %</v>
      </c>
      <c r="E83" s="1" t="str">
        <f>IFERROR(__xludf.DUMMYFUNCTION("""COMPUTED_VALUE"""),"+ 6,8 %")</f>
        <v>+ 6,8 %</v>
      </c>
    </row>
    <row r="84">
      <c r="A84" s="2">
        <f>IFERROR(__xludf.DUMMYFUNCTION("""COMPUTED_VALUE"""),43678.0)</f>
        <v>43678</v>
      </c>
      <c r="B84" s="1" t="str">
        <f>IFERROR(__xludf.DUMMYFUNCTION("""COMPUTED_VALUE"""),"2.235 €/m2")</f>
        <v>2.235 €/m2</v>
      </c>
      <c r="C84" s="1" t="str">
        <f>IFERROR(__xludf.DUMMYFUNCTION("""COMPUTED_VALUE"""),"- 0,3 %")</f>
        <v>- 0,3 %</v>
      </c>
      <c r="D84" s="1" t="str">
        <f>IFERROR(__xludf.DUMMYFUNCTION("""COMPUTED_VALUE"""),"- 1,6 %")</f>
        <v>- 1,6 %</v>
      </c>
      <c r="E84" s="1" t="str">
        <f>IFERROR(__xludf.DUMMYFUNCTION("""COMPUTED_VALUE"""),"+ 6,7 %")</f>
        <v>+ 6,7 %</v>
      </c>
    </row>
    <row r="85">
      <c r="A85" s="2">
        <f>IFERROR(__xludf.DUMMYFUNCTION("""COMPUTED_VALUE"""),43647.0)</f>
        <v>43647</v>
      </c>
      <c r="B85" s="1" t="str">
        <f>IFERROR(__xludf.DUMMYFUNCTION("""COMPUTED_VALUE"""),"2.242 €/m2")</f>
        <v>2.242 €/m2</v>
      </c>
      <c r="C85" s="1" t="str">
        <f>IFERROR(__xludf.DUMMYFUNCTION("""COMPUTED_VALUE"""),"- 0,8 %")</f>
        <v>- 0,8 %</v>
      </c>
      <c r="D85" s="1" t="str">
        <f>IFERROR(__xludf.DUMMYFUNCTION("""COMPUTED_VALUE"""),"- 0,5 %")</f>
        <v>- 0,5 %</v>
      </c>
      <c r="E85" s="1" t="str">
        <f>IFERROR(__xludf.DUMMYFUNCTION("""COMPUTED_VALUE"""),"+ 7,7 %")</f>
        <v>+ 7,7 %</v>
      </c>
    </row>
    <row r="86">
      <c r="A86" s="2">
        <f>IFERROR(__xludf.DUMMYFUNCTION("""COMPUTED_VALUE"""),43617.0)</f>
        <v>43617</v>
      </c>
      <c r="B86" s="1" t="str">
        <f>IFERROR(__xludf.DUMMYFUNCTION("""COMPUTED_VALUE"""),"2.260 €/m2")</f>
        <v>2.260 €/m2</v>
      </c>
      <c r="C86" s="1" t="str">
        <f>IFERROR(__xludf.DUMMYFUNCTION("""COMPUTED_VALUE"""),"- 0,5 %")</f>
        <v>- 0,5 %</v>
      </c>
      <c r="D86" s="1" t="str">
        <f>IFERROR(__xludf.DUMMYFUNCTION("""COMPUTED_VALUE"""),"- 0,3 %")</f>
        <v>- 0,3 %</v>
      </c>
      <c r="E86" s="1" t="str">
        <f>IFERROR(__xludf.DUMMYFUNCTION("""COMPUTED_VALUE"""),"+ 9,6 %")</f>
        <v>+ 9,6 %</v>
      </c>
    </row>
    <row r="87">
      <c r="A87" s="2">
        <f>IFERROR(__xludf.DUMMYFUNCTION("""COMPUTED_VALUE"""),43586.0)</f>
        <v>43586</v>
      </c>
      <c r="B87" s="1" t="str">
        <f>IFERROR(__xludf.DUMMYFUNCTION("""COMPUTED_VALUE"""),"2.272 €/m2")</f>
        <v>2.272 €/m2</v>
      </c>
      <c r="C87" s="1" t="str">
        <f>IFERROR(__xludf.DUMMYFUNCTION("""COMPUTED_VALUE"""),"+ 0,9 %")</f>
        <v>+ 0,9 %</v>
      </c>
      <c r="D87" s="1" t="str">
        <f>IFERROR(__xludf.DUMMYFUNCTION("""COMPUTED_VALUE"""),"+ 0,9 %")</f>
        <v>+ 0,9 %</v>
      </c>
      <c r="E87" s="1" t="str">
        <f>IFERROR(__xludf.DUMMYFUNCTION("""COMPUTED_VALUE"""),"+ 12,4 %")</f>
        <v>+ 12,4 %</v>
      </c>
    </row>
    <row r="88">
      <c r="A88" s="2">
        <f>IFERROR(__xludf.DUMMYFUNCTION("""COMPUTED_VALUE"""),43556.0)</f>
        <v>43556</v>
      </c>
      <c r="B88" s="1" t="str">
        <f>IFERROR(__xludf.DUMMYFUNCTION("""COMPUTED_VALUE"""),"2.252 €/m2")</f>
        <v>2.252 €/m2</v>
      </c>
      <c r="C88" s="1" t="str">
        <f>IFERROR(__xludf.DUMMYFUNCTION("""COMPUTED_VALUE"""),"- 0,6 %")</f>
        <v>- 0,6 %</v>
      </c>
      <c r="D88" s="1" t="str">
        <f>IFERROR(__xludf.DUMMYFUNCTION("""COMPUTED_VALUE"""),"+ 1,2 %")</f>
        <v>+ 1,2 %</v>
      </c>
      <c r="E88" s="1" t="str">
        <f>IFERROR(__xludf.DUMMYFUNCTION("""COMPUTED_VALUE"""),"+ 15,3 %")</f>
        <v>+ 15,3 %</v>
      </c>
    </row>
    <row r="89">
      <c r="A89" s="2">
        <f>IFERROR(__xludf.DUMMYFUNCTION("""COMPUTED_VALUE"""),43525.0)</f>
        <v>43525</v>
      </c>
      <c r="B89" s="1" t="str">
        <f>IFERROR(__xludf.DUMMYFUNCTION("""COMPUTED_VALUE"""),"2.267 €/m2")</f>
        <v>2.267 €/m2</v>
      </c>
      <c r="C89" s="1" t="str">
        <f>IFERROR(__xludf.DUMMYFUNCTION("""COMPUTED_VALUE"""),"+ 0,7 %")</f>
        <v>+ 0,7 %</v>
      </c>
      <c r="D89" s="1" t="str">
        <f>IFERROR(__xludf.DUMMYFUNCTION("""COMPUTED_VALUE"""),"+ 6,3 %")</f>
        <v>+ 6,3 %</v>
      </c>
      <c r="E89" s="1" t="str">
        <f>IFERROR(__xludf.DUMMYFUNCTION("""COMPUTED_VALUE"""),"+ 18,6 %")</f>
        <v>+ 18,6 %</v>
      </c>
    </row>
    <row r="90">
      <c r="A90" s="2">
        <f>IFERROR(__xludf.DUMMYFUNCTION("""COMPUTED_VALUE"""),43497.0)</f>
        <v>43497</v>
      </c>
      <c r="B90" s="1" t="str">
        <f>IFERROR(__xludf.DUMMYFUNCTION("""COMPUTED_VALUE"""),"2.252 €/m2")</f>
        <v>2.252 €/m2</v>
      </c>
      <c r="C90" s="1" t="str">
        <f>IFERROR(__xludf.DUMMYFUNCTION("""COMPUTED_VALUE"""),"+ 1,2 %")</f>
        <v>+ 1,2 %</v>
      </c>
      <c r="D90" s="1" t="str">
        <f>IFERROR(__xludf.DUMMYFUNCTION("""COMPUTED_VALUE"""),"+ 4,0 %")</f>
        <v>+ 4,0 %</v>
      </c>
      <c r="E90" s="1" t="str">
        <f>IFERROR(__xludf.DUMMYFUNCTION("""COMPUTED_VALUE"""),"+ 18,0 %")</f>
        <v>+ 18,0 %</v>
      </c>
    </row>
    <row r="91">
      <c r="A91" s="2">
        <f>IFERROR(__xludf.DUMMYFUNCTION("""COMPUTED_VALUE"""),43466.0)</f>
        <v>43466</v>
      </c>
      <c r="B91" s="1" t="str">
        <f>IFERROR(__xludf.DUMMYFUNCTION("""COMPUTED_VALUE"""),"2.225 €/m2")</f>
        <v>2.225 €/m2</v>
      </c>
      <c r="C91" s="1" t="str">
        <f>IFERROR(__xludf.DUMMYFUNCTION("""COMPUTED_VALUE"""),"+ 4,4 %")</f>
        <v>+ 4,4 %</v>
      </c>
      <c r="D91" s="1" t="str">
        <f>IFERROR(__xludf.DUMMYFUNCTION("""COMPUTED_VALUE"""),"+ 4,3 %")</f>
        <v>+ 4,3 %</v>
      </c>
      <c r="E91" s="1" t="str">
        <f>IFERROR(__xludf.DUMMYFUNCTION("""COMPUTED_VALUE"""),"+ 19,3 %")</f>
        <v>+ 19,3 %</v>
      </c>
    </row>
    <row r="92">
      <c r="A92" s="2">
        <f>IFERROR(__xludf.DUMMYFUNCTION("""COMPUTED_VALUE"""),43435.0)</f>
        <v>43435</v>
      </c>
      <c r="B92" s="1" t="str">
        <f>IFERROR(__xludf.DUMMYFUNCTION("""COMPUTED_VALUE"""),"2.132 €/m2")</f>
        <v>2.132 €/m2</v>
      </c>
      <c r="C92" s="1" t="str">
        <f>IFERROR(__xludf.DUMMYFUNCTION("""COMPUTED_VALUE"""),"- 1,5 %")</f>
        <v>- 1,5 %</v>
      </c>
      <c r="D92" s="1" t="str">
        <f>IFERROR(__xludf.DUMMYFUNCTION("""COMPUTED_VALUE"""),"+ 1,7 %")</f>
        <v>+ 1,7 %</v>
      </c>
      <c r="E92" s="1" t="str">
        <f>IFERROR(__xludf.DUMMYFUNCTION("""COMPUTED_VALUE"""),"+ 16,7 %")</f>
        <v>+ 16,7 %</v>
      </c>
    </row>
    <row r="93">
      <c r="A93" s="2">
        <f>IFERROR(__xludf.DUMMYFUNCTION("""COMPUTED_VALUE"""),43405.0)</f>
        <v>43405</v>
      </c>
      <c r="B93" s="1" t="str">
        <f>IFERROR(__xludf.DUMMYFUNCTION("""COMPUTED_VALUE"""),"2.165 €/m2")</f>
        <v>2.165 €/m2</v>
      </c>
      <c r="C93" s="1" t="str">
        <f>IFERROR(__xludf.DUMMYFUNCTION("""COMPUTED_VALUE"""),"+ 1,5 %")</f>
        <v>+ 1,5 %</v>
      </c>
      <c r="D93" s="1" t="str">
        <f>IFERROR(__xludf.DUMMYFUNCTION("""COMPUTED_VALUE"""),"+ 3,4 %")</f>
        <v>+ 3,4 %</v>
      </c>
      <c r="E93" s="1" t="str">
        <f>IFERROR(__xludf.DUMMYFUNCTION("""COMPUTED_VALUE"""),"+ 18,9 %")</f>
        <v>+ 18,9 %</v>
      </c>
    </row>
    <row r="94">
      <c r="A94" s="2">
        <f>IFERROR(__xludf.DUMMYFUNCTION("""COMPUTED_VALUE"""),43374.0)</f>
        <v>43374</v>
      </c>
      <c r="B94" s="1" t="str">
        <f>IFERROR(__xludf.DUMMYFUNCTION("""COMPUTED_VALUE"""),"2.132 €/m2")</f>
        <v>2.132 €/m2</v>
      </c>
      <c r="C94" s="1" t="str">
        <f>IFERROR(__xludf.DUMMYFUNCTION("""COMPUTED_VALUE"""),"+ 1,7 %")</f>
        <v>+ 1,7 %</v>
      </c>
      <c r="D94" s="1" t="str">
        <f>IFERROR(__xludf.DUMMYFUNCTION("""COMPUTED_VALUE"""),"+ 2,4 %")</f>
        <v>+ 2,4 %</v>
      </c>
      <c r="E94" s="1" t="str">
        <f>IFERROR(__xludf.DUMMYFUNCTION("""COMPUTED_VALUE"""),"+ 16,7 %")</f>
        <v>+ 16,7 %</v>
      </c>
    </row>
    <row r="95">
      <c r="A95" s="2">
        <f>IFERROR(__xludf.DUMMYFUNCTION("""COMPUTED_VALUE"""),43344.0)</f>
        <v>43344</v>
      </c>
      <c r="B95" s="1" t="str">
        <f>IFERROR(__xludf.DUMMYFUNCTION("""COMPUTED_VALUE"""),"2.097 €/m2")</f>
        <v>2.097 €/m2</v>
      </c>
      <c r="C95" s="1" t="str">
        <f>IFERROR(__xludf.DUMMYFUNCTION("""COMPUTED_VALUE"""),"+ 0,1 %")</f>
        <v>+ 0,1 %</v>
      </c>
      <c r="D95" s="1" t="str">
        <f>IFERROR(__xludf.DUMMYFUNCTION("""COMPUTED_VALUE"""),"+ 1,7 %")</f>
        <v>+ 1,7 %</v>
      </c>
      <c r="E95" s="1" t="str">
        <f>IFERROR(__xludf.DUMMYFUNCTION("""COMPUTED_VALUE"""),"+ 19,7 %")</f>
        <v>+ 19,7 %</v>
      </c>
    </row>
    <row r="96">
      <c r="A96" s="2">
        <f>IFERROR(__xludf.DUMMYFUNCTION("""COMPUTED_VALUE"""),43313.0)</f>
        <v>43313</v>
      </c>
      <c r="B96" s="1" t="str">
        <f>IFERROR(__xludf.DUMMYFUNCTION("""COMPUTED_VALUE"""),"2.095 €/m2")</f>
        <v>2.095 €/m2</v>
      </c>
      <c r="C96" s="1" t="str">
        <f>IFERROR(__xludf.DUMMYFUNCTION("""COMPUTED_VALUE"""),"+ 0,6 %")</f>
        <v>+ 0,6 %</v>
      </c>
      <c r="D96" s="1" t="str">
        <f>IFERROR(__xludf.DUMMYFUNCTION("""COMPUTED_VALUE"""),"+ 3,6 %")</f>
        <v>+ 3,6 %</v>
      </c>
      <c r="E96" s="1" t="str">
        <f>IFERROR(__xludf.DUMMYFUNCTION("""COMPUTED_VALUE"""),"+ 22,1 %")</f>
        <v>+ 22,1 %</v>
      </c>
    </row>
    <row r="97">
      <c r="A97" s="2">
        <f>IFERROR(__xludf.DUMMYFUNCTION("""COMPUTED_VALUE"""),43282.0)</f>
        <v>43282</v>
      </c>
      <c r="B97" s="1" t="str">
        <f>IFERROR(__xludf.DUMMYFUNCTION("""COMPUTED_VALUE"""),"2.082 €/m2")</f>
        <v>2.082 €/m2</v>
      </c>
      <c r="C97" s="1" t="str">
        <f>IFERROR(__xludf.DUMMYFUNCTION("""COMPUTED_VALUE"""),"+ 1,0 %")</f>
        <v>+ 1,0 %</v>
      </c>
      <c r="D97" s="1" t="str">
        <f>IFERROR(__xludf.DUMMYFUNCTION("""COMPUTED_VALUE"""),"+ 6,6 %")</f>
        <v>+ 6,6 %</v>
      </c>
      <c r="E97" s="1" t="str">
        <f>IFERROR(__xludf.DUMMYFUNCTION("""COMPUTED_VALUE"""),"+ 23,8 %")</f>
        <v>+ 23,8 %</v>
      </c>
    </row>
    <row r="98">
      <c r="A98" s="2">
        <f>IFERROR(__xludf.DUMMYFUNCTION("""COMPUTED_VALUE"""),43252.0)</f>
        <v>43252</v>
      </c>
      <c r="B98" s="1" t="str">
        <f>IFERROR(__xludf.DUMMYFUNCTION("""COMPUTED_VALUE"""),"2.062 €/m2")</f>
        <v>2.062 €/m2</v>
      </c>
      <c r="C98" s="1" t="str">
        <f>IFERROR(__xludf.DUMMYFUNCTION("""COMPUTED_VALUE"""),"+ 2,0 %")</f>
        <v>+ 2,0 %</v>
      </c>
      <c r="D98" s="1" t="str">
        <f>IFERROR(__xludf.DUMMYFUNCTION("""COMPUTED_VALUE"""),"+ 7,9 %")</f>
        <v>+ 7,9 %</v>
      </c>
      <c r="E98" s="1" t="str">
        <f>IFERROR(__xludf.DUMMYFUNCTION("""COMPUTED_VALUE"""),"+ 24,7 %")</f>
        <v>+ 24,7 %</v>
      </c>
    </row>
    <row r="99">
      <c r="A99" s="2">
        <f>IFERROR(__xludf.DUMMYFUNCTION("""COMPUTED_VALUE"""),43221.0)</f>
        <v>43221</v>
      </c>
      <c r="B99" s="1" t="str">
        <f>IFERROR(__xludf.DUMMYFUNCTION("""COMPUTED_VALUE"""),"2.021 €/m2")</f>
        <v>2.021 €/m2</v>
      </c>
      <c r="C99" s="1" t="str">
        <f>IFERROR(__xludf.DUMMYFUNCTION("""COMPUTED_VALUE"""),"+ 3,5 %")</f>
        <v>+ 3,5 %</v>
      </c>
      <c r="D99" s="1" t="str">
        <f>IFERROR(__xludf.DUMMYFUNCTION("""COMPUTED_VALUE"""),"+ 5,9 %")</f>
        <v>+ 5,9 %</v>
      </c>
      <c r="E99" s="1" t="str">
        <f>IFERROR(__xludf.DUMMYFUNCTION("""COMPUTED_VALUE"""),"+ 21,4 %")</f>
        <v>+ 21,4 %</v>
      </c>
    </row>
    <row r="100">
      <c r="A100" s="2">
        <f>IFERROR(__xludf.DUMMYFUNCTION("""COMPUTED_VALUE"""),43191.0)</f>
        <v>43191</v>
      </c>
      <c r="B100" s="1" t="str">
        <f>IFERROR(__xludf.DUMMYFUNCTION("""COMPUTED_VALUE"""),"1.953 €/m2")</f>
        <v>1.953 €/m2</v>
      </c>
      <c r="C100" s="1" t="str">
        <f>IFERROR(__xludf.DUMMYFUNCTION("""COMPUTED_VALUE"""),"+ 2,2 %")</f>
        <v>+ 2,2 %</v>
      </c>
      <c r="D100" s="1" t="str">
        <f>IFERROR(__xludf.DUMMYFUNCTION("""COMPUTED_VALUE"""),"+ 4,8 %")</f>
        <v>+ 4,8 %</v>
      </c>
      <c r="E100" s="1" t="str">
        <f>IFERROR(__xludf.DUMMYFUNCTION("""COMPUTED_VALUE"""),"+ 16,0 %")</f>
        <v>+ 16,0 %</v>
      </c>
    </row>
    <row r="101">
      <c r="A101" s="2">
        <f>IFERROR(__xludf.DUMMYFUNCTION("""COMPUTED_VALUE"""),43160.0)</f>
        <v>43160</v>
      </c>
      <c r="B101" s="1" t="str">
        <f>IFERROR(__xludf.DUMMYFUNCTION("""COMPUTED_VALUE"""),"1.911 €/m2")</f>
        <v>1.911 €/m2</v>
      </c>
      <c r="C101" s="1" t="str">
        <f>IFERROR(__xludf.DUMMYFUNCTION("""COMPUTED_VALUE"""),"+ 0,1 %")</f>
        <v>+ 0,1 %</v>
      </c>
      <c r="D101" s="1" t="str">
        <f>IFERROR(__xludf.DUMMYFUNCTION("""COMPUTED_VALUE"""),"+ 4,6 %")</f>
        <v>+ 4,6 %</v>
      </c>
      <c r="E101" s="1" t="str">
        <f>IFERROR(__xludf.DUMMYFUNCTION("""COMPUTED_VALUE"""),"+ 14,7 %")</f>
        <v>+ 14,7 %</v>
      </c>
    </row>
    <row r="102">
      <c r="A102" s="2">
        <f>IFERROR(__xludf.DUMMYFUNCTION("""COMPUTED_VALUE"""),43132.0)</f>
        <v>43132</v>
      </c>
      <c r="B102" s="1" t="str">
        <f>IFERROR(__xludf.DUMMYFUNCTION("""COMPUTED_VALUE"""),"1.908 €/m2")</f>
        <v>1.908 €/m2</v>
      </c>
      <c r="C102" s="1" t="str">
        <f>IFERROR(__xludf.DUMMYFUNCTION("""COMPUTED_VALUE"""),"+ 2,4 %")</f>
        <v>+ 2,4 %</v>
      </c>
      <c r="D102" s="1" t="str">
        <f>IFERROR(__xludf.DUMMYFUNCTION("""COMPUTED_VALUE"""),"+ 4,8 %")</f>
        <v>+ 4,8 %</v>
      </c>
      <c r="E102" s="1" t="str">
        <f>IFERROR(__xludf.DUMMYFUNCTION("""COMPUTED_VALUE"""),"+ 15,8 %")</f>
        <v>+ 15,8 %</v>
      </c>
    </row>
    <row r="103">
      <c r="A103" s="2">
        <f>IFERROR(__xludf.DUMMYFUNCTION("""COMPUTED_VALUE"""),43101.0)</f>
        <v>43101</v>
      </c>
      <c r="B103" s="1" t="str">
        <f>IFERROR(__xludf.DUMMYFUNCTION("""COMPUTED_VALUE"""),"1.864 €/m2")</f>
        <v>1.864 €/m2</v>
      </c>
      <c r="C103" s="1" t="str">
        <f>IFERROR(__xludf.DUMMYFUNCTION("""COMPUTED_VALUE"""),"+ 2,1 %")</f>
        <v>+ 2,1 %</v>
      </c>
      <c r="D103" s="1" t="str">
        <f>IFERROR(__xludf.DUMMYFUNCTION("""COMPUTED_VALUE"""),"+ 2,0 %")</f>
        <v>+ 2,0 %</v>
      </c>
      <c r="E103" s="1" t="str">
        <f>IFERROR(__xludf.DUMMYFUNCTION("""COMPUTED_VALUE"""),"+ 12,9 %")</f>
        <v>+ 12,9 %</v>
      </c>
    </row>
    <row r="104">
      <c r="A104" s="2">
        <f>IFERROR(__xludf.DUMMYFUNCTION("""COMPUTED_VALUE"""),43070.0)</f>
        <v>43070</v>
      </c>
      <c r="B104" s="1" t="str">
        <f>IFERROR(__xludf.DUMMYFUNCTION("""COMPUTED_VALUE"""),"1.826 €/m2")</f>
        <v>1.826 €/m2</v>
      </c>
      <c r="C104" s="1" t="str">
        <f>IFERROR(__xludf.DUMMYFUNCTION("""COMPUTED_VALUE"""),"+ 0,3 %")</f>
        <v>+ 0,3 %</v>
      </c>
      <c r="D104" s="1" t="str">
        <f>IFERROR(__xludf.DUMMYFUNCTION("""COMPUTED_VALUE"""),"+ 4,3 %")</f>
        <v>+ 4,3 %</v>
      </c>
      <c r="E104" s="1" t="str">
        <f>IFERROR(__xludf.DUMMYFUNCTION("""COMPUTED_VALUE"""),"+ 11,0 %")</f>
        <v>+ 11,0 %</v>
      </c>
    </row>
    <row r="105">
      <c r="A105" s="2">
        <f>IFERROR(__xludf.DUMMYFUNCTION("""COMPUTED_VALUE"""),43040.0)</f>
        <v>43040</v>
      </c>
      <c r="B105" s="1" t="str">
        <f>IFERROR(__xludf.DUMMYFUNCTION("""COMPUTED_VALUE"""),"1.821 €/m2")</f>
        <v>1.821 €/m2</v>
      </c>
      <c r="C105" s="1" t="str">
        <f>IFERROR(__xludf.DUMMYFUNCTION("""COMPUTED_VALUE"""),"- 0,4 %")</f>
        <v>- 0,4 %</v>
      </c>
      <c r="D105" s="1" t="str">
        <f>IFERROR(__xludf.DUMMYFUNCTION("""COMPUTED_VALUE"""),"+ 6,2 %")</f>
        <v>+ 6,2 %</v>
      </c>
      <c r="E105" s="1" t="str">
        <f>IFERROR(__xludf.DUMMYFUNCTION("""COMPUTED_VALUE"""),"+ 9,5 %")</f>
        <v>+ 9,5 %</v>
      </c>
    </row>
    <row r="106">
      <c r="A106" s="2">
        <f>IFERROR(__xludf.DUMMYFUNCTION("""COMPUTED_VALUE"""),43009.0)</f>
        <v>43009</v>
      </c>
      <c r="B106" s="1" t="str">
        <f>IFERROR(__xludf.DUMMYFUNCTION("""COMPUTED_VALUE"""),"1.828 €/m2")</f>
        <v>1.828 €/m2</v>
      </c>
      <c r="C106" s="1" t="str">
        <f>IFERROR(__xludf.DUMMYFUNCTION("""COMPUTED_VALUE"""),"+ 4,4 %")</f>
        <v>+ 4,4 %</v>
      </c>
      <c r="D106" s="1" t="str">
        <f>IFERROR(__xludf.DUMMYFUNCTION("""COMPUTED_VALUE"""),"+ 8,6 %")</f>
        <v>+ 8,6 %</v>
      </c>
      <c r="E106" s="1" t="str">
        <f>IFERROR(__xludf.DUMMYFUNCTION("""COMPUTED_VALUE"""),"+ 9,9 %")</f>
        <v>+ 9,9 %</v>
      </c>
    </row>
    <row r="107">
      <c r="A107" s="2">
        <f>IFERROR(__xludf.DUMMYFUNCTION("""COMPUTED_VALUE"""),42979.0)</f>
        <v>42979</v>
      </c>
      <c r="B107" s="1" t="str">
        <f>IFERROR(__xludf.DUMMYFUNCTION("""COMPUTED_VALUE"""),"1.751 €/m2")</f>
        <v>1.751 €/m2</v>
      </c>
      <c r="C107" s="1" t="str">
        <f>IFERROR(__xludf.DUMMYFUNCTION("""COMPUTED_VALUE"""),"+ 2,1 %")</f>
        <v>+ 2,1 %</v>
      </c>
      <c r="D107" s="1" t="str">
        <f>IFERROR(__xludf.DUMMYFUNCTION("""COMPUTED_VALUE"""),"+ 5,9 %")</f>
        <v>+ 5,9 %</v>
      </c>
      <c r="E107" s="1" t="str">
        <f>IFERROR(__xludf.DUMMYFUNCTION("""COMPUTED_VALUE"""),"+ 5,2 %")</f>
        <v>+ 5,2 %</v>
      </c>
    </row>
    <row r="108">
      <c r="A108" s="2">
        <f>IFERROR(__xludf.DUMMYFUNCTION("""COMPUTED_VALUE"""),42948.0)</f>
        <v>42948</v>
      </c>
      <c r="B108" s="1" t="str">
        <f>IFERROR(__xludf.DUMMYFUNCTION("""COMPUTED_VALUE"""),"1.715 €/m2")</f>
        <v>1.715 €/m2</v>
      </c>
      <c r="C108" s="1" t="str">
        <f>IFERROR(__xludf.DUMMYFUNCTION("""COMPUTED_VALUE"""),"+ 1,9 %")</f>
        <v>+ 1,9 %</v>
      </c>
      <c r="D108" s="1" t="str">
        <f>IFERROR(__xludf.DUMMYFUNCTION("""COMPUTED_VALUE"""),"+ 3,0 %")</f>
        <v>+ 3,0 %</v>
      </c>
      <c r="E108" s="1" t="str">
        <f>IFERROR(__xludf.DUMMYFUNCTION("""COMPUTED_VALUE"""),"+ 3,1 %")</f>
        <v>+ 3,1 %</v>
      </c>
    </row>
    <row r="109">
      <c r="A109" s="2">
        <f>IFERROR(__xludf.DUMMYFUNCTION("""COMPUTED_VALUE"""),42917.0)</f>
        <v>42917</v>
      </c>
      <c r="B109" s="1" t="str">
        <f>IFERROR(__xludf.DUMMYFUNCTION("""COMPUTED_VALUE"""),"1.682 €/m2")</f>
        <v>1.682 €/m2</v>
      </c>
      <c r="C109" s="1" t="str">
        <f>IFERROR(__xludf.DUMMYFUNCTION("""COMPUTED_VALUE"""),"+ 1,7 %")</f>
        <v>+ 1,7 %</v>
      </c>
      <c r="D109" s="1" t="str">
        <f>IFERROR(__xludf.DUMMYFUNCTION("""COMPUTED_VALUE"""),"- 0,1 %")</f>
        <v>- 0,1 %</v>
      </c>
      <c r="E109" s="1" t="str">
        <f>IFERROR(__xludf.DUMMYFUNCTION("""COMPUTED_VALUE"""),"+ 1,5 %")</f>
        <v>+ 1,5 %</v>
      </c>
    </row>
    <row r="110">
      <c r="A110" s="2">
        <f>IFERROR(__xludf.DUMMYFUNCTION("""COMPUTED_VALUE"""),42887.0)</f>
        <v>42887</v>
      </c>
      <c r="B110" s="1" t="str">
        <f>IFERROR(__xludf.DUMMYFUNCTION("""COMPUTED_VALUE"""),"1.654 €/m2")</f>
        <v>1.654 €/m2</v>
      </c>
      <c r="C110" s="1" t="str">
        <f>IFERROR(__xludf.DUMMYFUNCTION("""COMPUTED_VALUE"""),"- 0,7 %")</f>
        <v>- 0,7 %</v>
      </c>
      <c r="D110" s="1" t="str">
        <f>IFERROR(__xludf.DUMMYFUNCTION("""COMPUTED_VALUE"""),"- 0,7 %")</f>
        <v>- 0,7 %</v>
      </c>
      <c r="E110" s="1" t="str">
        <f>IFERROR(__xludf.DUMMYFUNCTION("""COMPUTED_VALUE"""),"- 0,5 %")</f>
        <v>- 0,5 %</v>
      </c>
    </row>
    <row r="111">
      <c r="A111" s="2">
        <f>IFERROR(__xludf.DUMMYFUNCTION("""COMPUTED_VALUE"""),42856.0)</f>
        <v>42856</v>
      </c>
      <c r="B111" s="1" t="str">
        <f>IFERROR(__xludf.DUMMYFUNCTION("""COMPUTED_VALUE"""),"1.666 €/m2")</f>
        <v>1.666 €/m2</v>
      </c>
      <c r="C111" s="1" t="str">
        <f>IFERROR(__xludf.DUMMYFUNCTION("""COMPUTED_VALUE"""),"- 1,1 %")</f>
        <v>- 1,1 %</v>
      </c>
      <c r="D111" s="1" t="str">
        <f>IFERROR(__xludf.DUMMYFUNCTION("""COMPUTED_VALUE"""),"+ 1,1 %")</f>
        <v>+ 1,1 %</v>
      </c>
      <c r="E111" s="1" t="str">
        <f>IFERROR(__xludf.DUMMYFUNCTION("""COMPUTED_VALUE"""),"+ 0,3 %")</f>
        <v>+ 0,3 %</v>
      </c>
    </row>
    <row r="112">
      <c r="A112" s="2">
        <f>IFERROR(__xludf.DUMMYFUNCTION("""COMPUTED_VALUE"""),42826.0)</f>
        <v>42826</v>
      </c>
      <c r="B112" s="1" t="str">
        <f>IFERROR(__xludf.DUMMYFUNCTION("""COMPUTED_VALUE"""),"1.684 €/m2")</f>
        <v>1.684 €/m2</v>
      </c>
      <c r="C112" s="1" t="str">
        <f>IFERROR(__xludf.DUMMYFUNCTION("""COMPUTED_VALUE"""),"+ 1,1 %")</f>
        <v>+ 1,1 %</v>
      </c>
      <c r="D112" s="1" t="str">
        <f>IFERROR(__xludf.DUMMYFUNCTION("""COMPUTED_VALUE"""),"+ 1,9 %")</f>
        <v>+ 1,9 %</v>
      </c>
      <c r="E112" s="1" t="str">
        <f>IFERROR(__xludf.DUMMYFUNCTION("""COMPUTED_VALUE"""),"+ 0,9 %")</f>
        <v>+ 0,9 %</v>
      </c>
    </row>
    <row r="113">
      <c r="A113" s="2">
        <f>IFERROR(__xludf.DUMMYFUNCTION("""COMPUTED_VALUE"""),42795.0)</f>
        <v>42795</v>
      </c>
      <c r="B113" s="1" t="str">
        <f>IFERROR(__xludf.DUMMYFUNCTION("""COMPUTED_VALUE"""),"1.665 €/m2")</f>
        <v>1.665 €/m2</v>
      </c>
      <c r="C113" s="1" t="str">
        <f>IFERROR(__xludf.DUMMYFUNCTION("""COMPUTED_VALUE"""),"+ 1,1 %")</f>
        <v>+ 1,1 %</v>
      </c>
      <c r="D113" s="1" t="str">
        <f>IFERROR(__xludf.DUMMYFUNCTION("""COMPUTED_VALUE"""),"+ 1,2 %")</f>
        <v>+ 1,2 %</v>
      </c>
      <c r="E113" s="1" t="str">
        <f>IFERROR(__xludf.DUMMYFUNCTION("""COMPUTED_VALUE"""),"- 1,7 %")</f>
        <v>- 1,7 %</v>
      </c>
    </row>
    <row r="114">
      <c r="A114" s="2">
        <f>IFERROR(__xludf.DUMMYFUNCTION("""COMPUTED_VALUE"""),42767.0)</f>
        <v>42767</v>
      </c>
      <c r="B114" s="1" t="str">
        <f>IFERROR(__xludf.DUMMYFUNCTION("""COMPUTED_VALUE"""),"1.648 €/m2")</f>
        <v>1.648 €/m2</v>
      </c>
      <c r="C114" s="1" t="str">
        <f>IFERROR(__xludf.DUMMYFUNCTION("""COMPUTED_VALUE"""),"- 0,2 %")</f>
        <v>- 0,2 %</v>
      </c>
      <c r="D114" s="1" t="str">
        <f>IFERROR(__xludf.DUMMYFUNCTION("""COMPUTED_VALUE"""),"- 0,9 %")</f>
        <v>- 0,9 %</v>
      </c>
      <c r="E114" s="1" t="str">
        <f>IFERROR(__xludf.DUMMYFUNCTION("""COMPUTED_VALUE"""),"- 1,9 %")</f>
        <v>- 1,9 %</v>
      </c>
    </row>
    <row r="115">
      <c r="A115" s="2">
        <f>IFERROR(__xludf.DUMMYFUNCTION("""COMPUTED_VALUE"""),42736.0)</f>
        <v>42736</v>
      </c>
      <c r="B115" s="1" t="str">
        <f>IFERROR(__xludf.DUMMYFUNCTION("""COMPUTED_VALUE"""),"1.652 €/m2")</f>
        <v>1.652 €/m2</v>
      </c>
      <c r="C115" s="1" t="str">
        <f>IFERROR(__xludf.DUMMYFUNCTION("""COMPUTED_VALUE"""),"+ 0,4 %")</f>
        <v>+ 0,4 %</v>
      </c>
      <c r="D115" s="1" t="str">
        <f>IFERROR(__xludf.DUMMYFUNCTION("""COMPUTED_VALUE"""),"- 0,7 %")</f>
        <v>- 0,7 %</v>
      </c>
      <c r="E115" s="1" t="str">
        <f>IFERROR(__xludf.DUMMYFUNCTION("""COMPUTED_VALUE"""),"- 1,6 %")</f>
        <v>- 1,6 %</v>
      </c>
    </row>
    <row r="116">
      <c r="A116" s="2">
        <f>IFERROR(__xludf.DUMMYFUNCTION("""COMPUTED_VALUE"""),42705.0)</f>
        <v>42705</v>
      </c>
      <c r="B116" s="1" t="str">
        <f>IFERROR(__xludf.DUMMYFUNCTION("""COMPUTED_VALUE"""),"1.645 €/m2")</f>
        <v>1.645 €/m2</v>
      </c>
      <c r="C116" s="1" t="str">
        <f>IFERROR(__xludf.DUMMYFUNCTION("""COMPUTED_VALUE"""),"- 1,0 %")</f>
        <v>- 1,0 %</v>
      </c>
      <c r="D116" s="1" t="str">
        <f>IFERROR(__xludf.DUMMYFUNCTION("""COMPUTED_VALUE"""),"- 1,1 %")</f>
        <v>- 1,1 %</v>
      </c>
      <c r="E116" s="1" t="str">
        <f>IFERROR(__xludf.DUMMYFUNCTION("""COMPUTED_VALUE"""),"- 0,5 %")</f>
        <v>- 0,5 %</v>
      </c>
    </row>
    <row r="117">
      <c r="A117" s="2">
        <f>IFERROR(__xludf.DUMMYFUNCTION("""COMPUTED_VALUE"""),42675.0)</f>
        <v>42675</v>
      </c>
      <c r="B117" s="1" t="str">
        <f>IFERROR(__xludf.DUMMYFUNCTION("""COMPUTED_VALUE"""),"1.663 €/m2")</f>
        <v>1.663 €/m2</v>
      </c>
      <c r="C117" s="1" t="str">
        <f>IFERROR(__xludf.DUMMYFUNCTION("""COMPUTED_VALUE"""),"0,0 %")</f>
        <v>0,0 %</v>
      </c>
      <c r="D117" s="1" t="str">
        <f>IFERROR(__xludf.DUMMYFUNCTION("""COMPUTED_VALUE"""),"0,0 %")</f>
        <v>0,0 %</v>
      </c>
      <c r="E117" s="1" t="str">
        <f>IFERROR(__xludf.DUMMYFUNCTION("""COMPUTED_VALUE"""),"- 1,1 %")</f>
        <v>- 1,1 %</v>
      </c>
    </row>
    <row r="118">
      <c r="A118" s="2">
        <f>IFERROR(__xludf.DUMMYFUNCTION("""COMPUTED_VALUE"""),42644.0)</f>
        <v>42644</v>
      </c>
      <c r="B118" s="1" t="str">
        <f>IFERROR(__xludf.DUMMYFUNCTION("""COMPUTED_VALUE"""),"1.663 €/m2")</f>
        <v>1.663 €/m2</v>
      </c>
      <c r="C118" s="1" t="str">
        <f>IFERROR(__xludf.DUMMYFUNCTION("""COMPUTED_VALUE"""),"- 0,1 %")</f>
        <v>- 0,1 %</v>
      </c>
      <c r="D118" s="1" t="str">
        <f>IFERROR(__xludf.DUMMYFUNCTION("""COMPUTED_VALUE"""),"+ 0,3 %")</f>
        <v>+ 0,3 %</v>
      </c>
      <c r="E118" s="1" t="str">
        <f>IFERROR(__xludf.DUMMYFUNCTION("""COMPUTED_VALUE"""),"- 1,7 %")</f>
        <v>- 1,7 %</v>
      </c>
    </row>
    <row r="119">
      <c r="A119" s="2">
        <f>IFERROR(__xludf.DUMMYFUNCTION("""COMPUTED_VALUE"""),42614.0)</f>
        <v>42614</v>
      </c>
      <c r="B119" s="1" t="str">
        <f>IFERROR(__xludf.DUMMYFUNCTION("""COMPUTED_VALUE"""),"1.664 €/m2")</f>
        <v>1.664 €/m2</v>
      </c>
      <c r="C119" s="1" t="str">
        <f>IFERROR(__xludf.DUMMYFUNCTION("""COMPUTED_VALUE"""),"+ 0,1 %")</f>
        <v>+ 0,1 %</v>
      </c>
      <c r="D119" s="1" t="str">
        <f>IFERROR(__xludf.DUMMYFUNCTION("""COMPUTED_VALUE"""),"+ 0,1 %")</f>
        <v>+ 0,1 %</v>
      </c>
      <c r="E119" s="1" t="str">
        <f>IFERROR(__xludf.DUMMYFUNCTION("""COMPUTED_VALUE"""),"- 2,1 %")</f>
        <v>- 2,1 %</v>
      </c>
    </row>
    <row r="120">
      <c r="A120" s="2">
        <f>IFERROR(__xludf.DUMMYFUNCTION("""COMPUTED_VALUE"""),42583.0)</f>
        <v>42583</v>
      </c>
      <c r="B120" s="1" t="str">
        <f>IFERROR(__xludf.DUMMYFUNCTION("""COMPUTED_VALUE"""),"1.663 €/m2")</f>
        <v>1.663 €/m2</v>
      </c>
      <c r="C120" s="1" t="str">
        <f>IFERROR(__xludf.DUMMYFUNCTION("""COMPUTED_VALUE"""),"+ 0,3 %")</f>
        <v>+ 0,3 %</v>
      </c>
      <c r="D120" s="1" t="str">
        <f>IFERROR(__xludf.DUMMYFUNCTION("""COMPUTED_VALUE"""),"+ 0,2 %")</f>
        <v>+ 0,2 %</v>
      </c>
      <c r="E120" s="1" t="str">
        <f>IFERROR(__xludf.DUMMYFUNCTION("""COMPUTED_VALUE"""),"- 0,5 %")</f>
        <v>- 0,5 %</v>
      </c>
    </row>
    <row r="121">
      <c r="A121" s="2">
        <f>IFERROR(__xludf.DUMMYFUNCTION("""COMPUTED_VALUE"""),42552.0)</f>
        <v>42552</v>
      </c>
      <c r="B121" s="1" t="str">
        <f>IFERROR(__xludf.DUMMYFUNCTION("""COMPUTED_VALUE"""),"1.658 €/m2")</f>
        <v>1.658 €/m2</v>
      </c>
      <c r="C121" s="1" t="str">
        <f>IFERROR(__xludf.DUMMYFUNCTION("""COMPUTED_VALUE"""),"- 0,3 %")</f>
        <v>- 0,3 %</v>
      </c>
      <c r="D121" s="1" t="str">
        <f>IFERROR(__xludf.DUMMYFUNCTION("""COMPUTED_VALUE"""),"- 0,6 %")</f>
        <v>- 0,6 %</v>
      </c>
      <c r="E121" s="1" t="str">
        <f>IFERROR(__xludf.DUMMYFUNCTION("""COMPUTED_VALUE"""),"+ 0,4 %")</f>
        <v>+ 0,4 %</v>
      </c>
    </row>
    <row r="122">
      <c r="A122" s="2">
        <f>IFERROR(__xludf.DUMMYFUNCTION("""COMPUTED_VALUE"""),42522.0)</f>
        <v>42522</v>
      </c>
      <c r="B122" s="1" t="str">
        <f>IFERROR(__xludf.DUMMYFUNCTION("""COMPUTED_VALUE"""),"1.663 €/m2")</f>
        <v>1.663 €/m2</v>
      </c>
      <c r="C122" s="1" t="str">
        <f>IFERROR(__xludf.DUMMYFUNCTION("""COMPUTED_VALUE"""),"+ 0,1 %")</f>
        <v>+ 0,1 %</v>
      </c>
      <c r="D122" s="1" t="str">
        <f>IFERROR(__xludf.DUMMYFUNCTION("""COMPUTED_VALUE"""),"- 1,8 %")</f>
        <v>- 1,8 %</v>
      </c>
      <c r="E122" s="1" t="str">
        <f>IFERROR(__xludf.DUMMYFUNCTION("""COMPUTED_VALUE"""),"+ 1,5 %")</f>
        <v>+ 1,5 %</v>
      </c>
    </row>
    <row r="123">
      <c r="A123" s="2">
        <f>IFERROR(__xludf.DUMMYFUNCTION("""COMPUTED_VALUE"""),42491.0)</f>
        <v>42491</v>
      </c>
      <c r="B123" s="1" t="str">
        <f>IFERROR(__xludf.DUMMYFUNCTION("""COMPUTED_VALUE"""),"1.660 €/m2")</f>
        <v>1.660 €/m2</v>
      </c>
      <c r="C123" s="1" t="str">
        <f>IFERROR(__xludf.DUMMYFUNCTION("""COMPUTED_VALUE"""),"- 0,5 %")</f>
        <v>- 0,5 %</v>
      </c>
      <c r="D123" s="1" t="str">
        <f>IFERROR(__xludf.DUMMYFUNCTION("""COMPUTED_VALUE"""),"- 1,2 %")</f>
        <v>- 1,2 %</v>
      </c>
      <c r="E123" s="1" t="str">
        <f>IFERROR(__xludf.DUMMYFUNCTION("""COMPUTED_VALUE"""),"+ 1,6 %")</f>
        <v>+ 1,6 %</v>
      </c>
    </row>
    <row r="124">
      <c r="A124" s="2">
        <f>IFERROR(__xludf.DUMMYFUNCTION("""COMPUTED_VALUE"""),42461.0)</f>
        <v>42461</v>
      </c>
      <c r="B124" s="1" t="str">
        <f>IFERROR(__xludf.DUMMYFUNCTION("""COMPUTED_VALUE"""),"1.668 €/m2")</f>
        <v>1.668 €/m2</v>
      </c>
      <c r="C124" s="1" t="str">
        <f>IFERROR(__xludf.DUMMYFUNCTION("""COMPUTED_VALUE"""),"- 1,5 %")</f>
        <v>- 1,5 %</v>
      </c>
      <c r="D124" s="1" t="str">
        <f>IFERROR(__xludf.DUMMYFUNCTION("""COMPUTED_VALUE"""),"- 0,6 %")</f>
        <v>- 0,6 %</v>
      </c>
      <c r="E124" s="1" t="str">
        <f>IFERROR(__xludf.DUMMYFUNCTION("""COMPUTED_VALUE"""),"- 2,0 %")</f>
        <v>- 2,0 %</v>
      </c>
    </row>
    <row r="125">
      <c r="A125" s="2">
        <f>IFERROR(__xludf.DUMMYFUNCTION("""COMPUTED_VALUE"""),42430.0)</f>
        <v>42430</v>
      </c>
      <c r="B125" s="1" t="str">
        <f>IFERROR(__xludf.DUMMYFUNCTION("""COMPUTED_VALUE"""),"1.694 €/m2")</f>
        <v>1.694 €/m2</v>
      </c>
      <c r="C125" s="1" t="str">
        <f>IFERROR(__xludf.DUMMYFUNCTION("""COMPUTED_VALUE"""),"+ 0,9 %")</f>
        <v>+ 0,9 %</v>
      </c>
      <c r="D125" s="1" t="str">
        <f>IFERROR(__xludf.DUMMYFUNCTION("""COMPUTED_VALUE"""),"+ 2,5 %")</f>
        <v>+ 2,5 %</v>
      </c>
      <c r="E125" s="1" t="str">
        <f>IFERROR(__xludf.DUMMYFUNCTION("""COMPUTED_VALUE"""),"+ 2,6 %")</f>
        <v>+ 2,6 %</v>
      </c>
    </row>
    <row r="126">
      <c r="A126" s="2">
        <f>IFERROR(__xludf.DUMMYFUNCTION("""COMPUTED_VALUE"""),42401.0)</f>
        <v>42401</v>
      </c>
      <c r="B126" s="1" t="str">
        <f>IFERROR(__xludf.DUMMYFUNCTION("""COMPUTED_VALUE"""),"1.680 €/m2")</f>
        <v>1.680 €/m2</v>
      </c>
      <c r="C126" s="1" t="str">
        <f>IFERROR(__xludf.DUMMYFUNCTION("""COMPUTED_VALUE"""),"0,0 %")</f>
        <v>0,0 %</v>
      </c>
      <c r="D126" s="1" t="str">
        <f>IFERROR(__xludf.DUMMYFUNCTION("""COMPUTED_VALUE"""),"- 0,1 %")</f>
        <v>- 0,1 %</v>
      </c>
      <c r="E126" s="1" t="str">
        <f>IFERROR(__xludf.DUMMYFUNCTION("""COMPUTED_VALUE"""),"+ 1,9 %")</f>
        <v>+ 1,9 %</v>
      </c>
    </row>
    <row r="127">
      <c r="A127" s="2">
        <f>IFERROR(__xludf.DUMMYFUNCTION("""COMPUTED_VALUE"""),42370.0)</f>
        <v>42370</v>
      </c>
      <c r="B127" s="1" t="str">
        <f>IFERROR(__xludf.DUMMYFUNCTION("""COMPUTED_VALUE"""),"1.679 €/m2")</f>
        <v>1.679 €/m2</v>
      </c>
      <c r="C127" s="1" t="str">
        <f>IFERROR(__xludf.DUMMYFUNCTION("""COMPUTED_VALUE"""),"+ 1,5 %")</f>
        <v>+ 1,5 %</v>
      </c>
      <c r="D127" s="1" t="str">
        <f>IFERROR(__xludf.DUMMYFUNCTION("""COMPUTED_VALUE"""),"- 0,7 %")</f>
        <v>- 0,7 %</v>
      </c>
      <c r="E127" s="1" t="str">
        <f>IFERROR(__xludf.DUMMYFUNCTION("""COMPUTED_VALUE"""),"+ 3,3 %")</f>
        <v>+ 3,3 %</v>
      </c>
    </row>
    <row r="128">
      <c r="A128" s="2">
        <f>IFERROR(__xludf.DUMMYFUNCTION("""COMPUTED_VALUE"""),42339.0)</f>
        <v>42339</v>
      </c>
      <c r="B128" s="1" t="str">
        <f>IFERROR(__xludf.DUMMYFUNCTION("""COMPUTED_VALUE"""),"1.653 €/m2")</f>
        <v>1.653 €/m2</v>
      </c>
      <c r="C128" s="1" t="str">
        <f>IFERROR(__xludf.DUMMYFUNCTION("""COMPUTED_VALUE"""),"- 1,6 %")</f>
        <v>- 1,6 %</v>
      </c>
      <c r="D128" s="1" t="str">
        <f>IFERROR(__xludf.DUMMYFUNCTION("""COMPUTED_VALUE"""),"- 2,8 %")</f>
        <v>- 2,8 %</v>
      </c>
      <c r="E128" s="1" t="str">
        <f>IFERROR(__xludf.DUMMYFUNCTION("""COMPUTED_VALUE"""),"+ 1,0 %")</f>
        <v>+ 1,0 %</v>
      </c>
    </row>
    <row r="129">
      <c r="A129" s="2">
        <f>IFERROR(__xludf.DUMMYFUNCTION("""COMPUTED_VALUE"""),42309.0)</f>
        <v>42309</v>
      </c>
      <c r="B129" s="1" t="str">
        <f>IFERROR(__xludf.DUMMYFUNCTION("""COMPUTED_VALUE"""),"1.681 €/m2")</f>
        <v>1.681 €/m2</v>
      </c>
      <c r="C129" s="1" t="str">
        <f>IFERROR(__xludf.DUMMYFUNCTION("""COMPUTED_VALUE"""),"- 0,6 %")</f>
        <v>- 0,6 %</v>
      </c>
      <c r="D129" s="1" t="str">
        <f>IFERROR(__xludf.DUMMYFUNCTION("""COMPUTED_VALUE"""),"+ 0,6 %")</f>
        <v>+ 0,6 %</v>
      </c>
      <c r="E129" s="1" t="str">
        <f>IFERROR(__xludf.DUMMYFUNCTION("""COMPUTED_VALUE"""),"+ 2,5 %")</f>
        <v>+ 2,5 %</v>
      </c>
    </row>
    <row r="130">
      <c r="A130" s="2">
        <f>IFERROR(__xludf.DUMMYFUNCTION("""COMPUTED_VALUE"""),42278.0)</f>
        <v>42278</v>
      </c>
      <c r="B130" s="1" t="str">
        <f>IFERROR(__xludf.DUMMYFUNCTION("""COMPUTED_VALUE"""),"1.691 €/m2")</f>
        <v>1.691 €/m2</v>
      </c>
      <c r="C130" s="1" t="str">
        <f>IFERROR(__xludf.DUMMYFUNCTION("""COMPUTED_VALUE"""),"- 0,5 %")</f>
        <v>- 0,5 %</v>
      </c>
      <c r="D130" s="1" t="str">
        <f>IFERROR(__xludf.DUMMYFUNCTION("""COMPUTED_VALUE"""),"+ 2,4 %")</f>
        <v>+ 2,4 %</v>
      </c>
      <c r="E130" s="1" t="str">
        <f>IFERROR(__xludf.DUMMYFUNCTION("""COMPUTED_VALUE"""),"+ 2,4 %")</f>
        <v>+ 2,4 %</v>
      </c>
    </row>
    <row r="131">
      <c r="A131" s="2">
        <f>IFERROR(__xludf.DUMMYFUNCTION("""COMPUTED_VALUE"""),42248.0)</f>
        <v>42248</v>
      </c>
      <c r="B131" s="1" t="str">
        <f>IFERROR(__xludf.DUMMYFUNCTION("""COMPUTED_VALUE"""),"1.700 €/m2")</f>
        <v>1.700 €/m2</v>
      </c>
      <c r="C131" s="1" t="str">
        <f>IFERROR(__xludf.DUMMYFUNCTION("""COMPUTED_VALUE"""),"+ 1,8 %")</f>
        <v>+ 1,8 %</v>
      </c>
      <c r="D131" s="1" t="str">
        <f>IFERROR(__xludf.DUMMYFUNCTION("""COMPUTED_VALUE"""),"+ 3,8 %")</f>
        <v>+ 3,8 %</v>
      </c>
      <c r="E131" s="1" t="str">
        <f>IFERROR(__xludf.DUMMYFUNCTION("""COMPUTED_VALUE"""),"+ 2,7 %")</f>
        <v>+ 2,7 %</v>
      </c>
    </row>
    <row r="132">
      <c r="A132" s="2">
        <f>IFERROR(__xludf.DUMMYFUNCTION("""COMPUTED_VALUE"""),42217.0)</f>
        <v>42217</v>
      </c>
      <c r="B132" s="1" t="str">
        <f>IFERROR(__xludf.DUMMYFUNCTION("""COMPUTED_VALUE"""),"1.671 €/m2")</f>
        <v>1.671 €/m2</v>
      </c>
      <c r="C132" s="1" t="str">
        <f>IFERROR(__xludf.DUMMYFUNCTION("""COMPUTED_VALUE"""),"+ 1,2 %")</f>
        <v>+ 1,2 %</v>
      </c>
      <c r="D132" s="1" t="str">
        <f>IFERROR(__xludf.DUMMYFUNCTION("""COMPUTED_VALUE"""),"+ 2,3 %")</f>
        <v>+ 2,3 %</v>
      </c>
      <c r="E132" s="1" t="str">
        <f>IFERROR(__xludf.DUMMYFUNCTION("""COMPUTED_VALUE"""),"- 2,6 %")</f>
        <v>- 2,6 %</v>
      </c>
    </row>
    <row r="133">
      <c r="A133" s="2">
        <f>IFERROR(__xludf.DUMMYFUNCTION("""COMPUTED_VALUE"""),42186.0)</f>
        <v>42186</v>
      </c>
      <c r="B133" s="1" t="str">
        <f>IFERROR(__xludf.DUMMYFUNCTION("""COMPUTED_VALUE"""),"1.651 €/m2")</f>
        <v>1.651 €/m2</v>
      </c>
      <c r="C133" s="1" t="str">
        <f>IFERROR(__xludf.DUMMYFUNCTION("""COMPUTED_VALUE"""),"+ 0,8 %")</f>
        <v>+ 0,8 %</v>
      </c>
      <c r="D133" s="1" t="str">
        <f>IFERROR(__xludf.DUMMYFUNCTION("""COMPUTED_VALUE"""),"- 3,0 %")</f>
        <v>- 3,0 %</v>
      </c>
      <c r="E133" s="1" t="str">
        <f>IFERROR(__xludf.DUMMYFUNCTION("""COMPUTED_VALUE"""),"- 5,8 %")</f>
        <v>- 5,8 %</v>
      </c>
    </row>
    <row r="134">
      <c r="A134" s="2">
        <f>IFERROR(__xludf.DUMMYFUNCTION("""COMPUTED_VALUE"""),42156.0)</f>
        <v>42156</v>
      </c>
      <c r="B134" s="1" t="str">
        <f>IFERROR(__xludf.DUMMYFUNCTION("""COMPUTED_VALUE"""),"1.638 €/m2")</f>
        <v>1.638 €/m2</v>
      </c>
      <c r="C134" s="1" t="str">
        <f>IFERROR(__xludf.DUMMYFUNCTION("""COMPUTED_VALUE"""),"+ 0,3 %")</f>
        <v>+ 0,3 %</v>
      </c>
      <c r="D134" s="1" t="str">
        <f>IFERROR(__xludf.DUMMYFUNCTION("""COMPUTED_VALUE"""),"- 0,8 %")</f>
        <v>- 0,8 %</v>
      </c>
      <c r="E134" s="1" t="str">
        <f>IFERROR(__xludf.DUMMYFUNCTION("""COMPUTED_VALUE"""),"- 8,2 %")</f>
        <v>- 8,2 %</v>
      </c>
    </row>
    <row r="135">
      <c r="A135" s="2">
        <f>IFERROR(__xludf.DUMMYFUNCTION("""COMPUTED_VALUE"""),42125.0)</f>
        <v>42125</v>
      </c>
      <c r="B135" s="1" t="str">
        <f>IFERROR(__xludf.DUMMYFUNCTION("""COMPUTED_VALUE"""),"1.633 €/m2")</f>
        <v>1.633 €/m2</v>
      </c>
      <c r="C135" s="1" t="str">
        <f>IFERROR(__xludf.DUMMYFUNCTION("""COMPUTED_VALUE"""),"- 4,0 %")</f>
        <v>- 4,0 %</v>
      </c>
      <c r="D135" s="1" t="str">
        <f>IFERROR(__xludf.DUMMYFUNCTION("""COMPUTED_VALUE"""),"- 0,9 %")</f>
        <v>- 0,9 %</v>
      </c>
      <c r="E135" s="1" t="str">
        <f>IFERROR(__xludf.DUMMYFUNCTION("""COMPUTED_VALUE"""),"- 4,9 %")</f>
        <v>- 4,9 %</v>
      </c>
    </row>
    <row r="136">
      <c r="A136" s="2">
        <f>IFERROR(__xludf.DUMMYFUNCTION("""COMPUTED_VALUE"""),42095.0)</f>
        <v>42095</v>
      </c>
      <c r="B136" s="1" t="str">
        <f>IFERROR(__xludf.DUMMYFUNCTION("""COMPUTED_VALUE"""),"1.702 €/m2")</f>
        <v>1.702 €/m2</v>
      </c>
      <c r="C136" s="1" t="str">
        <f>IFERROR(__xludf.DUMMYFUNCTION("""COMPUTED_VALUE"""),"+ 3,1 %")</f>
        <v>+ 3,1 %</v>
      </c>
      <c r="D136" s="1" t="str">
        <f>IFERROR(__xludf.DUMMYFUNCTION("""COMPUTED_VALUE"""),"+ 4,7 %")</f>
        <v>+ 4,7 %</v>
      </c>
      <c r="E136" s="1" t="str">
        <f>IFERROR(__xludf.DUMMYFUNCTION("""COMPUTED_VALUE"""),"- 3,6 %")</f>
        <v>- 3,6 %</v>
      </c>
    </row>
    <row r="137">
      <c r="A137" s="2">
        <f>IFERROR(__xludf.DUMMYFUNCTION("""COMPUTED_VALUE"""),42064.0)</f>
        <v>42064</v>
      </c>
      <c r="B137" s="1" t="str">
        <f>IFERROR(__xludf.DUMMYFUNCTION("""COMPUTED_VALUE"""),"1.651 €/m2")</f>
        <v>1.651 €/m2</v>
      </c>
      <c r="C137" s="1" t="str">
        <f>IFERROR(__xludf.DUMMYFUNCTION("""COMPUTED_VALUE"""),"+ 0,2 %")</f>
        <v>+ 0,2 %</v>
      </c>
      <c r="D137" s="1" t="str">
        <f>IFERROR(__xludf.DUMMYFUNCTION("""COMPUTED_VALUE"""),"+ 0,9 %")</f>
        <v>+ 0,9 %</v>
      </c>
      <c r="E137" s="1" t="str">
        <f>IFERROR(__xludf.DUMMYFUNCTION("""COMPUTED_VALUE"""),"- 7,2 %")</f>
        <v>- 7,2 %</v>
      </c>
    </row>
    <row r="138">
      <c r="A138" s="2">
        <f>IFERROR(__xludf.DUMMYFUNCTION("""COMPUTED_VALUE"""),42036.0)</f>
        <v>42036</v>
      </c>
      <c r="B138" s="1" t="str">
        <f>IFERROR(__xludf.DUMMYFUNCTION("""COMPUTED_VALUE"""),"1.648 €/m2")</f>
        <v>1.648 €/m2</v>
      </c>
      <c r="C138" s="1" t="str">
        <f>IFERROR(__xludf.DUMMYFUNCTION("""COMPUTED_VALUE"""),"+ 1,4 %")</f>
        <v>+ 1,4 %</v>
      </c>
      <c r="D138" s="1" t="str">
        <f>IFERROR(__xludf.DUMMYFUNCTION("""COMPUTED_VALUE"""),"+ 0,5 %")</f>
        <v>+ 0,5 %</v>
      </c>
      <c r="E138" s="1" t="str">
        <f>IFERROR(__xludf.DUMMYFUNCTION("""COMPUTED_VALUE"""),"- 9,7 %")</f>
        <v>- 9,7 %</v>
      </c>
    </row>
    <row r="139">
      <c r="A139" s="2">
        <f>IFERROR(__xludf.DUMMYFUNCTION("""COMPUTED_VALUE"""),42005.0)</f>
        <v>42005</v>
      </c>
      <c r="B139" s="1" t="str">
        <f>IFERROR(__xludf.DUMMYFUNCTION("""COMPUTED_VALUE"""),"1.625 €/m2")</f>
        <v>1.625 €/m2</v>
      </c>
      <c r="C139" s="1" t="str">
        <f>IFERROR(__xludf.DUMMYFUNCTION("""COMPUTED_VALUE"""),"- 0,7 %")</f>
        <v>- 0,7 %</v>
      </c>
      <c r="D139" s="1" t="str">
        <f>IFERROR(__xludf.DUMMYFUNCTION("""COMPUTED_VALUE"""),"- 1,6 %")</f>
        <v>- 1,6 %</v>
      </c>
      <c r="E139" s="1" t="str">
        <f>IFERROR(__xludf.DUMMYFUNCTION("""COMPUTED_VALUE"""),"- 11,4 %")</f>
        <v>- 11,4 %</v>
      </c>
    </row>
    <row r="140">
      <c r="A140" s="2">
        <f>IFERROR(__xludf.DUMMYFUNCTION("""COMPUTED_VALUE"""),41974.0)</f>
        <v>41974</v>
      </c>
      <c r="B140" s="1" t="str">
        <f>IFERROR(__xludf.DUMMYFUNCTION("""COMPUTED_VALUE"""),"1.636 €/m2")</f>
        <v>1.636 €/m2</v>
      </c>
      <c r="C140" s="1" t="str">
        <f>IFERROR(__xludf.DUMMYFUNCTION("""COMPUTED_VALUE"""),"- 0,2 %")</f>
        <v>- 0,2 %</v>
      </c>
      <c r="D140" s="1" t="str">
        <f>IFERROR(__xludf.DUMMYFUNCTION("""COMPUTED_VALUE"""),"- 1,1 %")</f>
        <v>- 1,1 %</v>
      </c>
      <c r="E140" s="1" t="str">
        <f>IFERROR(__xludf.DUMMYFUNCTION("""COMPUTED_VALUE"""),"- 11,0 %")</f>
        <v>- 11,0 %</v>
      </c>
    </row>
    <row r="141">
      <c r="A141" s="2">
        <f>IFERROR(__xludf.DUMMYFUNCTION("""COMPUTED_VALUE"""),41944.0)</f>
        <v>41944</v>
      </c>
      <c r="B141" s="1" t="str">
        <f>IFERROR(__xludf.DUMMYFUNCTION("""COMPUTED_VALUE"""),"1.640 €/m2")</f>
        <v>1.640 €/m2</v>
      </c>
      <c r="C141" s="1" t="str">
        <f>IFERROR(__xludf.DUMMYFUNCTION("""COMPUTED_VALUE"""),"- 0,7 %")</f>
        <v>- 0,7 %</v>
      </c>
      <c r="D141" s="1" t="str">
        <f>IFERROR(__xludf.DUMMYFUNCTION("""COMPUTED_VALUE"""),"- 4,4 %")</f>
        <v>- 4,4 %</v>
      </c>
      <c r="E141" s="1" t="str">
        <f>IFERROR(__xludf.DUMMYFUNCTION("""COMPUTED_VALUE"""),"- 10,5 %")</f>
        <v>- 10,5 %</v>
      </c>
    </row>
    <row r="142">
      <c r="A142" s="2">
        <f>IFERROR(__xludf.DUMMYFUNCTION("""COMPUTED_VALUE"""),41913.0)</f>
        <v>41913</v>
      </c>
      <c r="B142" s="1" t="str">
        <f>IFERROR(__xludf.DUMMYFUNCTION("""COMPUTED_VALUE"""),"1.651 €/m2")</f>
        <v>1.651 €/m2</v>
      </c>
      <c r="C142" s="1" t="str">
        <f>IFERROR(__xludf.DUMMYFUNCTION("""COMPUTED_VALUE"""),"- 0,2 %")</f>
        <v>- 0,2 %</v>
      </c>
      <c r="D142" s="1" t="str">
        <f>IFERROR(__xludf.DUMMYFUNCTION("""COMPUTED_VALUE"""),"- 5,7 %")</f>
        <v>- 5,7 %</v>
      </c>
      <c r="E142" s="1" t="str">
        <f>IFERROR(__xludf.DUMMYFUNCTION("""COMPUTED_VALUE"""),"- 10,2 %")</f>
        <v>- 10,2 %</v>
      </c>
    </row>
    <row r="143">
      <c r="A143" s="2">
        <f>IFERROR(__xludf.DUMMYFUNCTION("""COMPUTED_VALUE"""),41883.0)</f>
        <v>41883</v>
      </c>
      <c r="B143" s="1" t="str">
        <f>IFERROR(__xludf.DUMMYFUNCTION("""COMPUTED_VALUE"""),"1.655 €/m2")</f>
        <v>1.655 €/m2</v>
      </c>
      <c r="C143" s="1" t="str">
        <f>IFERROR(__xludf.DUMMYFUNCTION("""COMPUTED_VALUE"""),"- 3,5 %")</f>
        <v>- 3,5 %</v>
      </c>
      <c r="D143" s="1" t="str">
        <f>IFERROR(__xludf.DUMMYFUNCTION("""COMPUTED_VALUE"""),"- 7,2 %")</f>
        <v>- 7,2 %</v>
      </c>
      <c r="E143" s="1" t="str">
        <f>IFERROR(__xludf.DUMMYFUNCTION("""COMPUTED_VALUE"""),"- 10,2 %")</f>
        <v>- 10,2 %</v>
      </c>
    </row>
    <row r="144">
      <c r="A144" s="2">
        <f>IFERROR(__xludf.DUMMYFUNCTION("""COMPUTED_VALUE"""),41852.0)</f>
        <v>41852</v>
      </c>
      <c r="B144" s="1" t="str">
        <f>IFERROR(__xludf.DUMMYFUNCTION("""COMPUTED_VALUE"""),"1.716 €/m2")</f>
        <v>1.716 €/m2</v>
      </c>
      <c r="C144" s="1" t="str">
        <f>IFERROR(__xludf.DUMMYFUNCTION("""COMPUTED_VALUE"""),"- 2,1 %")</f>
        <v>- 2,1 %</v>
      </c>
      <c r="D144" s="1" t="str">
        <f>IFERROR(__xludf.DUMMYFUNCTION("""COMPUTED_VALUE"""),"- 0,1 %")</f>
        <v>- 0,1 %</v>
      </c>
      <c r="E144" s="1" t="str">
        <f>IFERROR(__xludf.DUMMYFUNCTION("""COMPUTED_VALUE"""),"- 8,5 %")</f>
        <v>- 8,5 %</v>
      </c>
    </row>
    <row r="145">
      <c r="A145" s="2">
        <f>IFERROR(__xludf.DUMMYFUNCTION("""COMPUTED_VALUE"""),41821.0)</f>
        <v>41821</v>
      </c>
      <c r="B145" s="1" t="str">
        <f>IFERROR(__xludf.DUMMYFUNCTION("""COMPUTED_VALUE"""),"1.752 €/m2")</f>
        <v>1.752 €/m2</v>
      </c>
      <c r="C145" s="1" t="str">
        <f>IFERROR(__xludf.DUMMYFUNCTION("""COMPUTED_VALUE"""),"- 1,8 %")</f>
        <v>- 1,8 %</v>
      </c>
      <c r="D145" s="1" t="str">
        <f>IFERROR(__xludf.DUMMYFUNCTION("""COMPUTED_VALUE"""),"- 0,7 %")</f>
        <v>- 0,7 %</v>
      </c>
      <c r="E145" s="1" t="str">
        <f>IFERROR(__xludf.DUMMYFUNCTION("""COMPUTED_VALUE"""),"- 9,4 %")</f>
        <v>- 9,4 %</v>
      </c>
    </row>
    <row r="146">
      <c r="A146" s="2">
        <f>IFERROR(__xludf.DUMMYFUNCTION("""COMPUTED_VALUE"""),41791.0)</f>
        <v>41791</v>
      </c>
      <c r="B146" s="1" t="str">
        <f>IFERROR(__xludf.DUMMYFUNCTION("""COMPUTED_VALUE"""),"1.784 €/m2")</f>
        <v>1.784 €/m2</v>
      </c>
      <c r="C146" s="1" t="str">
        <f>IFERROR(__xludf.DUMMYFUNCTION("""COMPUTED_VALUE"""),"+ 3,9 %")</f>
        <v>+ 3,9 %</v>
      </c>
      <c r="D146" s="1" t="str">
        <f>IFERROR(__xludf.DUMMYFUNCTION("""COMPUTED_VALUE"""),"+ 0,3 %")</f>
        <v>+ 0,3 %</v>
      </c>
      <c r="E146" s="1" t="str">
        <f>IFERROR(__xludf.DUMMYFUNCTION("""COMPUTED_VALUE"""),"- 7,5 %")</f>
        <v>- 7,5 %</v>
      </c>
    </row>
    <row r="147">
      <c r="A147" s="2">
        <f>IFERROR(__xludf.DUMMYFUNCTION("""COMPUTED_VALUE"""),41760.0)</f>
        <v>41760</v>
      </c>
      <c r="B147" s="1" t="str">
        <f>IFERROR(__xludf.DUMMYFUNCTION("""COMPUTED_VALUE"""),"1.717 €/m2")</f>
        <v>1.717 €/m2</v>
      </c>
      <c r="C147" s="1" t="str">
        <f>IFERROR(__xludf.DUMMYFUNCTION("""COMPUTED_VALUE"""),"- 2,7 %")</f>
        <v>- 2,7 %</v>
      </c>
      <c r="D147" s="1" t="str">
        <f>IFERROR(__xludf.DUMMYFUNCTION("""COMPUTED_VALUE"""),"- 5,9 %")</f>
        <v>- 5,9 %</v>
      </c>
      <c r="E147" s="1" t="str">
        <f>IFERROR(__xludf.DUMMYFUNCTION("""COMPUTED_VALUE"""),"- 12,5 %")</f>
        <v>- 12,5 %</v>
      </c>
    </row>
    <row r="148">
      <c r="A148" s="2">
        <f>IFERROR(__xludf.DUMMYFUNCTION("""COMPUTED_VALUE"""),41730.0)</f>
        <v>41730</v>
      </c>
      <c r="B148" s="1" t="str">
        <f>IFERROR(__xludf.DUMMYFUNCTION("""COMPUTED_VALUE"""),"1.765 €/m2")</f>
        <v>1.765 €/m2</v>
      </c>
      <c r="C148" s="1" t="str">
        <f>IFERROR(__xludf.DUMMYFUNCTION("""COMPUTED_VALUE"""),"- 0,8 %")</f>
        <v>- 0,8 %</v>
      </c>
      <c r="D148" s="1" t="str">
        <f>IFERROR(__xludf.DUMMYFUNCTION("""COMPUTED_VALUE"""),"- 3,7 %")</f>
        <v>- 3,7 %</v>
      </c>
      <c r="E148" s="1" t="str">
        <f>IFERROR(__xludf.DUMMYFUNCTION("""COMPUTED_VALUE"""),"- 9,4 %")</f>
        <v>- 9,4 %</v>
      </c>
    </row>
    <row r="149">
      <c r="A149" s="2">
        <f>IFERROR(__xludf.DUMMYFUNCTION("""COMPUTED_VALUE"""),41699.0)</f>
        <v>41699</v>
      </c>
      <c r="B149" s="1" t="str">
        <f>IFERROR(__xludf.DUMMYFUNCTION("""COMPUTED_VALUE"""),"1.778 €/m2")</f>
        <v>1.778 €/m2</v>
      </c>
      <c r="C149" s="1" t="str">
        <f>IFERROR(__xludf.DUMMYFUNCTION("""COMPUTED_VALUE"""),"- 2,6 %")</f>
        <v>- 2,6 %</v>
      </c>
      <c r="D149" s="1" t="str">
        <f>IFERROR(__xludf.DUMMYFUNCTION("""COMPUTED_VALUE"""),"- 3,3 %")</f>
        <v>- 3,3 %</v>
      </c>
      <c r="E149" s="1" t="str">
        <f>IFERROR(__xludf.DUMMYFUNCTION("""COMPUTED_VALUE"""),"- 8,3 %")</f>
        <v>- 8,3 %</v>
      </c>
    </row>
    <row r="150">
      <c r="A150" s="2">
        <f>IFERROR(__xludf.DUMMYFUNCTION("""COMPUTED_VALUE"""),41671.0)</f>
        <v>41671</v>
      </c>
      <c r="B150" s="1" t="str">
        <f>IFERROR(__xludf.DUMMYFUNCTION("""COMPUTED_VALUE"""),"1.825 €/m2")</f>
        <v>1.825 €/m2</v>
      </c>
      <c r="C150" s="1" t="str">
        <f>IFERROR(__xludf.DUMMYFUNCTION("""COMPUTED_VALUE"""),"- 0,4 %")</f>
        <v>- 0,4 %</v>
      </c>
      <c r="D150" s="1" t="str">
        <f>IFERROR(__xludf.DUMMYFUNCTION("""COMPUTED_VALUE"""),"- 0,5 %")</f>
        <v>- 0,5 %</v>
      </c>
      <c r="E150" s="1" t="str">
        <f>IFERROR(__xludf.DUMMYFUNCTION("""COMPUTED_VALUE"""),"- 4,7 %")</f>
        <v>- 4,7 %</v>
      </c>
    </row>
    <row r="151">
      <c r="A151" s="2">
        <f>IFERROR(__xludf.DUMMYFUNCTION("""COMPUTED_VALUE"""),41640.0)</f>
        <v>41640</v>
      </c>
      <c r="B151" s="1" t="str">
        <f>IFERROR(__xludf.DUMMYFUNCTION("""COMPUTED_VALUE"""),"1.833 €/m2")</f>
        <v>1.833 €/m2</v>
      </c>
      <c r="C151" s="1" t="str">
        <f>IFERROR(__xludf.DUMMYFUNCTION("""COMPUTED_VALUE"""),"- 0,3 %")</f>
        <v>- 0,3 %</v>
      </c>
      <c r="D151" s="1" t="str">
        <f>IFERROR(__xludf.DUMMYFUNCTION("""COMPUTED_VALUE"""),"- 0,3 %")</f>
        <v>- 0,3 %</v>
      </c>
      <c r="E151" s="1" t="str">
        <f>IFERROR(__xludf.DUMMYFUNCTION("""COMPUTED_VALUE"""),"- 5,4 %")</f>
        <v>- 5,4 %</v>
      </c>
    </row>
    <row r="152">
      <c r="A152" s="2">
        <f>IFERROR(__xludf.DUMMYFUNCTION("""COMPUTED_VALUE"""),41609.0)</f>
        <v>41609</v>
      </c>
      <c r="B152" s="1" t="str">
        <f>IFERROR(__xludf.DUMMYFUNCTION("""COMPUTED_VALUE"""),"1.839 €/m2")</f>
        <v>1.839 €/m2</v>
      </c>
      <c r="C152" s="1" t="str">
        <f>IFERROR(__xludf.DUMMYFUNCTION("""COMPUTED_VALUE"""),"+ 0,3 %")</f>
        <v>+ 0,3 %</v>
      </c>
      <c r="D152" s="1" t="str">
        <f>IFERROR(__xludf.DUMMYFUNCTION("""COMPUTED_VALUE"""),"- 0,3 %")</f>
        <v>- 0,3 %</v>
      </c>
      <c r="E152" s="1" t="str">
        <f>IFERROR(__xludf.DUMMYFUNCTION("""COMPUTED_VALUE"""),"- 4,0 %")</f>
        <v>- 4,0 %</v>
      </c>
    </row>
    <row r="153">
      <c r="A153" s="2">
        <f>IFERROR(__xludf.DUMMYFUNCTION("""COMPUTED_VALUE"""),41579.0)</f>
        <v>41579</v>
      </c>
      <c r="B153" s="1" t="str">
        <f>IFERROR(__xludf.DUMMYFUNCTION("""COMPUTED_VALUE"""),"1.834 €/m2")</f>
        <v>1.834 €/m2</v>
      </c>
      <c r="C153" s="1" t="str">
        <f>IFERROR(__xludf.DUMMYFUNCTION("""COMPUTED_VALUE"""),"- 0,2 %")</f>
        <v>- 0,2 %</v>
      </c>
      <c r="D153" s="1" t="str">
        <f>IFERROR(__xludf.DUMMYFUNCTION("""COMPUTED_VALUE"""),"- 2,3 %")</f>
        <v>- 2,3 %</v>
      </c>
      <c r="E153" s="1" t="str">
        <f>IFERROR(__xludf.DUMMYFUNCTION("""COMPUTED_VALUE"""),"- 5,7 %")</f>
        <v>- 5,7 %</v>
      </c>
    </row>
    <row r="154">
      <c r="A154" s="2">
        <f>IFERROR(__xludf.DUMMYFUNCTION("""COMPUTED_VALUE"""),41548.0)</f>
        <v>41548</v>
      </c>
      <c r="B154" s="1" t="str">
        <f>IFERROR(__xludf.DUMMYFUNCTION("""COMPUTED_VALUE"""),"1.838 €/m2")</f>
        <v>1.838 €/m2</v>
      </c>
      <c r="C154" s="1" t="str">
        <f>IFERROR(__xludf.DUMMYFUNCTION("""COMPUTED_VALUE"""),"- 0,3 %")</f>
        <v>- 0,3 %</v>
      </c>
      <c r="D154" s="1" t="str">
        <f>IFERROR(__xludf.DUMMYFUNCTION("""COMPUTED_VALUE"""),"- 5,0 %")</f>
        <v>- 5,0 %</v>
      </c>
      <c r="E154" s="1" t="str">
        <f>IFERROR(__xludf.DUMMYFUNCTION("""COMPUTED_VALUE"""),"- 7,8 %")</f>
        <v>- 7,8 %</v>
      </c>
    </row>
    <row r="155">
      <c r="A155" s="2">
        <f>IFERROR(__xludf.DUMMYFUNCTION("""COMPUTED_VALUE"""),41518.0)</f>
        <v>41518</v>
      </c>
      <c r="B155" s="1" t="str">
        <f>IFERROR(__xludf.DUMMYFUNCTION("""COMPUTED_VALUE"""),"1.844 €/m2")</f>
        <v>1.844 €/m2</v>
      </c>
      <c r="C155" s="1" t="str">
        <f>IFERROR(__xludf.DUMMYFUNCTION("""COMPUTED_VALUE"""),"- 1,7 %")</f>
        <v>- 1,7 %</v>
      </c>
      <c r="D155" s="1" t="str">
        <f>IFERROR(__xludf.DUMMYFUNCTION("""COMPUTED_VALUE"""),"- 4,4 %")</f>
        <v>- 4,4 %</v>
      </c>
      <c r="E155" s="1" t="str">
        <f>IFERROR(__xludf.DUMMYFUNCTION("""COMPUTED_VALUE"""),"- 11,7 %")</f>
        <v>- 11,7 %</v>
      </c>
    </row>
    <row r="156">
      <c r="A156" s="2">
        <f>IFERROR(__xludf.DUMMYFUNCTION("""COMPUTED_VALUE"""),41487.0)</f>
        <v>41487</v>
      </c>
      <c r="B156" s="1" t="str">
        <f>IFERROR(__xludf.DUMMYFUNCTION("""COMPUTED_VALUE"""),"1.876 €/m2")</f>
        <v>1.876 €/m2</v>
      </c>
      <c r="C156" s="1" t="str">
        <f>IFERROR(__xludf.DUMMYFUNCTION("""COMPUTED_VALUE"""),"- 3,0 %")</f>
        <v>- 3,0 %</v>
      </c>
      <c r="D156" s="1" t="str">
        <f>IFERROR(__xludf.DUMMYFUNCTION("""COMPUTED_VALUE"""),"- 4,4 %")</f>
        <v>- 4,4 %</v>
      </c>
      <c r="E156" s="1" t="str">
        <f>IFERROR(__xludf.DUMMYFUNCTION("""COMPUTED_VALUE"""),"- 11,4 %")</f>
        <v>- 11,4 %</v>
      </c>
    </row>
    <row r="157">
      <c r="A157" s="2">
        <f>IFERROR(__xludf.DUMMYFUNCTION("""COMPUTED_VALUE"""),41456.0)</f>
        <v>41456</v>
      </c>
      <c r="B157" s="1" t="str">
        <f>IFERROR(__xludf.DUMMYFUNCTION("""COMPUTED_VALUE"""),"1.935 €/m2")</f>
        <v>1.935 €/m2</v>
      </c>
      <c r="C157" s="1" t="str">
        <f>IFERROR(__xludf.DUMMYFUNCTION("""COMPUTED_VALUE"""),"+ 0,3 %")</f>
        <v>+ 0,3 %</v>
      </c>
      <c r="D157" s="1" t="str">
        <f>IFERROR(__xludf.DUMMYFUNCTION("""COMPUTED_VALUE"""),"- 0,7 %")</f>
        <v>- 0,7 %</v>
      </c>
      <c r="E157" s="1" t="str">
        <f>IFERROR(__xludf.DUMMYFUNCTION("""COMPUTED_VALUE"""),"- 10,5 %")</f>
        <v>- 10,5 %</v>
      </c>
    </row>
    <row r="158">
      <c r="A158" s="2">
        <f>IFERROR(__xludf.DUMMYFUNCTION("""COMPUTED_VALUE"""),41426.0)</f>
        <v>41426</v>
      </c>
      <c r="B158" s="1" t="str">
        <f>IFERROR(__xludf.DUMMYFUNCTION("""COMPUTED_VALUE"""),"1.928 €/m2")</f>
        <v>1.928 €/m2</v>
      </c>
      <c r="C158" s="1" t="str">
        <f>IFERROR(__xludf.DUMMYFUNCTION("""COMPUTED_VALUE"""),"- 1,7 %")</f>
        <v>- 1,7 %</v>
      </c>
      <c r="D158" s="1" t="str">
        <f>IFERROR(__xludf.DUMMYFUNCTION("""COMPUTED_VALUE"""),"- 0,6 %")</f>
        <v>- 0,6 %</v>
      </c>
      <c r="E158" s="1" t="str">
        <f>IFERROR(__xludf.DUMMYFUNCTION("""COMPUTED_VALUE"""),"- 12,2 %")</f>
        <v>- 12,2 %</v>
      </c>
    </row>
    <row r="159">
      <c r="A159" s="2">
        <f>IFERROR(__xludf.DUMMYFUNCTION("""COMPUTED_VALUE"""),41395.0)</f>
        <v>41395</v>
      </c>
      <c r="B159" s="1" t="str">
        <f>IFERROR(__xludf.DUMMYFUNCTION("""COMPUTED_VALUE"""),"1.962 €/m2")</f>
        <v>1.962 €/m2</v>
      </c>
      <c r="C159" s="1" t="str">
        <f>IFERROR(__xludf.DUMMYFUNCTION("""COMPUTED_VALUE"""),"+ 0,7 %")</f>
        <v>+ 0,7 %</v>
      </c>
      <c r="D159" s="1" t="str">
        <f>IFERROR(__xludf.DUMMYFUNCTION("""COMPUTED_VALUE"""),"+ 2,4 %")</f>
        <v>+ 2,4 %</v>
      </c>
      <c r="E159" s="1" t="str">
        <f>IFERROR(__xludf.DUMMYFUNCTION("""COMPUTED_VALUE"""),"- 14,1 %")</f>
        <v>- 14,1 %</v>
      </c>
    </row>
    <row r="160">
      <c r="A160" s="2">
        <f>IFERROR(__xludf.DUMMYFUNCTION("""COMPUTED_VALUE"""),41365.0)</f>
        <v>41365</v>
      </c>
      <c r="B160" s="1" t="str">
        <f>IFERROR(__xludf.DUMMYFUNCTION("""COMPUTED_VALUE"""),"1.949 €/m2")</f>
        <v>1.949 €/m2</v>
      </c>
      <c r="C160" s="1" t="str">
        <f>IFERROR(__xludf.DUMMYFUNCTION("""COMPUTED_VALUE"""),"+ 0,5 %")</f>
        <v>+ 0,5 %</v>
      </c>
      <c r="D160" s="1" t="str">
        <f>IFERROR(__xludf.DUMMYFUNCTION("""COMPUTED_VALUE"""),"+ 0,5 %")</f>
        <v>+ 0,5 %</v>
      </c>
      <c r="E160" s="1" t="str">
        <f>IFERROR(__xludf.DUMMYFUNCTION("""COMPUTED_VALUE"""),"- 15,8 %")</f>
        <v>- 15,8 %</v>
      </c>
    </row>
    <row r="161">
      <c r="A161" s="2">
        <f>IFERROR(__xludf.DUMMYFUNCTION("""COMPUTED_VALUE"""),41334.0)</f>
        <v>41334</v>
      </c>
      <c r="B161" s="1" t="str">
        <f>IFERROR(__xludf.DUMMYFUNCTION("""COMPUTED_VALUE"""),"1.939 €/m2")</f>
        <v>1.939 €/m2</v>
      </c>
      <c r="C161" s="1" t="str">
        <f>IFERROR(__xludf.DUMMYFUNCTION("""COMPUTED_VALUE"""),"+ 1,3 %")</f>
        <v>+ 1,3 %</v>
      </c>
      <c r="D161" s="1" t="str">
        <f>IFERROR(__xludf.DUMMYFUNCTION("""COMPUTED_VALUE"""),"+ 1,3 %")</f>
        <v>+ 1,3 %</v>
      </c>
      <c r="E161" s="1" t="str">
        <f>IFERROR(__xludf.DUMMYFUNCTION("""COMPUTED_VALUE"""),"- 17,5 %")</f>
        <v>- 17,5 %</v>
      </c>
    </row>
    <row r="162">
      <c r="A162" s="2">
        <f>IFERROR(__xludf.DUMMYFUNCTION("""COMPUTED_VALUE"""),41306.0)</f>
        <v>41306</v>
      </c>
      <c r="B162" s="1" t="str">
        <f>IFERROR(__xludf.DUMMYFUNCTION("""COMPUTED_VALUE"""),"1.915 €/m2")</f>
        <v>1.915 €/m2</v>
      </c>
      <c r="C162" s="1" t="str">
        <f>IFERROR(__xludf.DUMMYFUNCTION("""COMPUTED_VALUE"""),"- 1,2 %")</f>
        <v>- 1,2 %</v>
      </c>
      <c r="D162" s="1" t="str">
        <f>IFERROR(__xludf.DUMMYFUNCTION("""COMPUTED_VALUE"""),"- 1,5 %")</f>
        <v>- 1,5 %</v>
      </c>
      <c r="E162" s="1" t="str">
        <f>IFERROR(__xludf.DUMMYFUNCTION("""COMPUTED_VALUE"""),"- 18,3 %")</f>
        <v>- 18,3 %</v>
      </c>
    </row>
    <row r="163">
      <c r="A163" s="2">
        <f>IFERROR(__xludf.DUMMYFUNCTION("""COMPUTED_VALUE"""),41275.0)</f>
        <v>41275</v>
      </c>
      <c r="B163" s="1" t="str">
        <f>IFERROR(__xludf.DUMMYFUNCTION("""COMPUTED_VALUE"""),"1.938 €/m2")</f>
        <v>1.938 €/m2</v>
      </c>
      <c r="C163" s="1" t="str">
        <f>IFERROR(__xludf.DUMMYFUNCTION("""COMPUTED_VALUE"""),"+ 1,2 %")</f>
        <v>+ 1,2 %</v>
      </c>
      <c r="D163" s="1" t="str">
        <f>IFERROR(__xludf.DUMMYFUNCTION("""COMPUTED_VALUE"""),"- 2,7 %")</f>
        <v>- 2,7 %</v>
      </c>
      <c r="E163" s="1" t="str">
        <f>IFERROR(__xludf.DUMMYFUNCTION("""COMPUTED_VALUE"""),"- 17,5 %")</f>
        <v>- 17,5 %</v>
      </c>
    </row>
    <row r="164">
      <c r="A164" s="2">
        <f>IFERROR(__xludf.DUMMYFUNCTION("""COMPUTED_VALUE"""),41244.0)</f>
        <v>41244</v>
      </c>
      <c r="B164" s="1" t="str">
        <f>IFERROR(__xludf.DUMMYFUNCTION("""COMPUTED_VALUE"""),"1.915 €/m2")</f>
        <v>1.915 €/m2</v>
      </c>
      <c r="C164" s="1" t="str">
        <f>IFERROR(__xludf.DUMMYFUNCTION("""COMPUTED_VALUE"""),"- 1,5 %")</f>
        <v>- 1,5 %</v>
      </c>
      <c r="D164" s="1" t="str">
        <f>IFERROR(__xludf.DUMMYFUNCTION("""COMPUTED_VALUE"""),"- 8,3 %")</f>
        <v>- 8,3 %</v>
      </c>
      <c r="E164" s="1" t="str">
        <f>IFERROR(__xludf.DUMMYFUNCTION("""COMPUTED_VALUE"""),"- 18,4 %")</f>
        <v>- 18,4 %</v>
      </c>
    </row>
    <row r="165">
      <c r="A165" s="2">
        <f>IFERROR(__xludf.DUMMYFUNCTION("""COMPUTED_VALUE"""),41214.0)</f>
        <v>41214</v>
      </c>
      <c r="B165" s="1" t="str">
        <f>IFERROR(__xludf.DUMMYFUNCTION("""COMPUTED_VALUE"""),"1.944 €/m2")</f>
        <v>1.944 €/m2</v>
      </c>
      <c r="C165" s="1" t="str">
        <f>IFERROR(__xludf.DUMMYFUNCTION("""COMPUTED_VALUE"""),"- 2,5 %")</f>
        <v>- 2,5 %</v>
      </c>
      <c r="D165" s="1" t="str">
        <f>IFERROR(__xludf.DUMMYFUNCTION("""COMPUTED_VALUE"""),"- 8,2 %")</f>
        <v>- 8,2 %</v>
      </c>
      <c r="E165" s="1" t="str">
        <f>IFERROR(__xludf.DUMMYFUNCTION("""COMPUTED_VALUE"""),"- 18,3 %")</f>
        <v>- 18,3 %</v>
      </c>
    </row>
    <row r="166">
      <c r="A166" s="2">
        <f>IFERROR(__xludf.DUMMYFUNCTION("""COMPUTED_VALUE"""),41183.0)</f>
        <v>41183</v>
      </c>
      <c r="B166" s="1" t="str">
        <f>IFERROR(__xludf.DUMMYFUNCTION("""COMPUTED_VALUE"""),"1.993 €/m2")</f>
        <v>1.993 €/m2</v>
      </c>
      <c r="C166" s="1" t="str">
        <f>IFERROR(__xludf.DUMMYFUNCTION("""COMPUTED_VALUE"""),"- 4,6 %")</f>
        <v>- 4,6 %</v>
      </c>
      <c r="D166" s="1" t="str">
        <f>IFERROR(__xludf.DUMMYFUNCTION("""COMPUTED_VALUE"""),"- 7,8 %")</f>
        <v>- 7,8 %</v>
      </c>
      <c r="E166" s="1" t="str">
        <f>IFERROR(__xludf.DUMMYFUNCTION("""COMPUTED_VALUE"""),"- 17,5 %")</f>
        <v>- 17,5 %</v>
      </c>
    </row>
    <row r="167">
      <c r="A167" s="2">
        <f>IFERROR(__xludf.DUMMYFUNCTION("""COMPUTED_VALUE"""),41153.0)</f>
        <v>41153</v>
      </c>
      <c r="B167" s="1" t="str">
        <f>IFERROR(__xludf.DUMMYFUNCTION("""COMPUTED_VALUE"""),"2.088 €/m2")</f>
        <v>2.088 €/m2</v>
      </c>
      <c r="C167" s="1" t="str">
        <f>IFERROR(__xludf.DUMMYFUNCTION("""COMPUTED_VALUE"""),"- 1,4 %")</f>
        <v>- 1,4 %</v>
      </c>
      <c r="D167" s="1" t="str">
        <f>IFERROR(__xludf.DUMMYFUNCTION("""COMPUTED_VALUE"""),"- 4,9 %")</f>
        <v>- 4,9 %</v>
      </c>
      <c r="E167" s="1" t="str">
        <f>IFERROR(__xludf.DUMMYFUNCTION("""COMPUTED_VALUE"""),"- 13,5 %")</f>
        <v>- 13,5 %</v>
      </c>
    </row>
    <row r="168">
      <c r="A168" s="2">
        <f>IFERROR(__xludf.DUMMYFUNCTION("""COMPUTED_VALUE"""),41122.0)</f>
        <v>41122</v>
      </c>
      <c r="B168" s="1" t="str">
        <f>IFERROR(__xludf.DUMMYFUNCTION("""COMPUTED_VALUE"""),"2.117 €/m2")</f>
        <v>2.117 €/m2</v>
      </c>
      <c r="C168" s="1" t="str">
        <f>IFERROR(__xludf.DUMMYFUNCTION("""COMPUTED_VALUE"""),"- 2,1 %")</f>
        <v>- 2,1 %</v>
      </c>
      <c r="D168" s="1" t="str">
        <f>IFERROR(__xludf.DUMMYFUNCTION("""COMPUTED_VALUE"""),"- 7,4 %")</f>
        <v>- 7,4 %</v>
      </c>
      <c r="E168" s="1" t="str">
        <f>IFERROR(__xludf.DUMMYFUNCTION("""COMPUTED_VALUE"""),"- 12,5 %")</f>
        <v>- 12,5 %</v>
      </c>
    </row>
    <row r="169">
      <c r="A169" s="2">
        <f>IFERROR(__xludf.DUMMYFUNCTION("""COMPUTED_VALUE"""),41091.0)</f>
        <v>41091</v>
      </c>
      <c r="B169" s="1" t="str">
        <f>IFERROR(__xludf.DUMMYFUNCTION("""COMPUTED_VALUE"""),"2.162 €/m2")</f>
        <v>2.162 €/m2</v>
      </c>
      <c r="C169" s="1" t="str">
        <f>IFERROR(__xludf.DUMMYFUNCTION("""COMPUTED_VALUE"""),"- 1,5 %")</f>
        <v>- 1,5 %</v>
      </c>
      <c r="D169" s="1" t="str">
        <f>IFERROR(__xludf.DUMMYFUNCTION("""COMPUTED_VALUE"""),"- 6,5 %")</f>
        <v>- 6,5 %</v>
      </c>
      <c r="E169" s="1" t="str">
        <f>IFERROR(__xludf.DUMMYFUNCTION("""COMPUTED_VALUE"""),"- 10,7 %")</f>
        <v>- 10,7 %</v>
      </c>
    </row>
    <row r="170">
      <c r="A170" s="2">
        <f>IFERROR(__xludf.DUMMYFUNCTION("""COMPUTED_VALUE"""),41061.0)</f>
        <v>41061</v>
      </c>
      <c r="B170" s="1" t="str">
        <f>IFERROR(__xludf.DUMMYFUNCTION("""COMPUTED_VALUE"""),"2.195 €/m2")</f>
        <v>2.195 €/m2</v>
      </c>
      <c r="C170" s="1" t="str">
        <f>IFERROR(__xludf.DUMMYFUNCTION("""COMPUTED_VALUE"""),"- 3,9 %")</f>
        <v>- 3,9 %</v>
      </c>
      <c r="D170" s="1" t="str">
        <f>IFERROR(__xludf.DUMMYFUNCTION("""COMPUTED_VALUE"""),"- 6,6 %")</f>
        <v>- 6,6 %</v>
      </c>
      <c r="E170" s="1" t="str">
        <f>IFERROR(__xludf.DUMMYFUNCTION("""COMPUTED_VALUE"""),"- 9,9 %")</f>
        <v>- 9,9 %</v>
      </c>
    </row>
    <row r="171">
      <c r="A171" s="2">
        <f>IFERROR(__xludf.DUMMYFUNCTION("""COMPUTED_VALUE"""),41030.0)</f>
        <v>41030</v>
      </c>
      <c r="B171" s="1" t="str">
        <f>IFERROR(__xludf.DUMMYFUNCTION("""COMPUTED_VALUE"""),"2.285 €/m2")</f>
        <v>2.285 €/m2</v>
      </c>
      <c r="C171" s="1" t="str">
        <f>IFERROR(__xludf.DUMMYFUNCTION("""COMPUTED_VALUE"""),"- 1,2 %")</f>
        <v>- 1,2 %</v>
      </c>
      <c r="D171" s="1" t="str">
        <f>IFERROR(__xludf.DUMMYFUNCTION("""COMPUTED_VALUE"""),"- 2,5 %")</f>
        <v>- 2,5 %</v>
      </c>
      <c r="E171" s="1" t="str">
        <f>IFERROR(__xludf.DUMMYFUNCTION("""COMPUTED_VALUE"""),"- 7,6 %")</f>
        <v>- 7,6 %</v>
      </c>
    </row>
    <row r="172">
      <c r="A172" s="2">
        <f>IFERROR(__xludf.DUMMYFUNCTION("""COMPUTED_VALUE"""),41000.0)</f>
        <v>41000</v>
      </c>
      <c r="B172" s="1" t="str">
        <f>IFERROR(__xludf.DUMMYFUNCTION("""COMPUTED_VALUE"""),"2.313 €/m2")</f>
        <v>2.313 €/m2</v>
      </c>
      <c r="C172" s="1" t="str">
        <f>IFERROR(__xludf.DUMMYFUNCTION("""COMPUTED_VALUE"""),"- 1,6 %")</f>
        <v>- 1,6 %</v>
      </c>
      <c r="D172" s="1" t="str">
        <f>IFERROR(__xludf.DUMMYFUNCTION("""COMPUTED_VALUE"""),"- 1,5 %")</f>
        <v>- 1,5 %</v>
      </c>
      <c r="E172" s="1" t="str">
        <f>IFERROR(__xludf.DUMMYFUNCTION("""COMPUTED_VALUE"""),"- 6,9 %")</f>
        <v>- 6,9 %</v>
      </c>
    </row>
    <row r="173">
      <c r="A173" s="2">
        <f>IFERROR(__xludf.DUMMYFUNCTION("""COMPUTED_VALUE"""),40969.0)</f>
        <v>40969</v>
      </c>
      <c r="B173" s="1" t="str">
        <f>IFERROR(__xludf.DUMMYFUNCTION("""COMPUTED_VALUE"""),"2.351 €/m2")</f>
        <v>2.351 €/m2</v>
      </c>
      <c r="C173" s="1" t="str">
        <f>IFERROR(__xludf.DUMMYFUNCTION("""COMPUTED_VALUE"""),"+ 0,3 %")</f>
        <v>+ 0,3 %</v>
      </c>
      <c r="D173" s="1" t="str">
        <f>IFERROR(__xludf.DUMMYFUNCTION("""COMPUTED_VALUE"""),"+ 0,2 %")</f>
        <v>+ 0,2 %</v>
      </c>
      <c r="E173" s="1" t="str">
        <f>IFERROR(__xludf.DUMMYFUNCTION("""COMPUTED_VALUE"""),"- 7,6 %")</f>
        <v>- 7,6 %</v>
      </c>
    </row>
    <row r="174">
      <c r="A174" s="2">
        <f>IFERROR(__xludf.DUMMYFUNCTION("""COMPUTED_VALUE"""),40940.0)</f>
        <v>40940</v>
      </c>
      <c r="B174" s="1" t="str">
        <f>IFERROR(__xludf.DUMMYFUNCTION("""COMPUTED_VALUE"""),"2.345 €/m2")</f>
        <v>2.345 €/m2</v>
      </c>
      <c r="C174" s="1" t="str">
        <f>IFERROR(__xludf.DUMMYFUNCTION("""COMPUTED_VALUE"""),"- 0,2 %")</f>
        <v>- 0,2 %</v>
      </c>
      <c r="D174" s="1" t="str">
        <f>IFERROR(__xludf.DUMMYFUNCTION("""COMPUTED_VALUE"""),"- 1,5 %")</f>
        <v>- 1,5 %</v>
      </c>
      <c r="E174" s="1" t="str">
        <f>IFERROR(__xludf.DUMMYFUNCTION("""COMPUTED_VALUE"""),"- 7,9 %")</f>
        <v>- 7,9 %</v>
      </c>
    </row>
    <row r="175">
      <c r="A175" s="2">
        <f>IFERROR(__xludf.DUMMYFUNCTION("""COMPUTED_VALUE"""),40909.0)</f>
        <v>40909</v>
      </c>
      <c r="B175" s="1" t="str">
        <f>IFERROR(__xludf.DUMMYFUNCTION("""COMPUTED_VALUE"""),"2.349 €/m2")</f>
        <v>2.349 €/m2</v>
      </c>
      <c r="C175" s="1" t="str">
        <f>IFERROR(__xludf.DUMMYFUNCTION("""COMPUTED_VALUE"""),"+ 0,1 %")</f>
        <v>+ 0,1 %</v>
      </c>
      <c r="D175" s="1" t="str">
        <f>IFERROR(__xludf.DUMMYFUNCTION("""COMPUTED_VALUE"""),"- 2,8 %")</f>
        <v>- 2,8 %</v>
      </c>
      <c r="E175" s="1" t="str">
        <f>IFERROR(__xludf.DUMMYFUNCTION("""COMPUTED_VALUE"""),"- 8,0 %")</f>
        <v>- 8,0 %</v>
      </c>
    </row>
    <row r="176">
      <c r="A176" s="2">
        <f>IFERROR(__xludf.DUMMYFUNCTION("""COMPUTED_VALUE"""),40878.0)</f>
        <v>40878</v>
      </c>
      <c r="B176" s="1" t="str">
        <f>IFERROR(__xludf.DUMMYFUNCTION("""COMPUTED_VALUE"""),"2.346 €/m2")</f>
        <v>2.346 €/m2</v>
      </c>
      <c r="C176" s="1" t="str">
        <f>IFERROR(__xludf.DUMMYFUNCTION("""COMPUTED_VALUE"""),"- 1,4 %")</f>
        <v>- 1,4 %</v>
      </c>
      <c r="D176" s="1" t="str">
        <f>IFERROR(__xludf.DUMMYFUNCTION("""COMPUTED_VALUE"""),"- 2,9 %")</f>
        <v>- 2,9 %</v>
      </c>
      <c r="E176" s="1" t="str">
        <f>IFERROR(__xludf.DUMMYFUNCTION("""COMPUTED_VALUE"""),"- 9,7 %")</f>
        <v>- 9,7 %</v>
      </c>
    </row>
    <row r="177">
      <c r="A177" s="2">
        <f>IFERROR(__xludf.DUMMYFUNCTION("""COMPUTED_VALUE"""),40848.0)</f>
        <v>40848</v>
      </c>
      <c r="B177" s="1" t="str">
        <f>IFERROR(__xludf.DUMMYFUNCTION("""COMPUTED_VALUE"""),"2.380 €/m2")</f>
        <v>2.380 €/m2</v>
      </c>
      <c r="C177" s="1" t="str">
        <f>IFERROR(__xludf.DUMMYFUNCTION("""COMPUTED_VALUE"""),"- 1,5 %")</f>
        <v>- 1,5 %</v>
      </c>
      <c r="D177" s="1" t="str">
        <f>IFERROR(__xludf.DUMMYFUNCTION("""COMPUTED_VALUE"""),"- 1,6 %")</f>
        <v>- 1,6 %</v>
      </c>
      <c r="E177" s="1" t="str">
        <f>IFERROR(__xludf.DUMMYFUNCTION("""COMPUTED_VALUE"""),"- 10,8 %")</f>
        <v>- 10,8 %</v>
      </c>
    </row>
    <row r="178">
      <c r="A178" s="2">
        <f>IFERROR(__xludf.DUMMYFUNCTION("""COMPUTED_VALUE"""),40817.0)</f>
        <v>40817</v>
      </c>
      <c r="B178" s="1" t="str">
        <f>IFERROR(__xludf.DUMMYFUNCTION("""COMPUTED_VALUE"""),"2.416 €/m2")</f>
        <v>2.416 €/m2</v>
      </c>
      <c r="C178" s="1" t="str">
        <f>IFERROR(__xludf.DUMMYFUNCTION("""COMPUTED_VALUE"""),"+ 0,1 %")</f>
        <v>+ 0,1 %</v>
      </c>
      <c r="D178" s="1" t="str">
        <f>IFERROR(__xludf.DUMMYFUNCTION("""COMPUTED_VALUE"""),"- 0,2 %")</f>
        <v>- 0,2 %</v>
      </c>
      <c r="E178" s="1" t="str">
        <f>IFERROR(__xludf.DUMMYFUNCTION("""COMPUTED_VALUE"""),"- 7,7 %")</f>
        <v>- 7,7 %</v>
      </c>
    </row>
    <row r="179">
      <c r="A179" s="2">
        <f>IFERROR(__xludf.DUMMYFUNCTION("""COMPUTED_VALUE"""),40787.0)</f>
        <v>40787</v>
      </c>
      <c r="B179" s="1" t="str">
        <f>IFERROR(__xludf.DUMMYFUNCTION("""COMPUTED_VALUE"""),"2.415 €/m2")</f>
        <v>2.415 €/m2</v>
      </c>
      <c r="C179" s="1" t="str">
        <f>IFERROR(__xludf.DUMMYFUNCTION("""COMPUTED_VALUE"""),"- 0,2 %")</f>
        <v>- 0,2 %</v>
      </c>
      <c r="D179" s="1" t="str">
        <f>IFERROR(__xludf.DUMMYFUNCTION("""COMPUTED_VALUE"""),"- 0,9 %")</f>
        <v>- 0,9 %</v>
      </c>
      <c r="E179" s="1" t="str">
        <f>IFERROR(__xludf.DUMMYFUNCTION("""COMPUTED_VALUE"""),"- 7,7 %")</f>
        <v>- 7,7 %</v>
      </c>
    </row>
    <row r="180">
      <c r="A180" s="2">
        <f>IFERROR(__xludf.DUMMYFUNCTION("""COMPUTED_VALUE"""),40756.0)</f>
        <v>40756</v>
      </c>
      <c r="B180" s="1" t="str">
        <f>IFERROR(__xludf.DUMMYFUNCTION("""COMPUTED_VALUE"""),"2.420 €/m2")</f>
        <v>2.420 €/m2</v>
      </c>
      <c r="C180" s="1" t="str">
        <f>IFERROR(__xludf.DUMMYFUNCTION("""COMPUTED_VALUE"""),"- 0,1 %")</f>
        <v>- 0,1 %</v>
      </c>
      <c r="D180" s="1" t="str">
        <f>IFERROR(__xludf.DUMMYFUNCTION("""COMPUTED_VALUE"""),"- 2,2 %")</f>
        <v>- 2,2 %</v>
      </c>
      <c r="E180" s="1" t="str">
        <f>IFERROR(__xludf.DUMMYFUNCTION("""COMPUTED_VALUE"""),"- 3,6 %")</f>
        <v>- 3,6 %</v>
      </c>
    </row>
    <row r="181">
      <c r="A181" s="2">
        <f>IFERROR(__xludf.DUMMYFUNCTION("""COMPUTED_VALUE"""),40725.0)</f>
        <v>40725</v>
      </c>
      <c r="B181" s="1" t="str">
        <f>IFERROR(__xludf.DUMMYFUNCTION("""COMPUTED_VALUE"""),"2.421 €/m2")</f>
        <v>2.421 €/m2</v>
      </c>
      <c r="C181" s="1" t="str">
        <f>IFERROR(__xludf.DUMMYFUNCTION("""COMPUTED_VALUE"""),"- 0,6 %")</f>
        <v>- 0,6 %</v>
      </c>
      <c r="D181" s="1" t="str">
        <f>IFERROR(__xludf.DUMMYFUNCTION("""COMPUTED_VALUE"""),"- 2,6 %")</f>
        <v>- 2,6 %</v>
      </c>
      <c r="E181" s="1" t="str">
        <f>IFERROR(__xludf.DUMMYFUNCTION("""COMPUTED_VALUE"""),"- 7,0 %")</f>
        <v>- 7,0 %</v>
      </c>
    </row>
    <row r="182">
      <c r="A182" s="2">
        <f>IFERROR(__xludf.DUMMYFUNCTION("""COMPUTED_VALUE"""),40695.0)</f>
        <v>40695</v>
      </c>
      <c r="B182" s="1" t="str">
        <f>IFERROR(__xludf.DUMMYFUNCTION("""COMPUTED_VALUE"""),"2.437 €/m2")</f>
        <v>2.437 €/m2</v>
      </c>
      <c r="C182" s="1" t="str">
        <f>IFERROR(__xludf.DUMMYFUNCTION("""COMPUTED_VALUE"""),"- 1,5 %")</f>
        <v>- 1,5 %</v>
      </c>
      <c r="D182" s="1" t="str">
        <f>IFERROR(__xludf.DUMMYFUNCTION("""COMPUTED_VALUE"""),"- 4,2 %")</f>
        <v>- 4,2 %</v>
      </c>
      <c r="E182" s="1" t="str">
        <f>IFERROR(__xludf.DUMMYFUNCTION("""COMPUTED_VALUE"""),"- 6,2 %")</f>
        <v>- 6,2 %</v>
      </c>
    </row>
    <row r="183">
      <c r="A183" s="2">
        <f>IFERROR(__xludf.DUMMYFUNCTION("""COMPUTED_VALUE"""),40664.0)</f>
        <v>40664</v>
      </c>
      <c r="B183" s="1" t="str">
        <f>IFERROR(__xludf.DUMMYFUNCTION("""COMPUTED_VALUE"""),"2.473 €/m2")</f>
        <v>2.473 €/m2</v>
      </c>
      <c r="C183" s="1" t="str">
        <f>IFERROR(__xludf.DUMMYFUNCTION("""COMPUTED_VALUE"""),"- 0,5 %")</f>
        <v>- 0,5 %</v>
      </c>
      <c r="D183" s="1" t="str">
        <f>IFERROR(__xludf.DUMMYFUNCTION("""COMPUTED_VALUE"""),"- 2,9 %")</f>
        <v>- 2,9 %</v>
      </c>
      <c r="E183" s="1" t="str">
        <f>IFERROR(__xludf.DUMMYFUNCTION("""COMPUTED_VALUE"""),"- 6,3 %")</f>
        <v>- 6,3 %</v>
      </c>
    </row>
    <row r="184">
      <c r="A184" s="2">
        <f>IFERROR(__xludf.DUMMYFUNCTION("""COMPUTED_VALUE"""),40634.0)</f>
        <v>40634</v>
      </c>
      <c r="B184" s="1" t="str">
        <f>IFERROR(__xludf.DUMMYFUNCTION("""COMPUTED_VALUE"""),"2.485 €/m2")</f>
        <v>2.485 €/m2</v>
      </c>
      <c r="C184" s="1" t="str">
        <f>IFERROR(__xludf.DUMMYFUNCTION("""COMPUTED_VALUE"""),"- 2,3 %")</f>
        <v>- 2,3 %</v>
      </c>
      <c r="D184" s="1" t="str">
        <f>IFERROR(__xludf.DUMMYFUNCTION("""COMPUTED_VALUE"""),"- 2,6 %")</f>
        <v>- 2,6 %</v>
      </c>
      <c r="E184" s="1" t="str">
        <f>IFERROR(__xludf.DUMMYFUNCTION("""COMPUTED_VALUE"""),"- 5,6 %")</f>
        <v>- 5,6 %</v>
      </c>
    </row>
    <row r="185">
      <c r="A185" s="2">
        <f>IFERROR(__xludf.DUMMYFUNCTION("""COMPUTED_VALUE"""),40603.0)</f>
        <v>40603</v>
      </c>
      <c r="B185" s="1" t="str">
        <f>IFERROR(__xludf.DUMMYFUNCTION("""COMPUTED_VALUE"""),"2.544 €/m2")</f>
        <v>2.544 €/m2</v>
      </c>
      <c r="C185" s="1" t="str">
        <f>IFERROR(__xludf.DUMMYFUNCTION("""COMPUTED_VALUE"""),"- 0,1 %")</f>
        <v>- 0,1 %</v>
      </c>
      <c r="D185" s="1" t="str">
        <f>IFERROR(__xludf.DUMMYFUNCTION("""COMPUTED_VALUE"""),"- 2,1 %")</f>
        <v>- 2,1 %</v>
      </c>
      <c r="E185" s="1" t="str">
        <f>IFERROR(__xludf.DUMMYFUNCTION("""COMPUTED_VALUE"""),"- 4,3 %")</f>
        <v>- 4,3 %</v>
      </c>
    </row>
    <row r="186">
      <c r="A186" s="2">
        <f>IFERROR(__xludf.DUMMYFUNCTION("""COMPUTED_VALUE"""),40575.0)</f>
        <v>40575</v>
      </c>
      <c r="B186" s="1" t="str">
        <f>IFERROR(__xludf.DUMMYFUNCTION("""COMPUTED_VALUE"""),"2.546 €/m2")</f>
        <v>2.546 €/m2</v>
      </c>
      <c r="C186" s="1" t="str">
        <f>IFERROR(__xludf.DUMMYFUNCTION("""COMPUTED_VALUE"""),"- 0,3 %")</f>
        <v>- 0,3 %</v>
      </c>
      <c r="D186" s="1" t="str">
        <f>IFERROR(__xludf.DUMMYFUNCTION("""COMPUTED_VALUE"""),"- 4,6 %")</f>
        <v>- 4,6 %</v>
      </c>
      <c r="E186" s="1" t="str">
        <f>IFERROR(__xludf.DUMMYFUNCTION("""COMPUTED_VALUE"""),"- 3,1 %")</f>
        <v>- 3,1 %</v>
      </c>
    </row>
    <row r="187">
      <c r="A187" s="2">
        <f>IFERROR(__xludf.DUMMYFUNCTION("""COMPUTED_VALUE"""),40544.0)</f>
        <v>40544</v>
      </c>
      <c r="B187" s="1" t="str">
        <f>IFERROR(__xludf.DUMMYFUNCTION("""COMPUTED_VALUE"""),"2.553 €/m2")</f>
        <v>2.553 €/m2</v>
      </c>
      <c r="C187" s="1" t="str">
        <f>IFERROR(__xludf.DUMMYFUNCTION("""COMPUTED_VALUE"""),"- 1,8 %")</f>
        <v>- 1,8 %</v>
      </c>
      <c r="D187" s="1" t="str">
        <f>IFERROR(__xludf.DUMMYFUNCTION("""COMPUTED_VALUE"""),"- 2,5 %")</f>
        <v>- 2,5 %</v>
      </c>
      <c r="E187" s="1" t="str">
        <f>IFERROR(__xludf.DUMMYFUNCTION("""COMPUTED_VALUE"""),"n.d.")</f>
        <v>n.d.</v>
      </c>
    </row>
    <row r="188">
      <c r="A188" s="2">
        <f>IFERROR(__xludf.DUMMYFUNCTION("""COMPUTED_VALUE"""),40513.0)</f>
        <v>40513</v>
      </c>
      <c r="B188" s="1" t="str">
        <f>IFERROR(__xludf.DUMMYFUNCTION("""COMPUTED_VALUE"""),"2.599 €/m2")</f>
        <v>2.599 €/m2</v>
      </c>
      <c r="C188" s="1" t="str">
        <f>IFERROR(__xludf.DUMMYFUNCTION("""COMPUTED_VALUE"""),"- 2,6 %")</f>
        <v>- 2,6 %</v>
      </c>
      <c r="D188" s="1" t="str">
        <f>IFERROR(__xludf.DUMMYFUNCTION("""COMPUTED_VALUE"""),"- 0,7 %")</f>
        <v>- 0,7 %</v>
      </c>
      <c r="E188" s="1" t="str">
        <f>IFERROR(__xludf.DUMMYFUNCTION("""COMPUTED_VALUE"""),"n.d.")</f>
        <v>n.d.</v>
      </c>
    </row>
    <row r="189">
      <c r="A189" s="2">
        <f>IFERROR(__xludf.DUMMYFUNCTION("""COMPUTED_VALUE"""),40483.0)</f>
        <v>40483</v>
      </c>
      <c r="B189" s="1" t="str">
        <f>IFERROR(__xludf.DUMMYFUNCTION("""COMPUTED_VALUE"""),"2.668 €/m2")</f>
        <v>2.668 €/m2</v>
      </c>
      <c r="C189" s="1" t="str">
        <f>IFERROR(__xludf.DUMMYFUNCTION("""COMPUTED_VALUE"""),"+ 1,9 %")</f>
        <v>+ 1,9 %</v>
      </c>
      <c r="D189" s="1" t="str">
        <f>IFERROR(__xludf.DUMMYFUNCTION("""COMPUTED_VALUE"""),"+ 6,3 %")</f>
        <v>+ 6,3 %</v>
      </c>
      <c r="E189" s="1" t="str">
        <f>IFERROR(__xludf.DUMMYFUNCTION("""COMPUTED_VALUE"""),"n.d.")</f>
        <v>n.d.</v>
      </c>
    </row>
    <row r="190">
      <c r="A190" s="2">
        <f>IFERROR(__xludf.DUMMYFUNCTION("""COMPUTED_VALUE"""),40452.0)</f>
        <v>40452</v>
      </c>
      <c r="B190" s="1" t="str">
        <f>IFERROR(__xludf.DUMMYFUNCTION("""COMPUTED_VALUE"""),"2.618 €/m2")</f>
        <v>2.618 €/m2</v>
      </c>
      <c r="C190" s="1" t="str">
        <f>IFERROR(__xludf.DUMMYFUNCTION("""COMPUTED_VALUE"""),"0,0 %")</f>
        <v>0,0 %</v>
      </c>
      <c r="D190" s="1" t="str">
        <f>IFERROR(__xludf.DUMMYFUNCTION("""COMPUTED_VALUE"""),"+ 0,6 %")</f>
        <v>+ 0,6 %</v>
      </c>
      <c r="E190" s="1" t="str">
        <f>IFERROR(__xludf.DUMMYFUNCTION("""COMPUTED_VALUE"""),"n.d.")</f>
        <v>n.d.</v>
      </c>
    </row>
    <row r="191">
      <c r="A191" s="2">
        <f>IFERROR(__xludf.DUMMYFUNCTION("""COMPUTED_VALUE"""),40422.0)</f>
        <v>40422</v>
      </c>
      <c r="B191" s="1" t="str">
        <f>IFERROR(__xludf.DUMMYFUNCTION("""COMPUTED_VALUE"""),"2.618 €/m2")</f>
        <v>2.618 €/m2</v>
      </c>
      <c r="C191" s="1" t="str">
        <f>IFERROR(__xludf.DUMMYFUNCTION("""COMPUTED_VALUE"""),"+ 4,3 %")</f>
        <v>+ 4,3 %</v>
      </c>
      <c r="D191" s="1" t="str">
        <f>IFERROR(__xludf.DUMMYFUNCTION("""COMPUTED_VALUE"""),"+ 0,7 %")</f>
        <v>+ 0,7 %</v>
      </c>
      <c r="E191" s="1" t="str">
        <f>IFERROR(__xludf.DUMMYFUNCTION("""COMPUTED_VALUE"""),"n.d.")</f>
        <v>n.d.</v>
      </c>
    </row>
    <row r="192">
      <c r="A192" s="2">
        <f>IFERROR(__xludf.DUMMYFUNCTION("""COMPUTED_VALUE"""),40391.0)</f>
        <v>40391</v>
      </c>
      <c r="B192" s="1" t="str">
        <f>IFERROR(__xludf.DUMMYFUNCTION("""COMPUTED_VALUE"""),"2.510 €/m2")</f>
        <v>2.510 €/m2</v>
      </c>
      <c r="C192" s="1" t="str">
        <f>IFERROR(__xludf.DUMMYFUNCTION("""COMPUTED_VALUE"""),"- 3,5 %")</f>
        <v>- 3,5 %</v>
      </c>
      <c r="D192" s="1" t="str">
        <f>IFERROR(__xludf.DUMMYFUNCTION("""COMPUTED_VALUE"""),"- 4,9 %")</f>
        <v>- 4,9 %</v>
      </c>
      <c r="E192" s="1" t="str">
        <f>IFERROR(__xludf.DUMMYFUNCTION("""COMPUTED_VALUE"""),"n.d.")</f>
        <v>n.d.</v>
      </c>
    </row>
    <row r="193">
      <c r="A193" s="2">
        <f>IFERROR(__xludf.DUMMYFUNCTION("""COMPUTED_VALUE"""),40360.0)</f>
        <v>40360</v>
      </c>
      <c r="B193" s="1" t="str">
        <f>IFERROR(__xludf.DUMMYFUNCTION("""COMPUTED_VALUE"""),"2.602 €/m2")</f>
        <v>2.602 €/m2</v>
      </c>
      <c r="C193" s="1" t="str">
        <f>IFERROR(__xludf.DUMMYFUNCTION("""COMPUTED_VALUE"""),"+ 0,1 %")</f>
        <v>+ 0,1 %</v>
      </c>
      <c r="D193" s="1" t="str">
        <f>IFERROR(__xludf.DUMMYFUNCTION("""COMPUTED_VALUE"""),"- 1,2 %")</f>
        <v>- 1,2 %</v>
      </c>
      <c r="E193" s="1" t="str">
        <f>IFERROR(__xludf.DUMMYFUNCTION("""COMPUTED_VALUE"""),"n.d.")</f>
        <v>n.d.</v>
      </c>
    </row>
    <row r="194">
      <c r="A194" s="2">
        <f>IFERROR(__xludf.DUMMYFUNCTION("""COMPUTED_VALUE"""),40330.0)</f>
        <v>40330</v>
      </c>
      <c r="B194" s="1" t="str">
        <f>IFERROR(__xludf.DUMMYFUNCTION("""COMPUTED_VALUE"""),"2.599 €/m2")</f>
        <v>2.599 €/m2</v>
      </c>
      <c r="C194" s="1" t="str">
        <f>IFERROR(__xludf.DUMMYFUNCTION("""COMPUTED_VALUE"""),"- 1,5 %")</f>
        <v>- 1,5 %</v>
      </c>
      <c r="D194" s="1" t="str">
        <f>IFERROR(__xludf.DUMMYFUNCTION("""COMPUTED_VALUE"""),"- 2,2 %")</f>
        <v>- 2,2 %</v>
      </c>
      <c r="E194" s="1" t="str">
        <f>IFERROR(__xludf.DUMMYFUNCTION("""COMPUTED_VALUE"""),"n.d.")</f>
        <v>n.d.</v>
      </c>
    </row>
    <row r="195">
      <c r="A195" s="2">
        <f>IFERROR(__xludf.DUMMYFUNCTION("""COMPUTED_VALUE"""),40299.0)</f>
        <v>40299</v>
      </c>
      <c r="B195" s="1" t="str">
        <f>IFERROR(__xludf.DUMMYFUNCTION("""COMPUTED_VALUE"""),"2.638 €/m2")</f>
        <v>2.638 €/m2</v>
      </c>
      <c r="C195" s="1" t="str">
        <f>IFERROR(__xludf.DUMMYFUNCTION("""COMPUTED_VALUE"""),"+ 0,2 %")</f>
        <v>+ 0,2 %</v>
      </c>
      <c r="D195" s="1" t="str">
        <f>IFERROR(__xludf.DUMMYFUNCTION("""COMPUTED_VALUE"""),"+ 0,4 %")</f>
        <v>+ 0,4 %</v>
      </c>
      <c r="E195" s="1" t="str">
        <f>IFERROR(__xludf.DUMMYFUNCTION("""COMPUTED_VALUE"""),"n.d.")</f>
        <v>n.d.</v>
      </c>
    </row>
    <row r="196">
      <c r="A196" s="2">
        <f>IFERROR(__xludf.DUMMYFUNCTION("""COMPUTED_VALUE"""),40269.0)</f>
        <v>40269</v>
      </c>
      <c r="B196" s="1" t="str">
        <f>IFERROR(__xludf.DUMMYFUNCTION("""COMPUTED_VALUE"""),"2.633 €/m2")</f>
        <v>2.633 €/m2</v>
      </c>
      <c r="C196" s="1" t="str">
        <f>IFERROR(__xludf.DUMMYFUNCTION("""COMPUTED_VALUE"""),"- 0,9 %")</f>
        <v>- 0,9 %</v>
      </c>
      <c r="D196" s="1" t="str">
        <f>IFERROR(__xludf.DUMMYFUNCTION("""COMPUTED_VALUE"""),"n.d.")</f>
        <v>n.d.</v>
      </c>
      <c r="E196" s="1" t="str">
        <f>IFERROR(__xludf.DUMMYFUNCTION("""COMPUTED_VALUE"""),"n.d.")</f>
        <v>n.d.</v>
      </c>
    </row>
    <row r="197">
      <c r="A197" s="2">
        <f>IFERROR(__xludf.DUMMYFUNCTION("""COMPUTED_VALUE"""),40238.0)</f>
        <v>40238</v>
      </c>
      <c r="B197" s="1" t="str">
        <f>IFERROR(__xludf.DUMMYFUNCTION("""COMPUTED_VALUE"""),"2.658 €/m2")</f>
        <v>2.658 €/m2</v>
      </c>
      <c r="C197" s="1" t="str">
        <f>IFERROR(__xludf.DUMMYFUNCTION("""COMPUTED_VALUE"""),"+ 1,1 %")</f>
        <v>+ 1,1 %</v>
      </c>
      <c r="D197" s="1" t="str">
        <f>IFERROR(__xludf.DUMMYFUNCTION("""COMPUTED_VALUE"""),"n.d.")</f>
        <v>n.d.</v>
      </c>
      <c r="E197" s="1" t="str">
        <f>IFERROR(__xludf.DUMMYFUNCTION("""COMPUTED_VALUE"""),"n.d.")</f>
        <v>n.d.</v>
      </c>
    </row>
    <row r="198">
      <c r="A198" s="2">
        <f>IFERROR(__xludf.DUMMYFUNCTION("""COMPUTED_VALUE"""),40210.0)</f>
        <v>40210</v>
      </c>
      <c r="B198" s="1" t="str">
        <f>IFERROR(__xludf.DUMMYFUNCTION("""COMPUTED_VALUE"""),"2.628 €/m2")</f>
        <v>2.628 €/m2</v>
      </c>
      <c r="C198" s="1" t="str">
        <f>IFERROR(__xludf.DUMMYFUNCTION("""COMPUTED_VALUE"""),"n.d.")</f>
        <v>n.d.</v>
      </c>
      <c r="D198" s="1" t="str">
        <f>IFERROR(__xludf.DUMMYFUNCTION("""COMPUTED_VALUE"""),"n.d.")</f>
        <v>n.d.</v>
      </c>
      <c r="E198" s="1" t="str">
        <f>IFERROR(__xludf.DUMMYFUNCTION("""COMPUTED_VALUE"""),"n.d.")</f>
        <v>n.d.</v>
      </c>
    </row>
    <row r="199">
      <c r="A199" s="2">
        <f>IFERROR(__xludf.DUMMYFUNCTION("""COMPUTED_VALUE"""),40179.0)</f>
        <v>40179</v>
      </c>
      <c r="B199" s="1" t="str">
        <f>IFERROR(__xludf.DUMMYFUNCTION("""COMPUTED_VALUE"""),"n.d.")</f>
        <v>n.d.</v>
      </c>
      <c r="C199" s="1" t="str">
        <f>IFERROR(__xludf.DUMMYFUNCTION("""COMPUTED_VALUE"""),"n.d.")</f>
        <v>n.d.</v>
      </c>
      <c r="D199" s="1" t="str">
        <f>IFERROR(__xludf.DUMMYFUNCTION("""COMPUTED_VALUE"""),"n.d.")</f>
        <v>n.d.</v>
      </c>
      <c r="E199" s="1" t="str">
        <f>IFERROR(__xludf.DUMMYFUNCTION("""COMPUTED_VALUE"""),"n.d.")</f>
        <v>n.d.</v>
      </c>
    </row>
    <row r="200">
      <c r="A200" s="2">
        <f>IFERROR(__xludf.DUMMYFUNCTION("""COMPUTED_VALUE"""),40148.0)</f>
        <v>40148</v>
      </c>
      <c r="B200" s="1" t="str">
        <f>IFERROR(__xludf.DUMMYFUNCTION("""COMPUTED_VALUE"""),"n.d.")</f>
        <v>n.d.</v>
      </c>
      <c r="C200" s="1" t="str">
        <f>IFERROR(__xludf.DUMMYFUNCTION("""COMPUTED_VALUE"""),"n.d.")</f>
        <v>n.d.</v>
      </c>
      <c r="D200" s="1" t="str">
        <f>IFERROR(__xludf.DUMMYFUNCTION("""COMPUTED_VALUE"""),"n.d.")</f>
        <v>n.d.</v>
      </c>
      <c r="E200" s="1" t="str">
        <f>IFERROR(__xludf.DUMMYFUNCTION("""COMPUTED_VALUE"""),"n.d.")</f>
        <v>n.d.</v>
      </c>
    </row>
    <row r="201">
      <c r="A201" s="2">
        <f>IFERROR(__xludf.DUMMYFUNCTION("""COMPUTED_VALUE"""),40118.0)</f>
        <v>40118</v>
      </c>
      <c r="B201" s="1" t="str">
        <f>IFERROR(__xludf.DUMMYFUNCTION("""COMPUTED_VALUE"""),"n.d.")</f>
        <v>n.d.</v>
      </c>
      <c r="C201" s="1" t="str">
        <f>IFERROR(__xludf.DUMMYFUNCTION("""COMPUTED_VALUE"""),"n.d.")</f>
        <v>n.d.</v>
      </c>
      <c r="D201" s="1" t="str">
        <f>IFERROR(__xludf.DUMMYFUNCTION("""COMPUTED_VALUE"""),"n.d.")</f>
        <v>n.d.</v>
      </c>
      <c r="E201" s="1" t="str">
        <f>IFERROR(__xludf.DUMMYFUNCTION("""COMPUTED_VALUE"""),"n.d.")</f>
        <v>n.d.</v>
      </c>
    </row>
    <row r="202">
      <c r="A202" s="2">
        <f>IFERROR(__xludf.DUMMYFUNCTION("""COMPUTED_VALUE"""),40087.0)</f>
        <v>40087</v>
      </c>
      <c r="B202" s="1" t="str">
        <f>IFERROR(__xludf.DUMMYFUNCTION("""COMPUTED_VALUE"""),"n.d.")</f>
        <v>n.d.</v>
      </c>
      <c r="C202" s="1" t="str">
        <f>IFERROR(__xludf.DUMMYFUNCTION("""COMPUTED_VALUE"""),"n.d.")</f>
        <v>n.d.</v>
      </c>
      <c r="D202" s="1" t="str">
        <f>IFERROR(__xludf.DUMMYFUNCTION("""COMPUTED_VALUE"""),"n.d.")</f>
        <v>n.d.</v>
      </c>
      <c r="E202" s="1" t="str">
        <f>IFERROR(__xludf.DUMMYFUNCTION("""COMPUTED_VALUE"""),"n.d.")</f>
        <v>n.d.</v>
      </c>
    </row>
    <row r="203">
      <c r="A203" s="2">
        <f>IFERROR(__xludf.DUMMYFUNCTION("""COMPUTED_VALUE"""),40057.0)</f>
        <v>40057</v>
      </c>
      <c r="B203" s="1" t="str">
        <f>IFERROR(__xludf.DUMMYFUNCTION("""COMPUTED_VALUE"""),"n.d.")</f>
        <v>n.d.</v>
      </c>
      <c r="C203" s="1" t="str">
        <f>IFERROR(__xludf.DUMMYFUNCTION("""COMPUTED_VALUE"""),"n.d.")</f>
        <v>n.d.</v>
      </c>
      <c r="D203" s="1" t="str">
        <f>IFERROR(__xludf.DUMMYFUNCTION("""COMPUTED_VALUE"""),"n.d.")</f>
        <v>n.d.</v>
      </c>
      <c r="E203" s="1" t="str">
        <f>IFERROR(__xludf.DUMMYFUNCTION("""COMPUTED_VALUE"""),"n.d.")</f>
        <v>n.d.</v>
      </c>
    </row>
    <row r="204">
      <c r="A204" s="2">
        <f>IFERROR(__xludf.DUMMYFUNCTION("""COMPUTED_VALUE"""),40026.0)</f>
        <v>40026</v>
      </c>
      <c r="B204" s="1" t="str">
        <f>IFERROR(__xludf.DUMMYFUNCTION("""COMPUTED_VALUE"""),"n.d.")</f>
        <v>n.d.</v>
      </c>
      <c r="C204" s="1" t="str">
        <f>IFERROR(__xludf.DUMMYFUNCTION("""COMPUTED_VALUE"""),"n.d.")</f>
        <v>n.d.</v>
      </c>
      <c r="D204" s="1" t="str">
        <f>IFERROR(__xludf.DUMMYFUNCTION("""COMPUTED_VALUE"""),"n.d.")</f>
        <v>n.d.</v>
      </c>
      <c r="E204" s="1" t="str">
        <f>IFERROR(__xludf.DUMMYFUNCTION("""COMPUTED_VALUE"""),"n.d.")</f>
        <v>n.d.</v>
      </c>
    </row>
    <row r="205">
      <c r="A205" s="2">
        <f>IFERROR(__xludf.DUMMYFUNCTION("""COMPUTED_VALUE"""),39995.0)</f>
        <v>39995</v>
      </c>
      <c r="B205" s="1" t="str">
        <f>IFERROR(__xludf.DUMMYFUNCTION("""COMPUTED_VALUE"""),"n.d.")</f>
        <v>n.d.</v>
      </c>
      <c r="C205" s="1" t="str">
        <f>IFERROR(__xludf.DUMMYFUNCTION("""COMPUTED_VALUE"""),"n.d.")</f>
        <v>n.d.</v>
      </c>
      <c r="D205" s="1" t="str">
        <f>IFERROR(__xludf.DUMMYFUNCTION("""COMPUTED_VALUE"""),"n.d.")</f>
        <v>n.d.</v>
      </c>
      <c r="E205" s="1" t="str">
        <f>IFERROR(__xludf.DUMMYFUNCTION("""COMPUTED_VALUE"""),"n.d.")</f>
        <v>n.d.</v>
      </c>
    </row>
    <row r="206">
      <c r="A206" s="2">
        <f>IFERROR(__xludf.DUMMYFUNCTION("""COMPUTED_VALUE"""),39965.0)</f>
        <v>39965</v>
      </c>
      <c r="B206" s="1" t="str">
        <f>IFERROR(__xludf.DUMMYFUNCTION("""COMPUTED_VALUE"""),"n.d.")</f>
        <v>n.d.</v>
      </c>
      <c r="C206" s="1" t="str">
        <f>IFERROR(__xludf.DUMMYFUNCTION("""COMPUTED_VALUE"""),"n.d.")</f>
        <v>n.d.</v>
      </c>
      <c r="D206" s="1" t="str">
        <f>IFERROR(__xludf.DUMMYFUNCTION("""COMPUTED_VALUE"""),"n.d.")</f>
        <v>n.d.</v>
      </c>
      <c r="E206" s="1" t="str">
        <f>IFERROR(__xludf.DUMMYFUNCTION("""COMPUTED_VALUE"""),"n.d.")</f>
        <v>n.d.</v>
      </c>
    </row>
    <row r="207">
      <c r="A207" s="2">
        <f>IFERROR(__xludf.DUMMYFUNCTION("""COMPUTED_VALUE"""),39934.0)</f>
        <v>39934</v>
      </c>
      <c r="B207" s="1" t="str">
        <f>IFERROR(__xludf.DUMMYFUNCTION("""COMPUTED_VALUE"""),"n.d.")</f>
        <v>n.d.</v>
      </c>
      <c r="C207" s="1" t="str">
        <f>IFERROR(__xludf.DUMMYFUNCTION("""COMPUTED_VALUE"""),"n.d.")</f>
        <v>n.d.</v>
      </c>
      <c r="D207" s="1" t="str">
        <f>IFERROR(__xludf.DUMMYFUNCTION("""COMPUTED_VALUE"""),"n.d.")</f>
        <v>n.d.</v>
      </c>
      <c r="E207" s="1" t="str">
        <f>IFERROR(__xludf.DUMMYFUNCTION("""COMPUTED_VALUE"""),"n.d.")</f>
        <v>n.d.</v>
      </c>
    </row>
    <row r="208">
      <c r="A208" s="2">
        <f>IFERROR(__xludf.DUMMYFUNCTION("""COMPUTED_VALUE"""),39904.0)</f>
        <v>39904</v>
      </c>
      <c r="B208" s="1" t="str">
        <f>IFERROR(__xludf.DUMMYFUNCTION("""COMPUTED_VALUE"""),"n.d.")</f>
        <v>n.d.</v>
      </c>
      <c r="C208" s="1" t="str">
        <f>IFERROR(__xludf.DUMMYFUNCTION("""COMPUTED_VALUE"""),"n.d.")</f>
        <v>n.d.</v>
      </c>
      <c r="D208" s="1" t="str">
        <f>IFERROR(__xludf.DUMMYFUNCTION("""COMPUTED_VALUE"""),"n.d.")</f>
        <v>n.d.</v>
      </c>
      <c r="E208" s="1" t="str">
        <f>IFERROR(__xludf.DUMMYFUNCTION("""COMPUTED_VALUE"""),"n.d.")</f>
        <v>n.d.</v>
      </c>
    </row>
    <row r="209">
      <c r="A209" s="2">
        <f>IFERROR(__xludf.DUMMYFUNCTION("""COMPUTED_VALUE"""),39873.0)</f>
        <v>39873</v>
      </c>
      <c r="B209" s="1" t="str">
        <f>IFERROR(__xludf.DUMMYFUNCTION("""COMPUTED_VALUE"""),"n.d.")</f>
        <v>n.d.</v>
      </c>
      <c r="C209" s="1" t="str">
        <f>IFERROR(__xludf.DUMMYFUNCTION("""COMPUTED_VALUE"""),"n.d.")</f>
        <v>n.d.</v>
      </c>
      <c r="D209" s="1" t="str">
        <f>IFERROR(__xludf.DUMMYFUNCTION("""COMPUTED_VALUE"""),"n.d.")</f>
        <v>n.d.</v>
      </c>
      <c r="E209" s="1" t="str">
        <f>IFERROR(__xludf.DUMMYFUNCTION("""COMPUTED_VALUE"""),"n.d.")</f>
        <v>n.d.</v>
      </c>
    </row>
    <row r="210">
      <c r="A210" s="2">
        <f>IFERROR(__xludf.DUMMYFUNCTION("""COMPUTED_VALUE"""),39845.0)</f>
        <v>39845</v>
      </c>
      <c r="B210" s="1" t="str">
        <f>IFERROR(__xludf.DUMMYFUNCTION("""COMPUTED_VALUE"""),"n.d.")</f>
        <v>n.d.</v>
      </c>
      <c r="C210" s="1" t="str">
        <f>IFERROR(__xludf.DUMMYFUNCTION("""COMPUTED_VALUE"""),"n.d.")</f>
        <v>n.d.</v>
      </c>
      <c r="D210" s="1" t="str">
        <f>IFERROR(__xludf.DUMMYFUNCTION("""COMPUTED_VALUE"""),"n.d.")</f>
        <v>n.d.</v>
      </c>
      <c r="E210" s="1" t="str">
        <f>IFERROR(__xludf.DUMMYFUNCTION("""COMPUTED_VALUE"""),"n.d.")</f>
        <v>n.d.</v>
      </c>
    </row>
    <row r="211">
      <c r="A211" s="2">
        <f>IFERROR(__xludf.DUMMYFUNCTION("""COMPUTED_VALUE"""),39814.0)</f>
        <v>39814</v>
      </c>
      <c r="B211" s="1" t="str">
        <f>IFERROR(__xludf.DUMMYFUNCTION("""COMPUTED_VALUE"""),"n.d.")</f>
        <v>n.d.</v>
      </c>
      <c r="C211" s="1" t="str">
        <f>IFERROR(__xludf.DUMMYFUNCTION("""COMPUTED_VALUE"""),"n.d.")</f>
        <v>n.d.</v>
      </c>
      <c r="D211" s="1" t="str">
        <f>IFERROR(__xludf.DUMMYFUNCTION("""COMPUTED_VALUE"""),"n.d.")</f>
        <v>n.d.</v>
      </c>
      <c r="E211" s="1" t="str">
        <f>IFERROR(__xludf.DUMMYFUNCTION("""COMPUTED_VALUE"""),"n.d.")</f>
        <v>n.d.</v>
      </c>
    </row>
    <row r="212">
      <c r="A212" s="2">
        <f>IFERROR(__xludf.DUMMYFUNCTION("""COMPUTED_VALUE"""),39783.0)</f>
        <v>39783</v>
      </c>
      <c r="B212" s="1" t="str">
        <f>IFERROR(__xludf.DUMMYFUNCTION("""COMPUTED_VALUE"""),"n.d.")</f>
        <v>n.d.</v>
      </c>
      <c r="C212" s="1" t="str">
        <f>IFERROR(__xludf.DUMMYFUNCTION("""COMPUTED_VALUE"""),"n.d.")</f>
        <v>n.d.</v>
      </c>
      <c r="D212" s="1" t="str">
        <f>IFERROR(__xludf.DUMMYFUNCTION("""COMPUTED_VALUE"""),"n.d.")</f>
        <v>n.d.</v>
      </c>
      <c r="E212" s="1" t="str">
        <f>IFERROR(__xludf.DUMMYFUNCTION("""COMPUTED_VALUE"""),"n.d.")</f>
        <v>n.d.</v>
      </c>
    </row>
    <row r="213">
      <c r="A213" s="2">
        <f>IFERROR(__xludf.DUMMYFUNCTION("""COMPUTED_VALUE"""),39753.0)</f>
        <v>39753</v>
      </c>
      <c r="B213" s="1" t="str">
        <f>IFERROR(__xludf.DUMMYFUNCTION("""COMPUTED_VALUE"""),"n.d.")</f>
        <v>n.d.</v>
      </c>
      <c r="C213" s="1" t="str">
        <f>IFERROR(__xludf.DUMMYFUNCTION("""COMPUTED_VALUE"""),"n.d.")</f>
        <v>n.d.</v>
      </c>
      <c r="D213" s="1" t="str">
        <f>IFERROR(__xludf.DUMMYFUNCTION("""COMPUTED_VALUE"""),"n.d.")</f>
        <v>n.d.</v>
      </c>
      <c r="E213" s="1" t="str">
        <f>IFERROR(__xludf.DUMMYFUNCTION("""COMPUTED_VALUE"""),"n.d.")</f>
        <v>n.d.</v>
      </c>
    </row>
    <row r="214">
      <c r="A214" s="2">
        <f>IFERROR(__xludf.DUMMYFUNCTION("""COMPUTED_VALUE"""),39722.0)</f>
        <v>39722</v>
      </c>
      <c r="B214" s="1" t="str">
        <f>IFERROR(__xludf.DUMMYFUNCTION("""COMPUTED_VALUE"""),"n.d.")</f>
        <v>n.d.</v>
      </c>
      <c r="C214" s="1" t="str">
        <f>IFERROR(__xludf.DUMMYFUNCTION("""COMPUTED_VALUE"""),"n.d.")</f>
        <v>n.d.</v>
      </c>
      <c r="D214" s="1" t="str">
        <f>IFERROR(__xludf.DUMMYFUNCTION("""COMPUTED_VALUE"""),"n.d.")</f>
        <v>n.d.</v>
      </c>
      <c r="E214" s="1" t="str">
        <f>IFERROR(__xludf.DUMMYFUNCTION("""COMPUTED_VALUE"""),"n.d.")</f>
        <v>n.d.</v>
      </c>
    </row>
    <row r="215">
      <c r="A215" s="2">
        <f>IFERROR(__xludf.DUMMYFUNCTION("""COMPUTED_VALUE"""),39692.0)</f>
        <v>39692</v>
      </c>
      <c r="B215" s="1" t="str">
        <f>IFERROR(__xludf.DUMMYFUNCTION("""COMPUTED_VALUE"""),"n.d.")</f>
        <v>n.d.</v>
      </c>
      <c r="C215" s="1" t="str">
        <f>IFERROR(__xludf.DUMMYFUNCTION("""COMPUTED_VALUE"""),"n.d.")</f>
        <v>n.d.</v>
      </c>
      <c r="D215" s="1" t="str">
        <f>IFERROR(__xludf.DUMMYFUNCTION("""COMPUTED_VALUE"""),"n.d.")</f>
        <v>n.d.</v>
      </c>
      <c r="E215" s="1" t="str">
        <f>IFERROR(__xludf.DUMMYFUNCTION("""COMPUTED_VALUE"""),"n.d.")</f>
        <v>n.d.</v>
      </c>
    </row>
    <row r="216">
      <c r="A216" s="2">
        <f>IFERROR(__xludf.DUMMYFUNCTION("""COMPUTED_VALUE"""),39661.0)</f>
        <v>39661</v>
      </c>
      <c r="B216" s="1" t="str">
        <f>IFERROR(__xludf.DUMMYFUNCTION("""COMPUTED_VALUE"""),"n.d.")</f>
        <v>n.d.</v>
      </c>
      <c r="C216" s="1" t="str">
        <f>IFERROR(__xludf.DUMMYFUNCTION("""COMPUTED_VALUE"""),"n.d.")</f>
        <v>n.d.</v>
      </c>
      <c r="D216" s="1" t="str">
        <f>IFERROR(__xludf.DUMMYFUNCTION("""COMPUTED_VALUE"""),"n.d.")</f>
        <v>n.d.</v>
      </c>
      <c r="E216" s="1" t="str">
        <f>IFERROR(__xludf.DUMMYFUNCTION("""COMPUTED_VALUE"""),"n.d.")</f>
        <v>n.d.</v>
      </c>
    </row>
    <row r="217">
      <c r="A217" s="2">
        <f>IFERROR(__xludf.DUMMYFUNCTION("""COMPUTED_VALUE"""),39630.0)</f>
        <v>39630</v>
      </c>
      <c r="B217" s="1" t="str">
        <f>IFERROR(__xludf.DUMMYFUNCTION("""COMPUTED_VALUE"""),"n.d.")</f>
        <v>n.d.</v>
      </c>
      <c r="C217" s="1" t="str">
        <f>IFERROR(__xludf.DUMMYFUNCTION("""COMPUTED_VALUE"""),"n.d.")</f>
        <v>n.d.</v>
      </c>
      <c r="D217" s="1" t="str">
        <f>IFERROR(__xludf.DUMMYFUNCTION("""COMPUTED_VALUE"""),"n.d.")</f>
        <v>n.d.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IFERROR(__xludf.DUMMYFUNCTION("""COMPUTED_VALUE"""),"n.d.")</f>
        <v>n.d.</v>
      </c>
      <c r="C218" s="1" t="str">
        <f>IFERROR(__xludf.DUMMYFUNCTION("""COMPUTED_VALUE"""),"n.d.")</f>
        <v>n.d.</v>
      </c>
      <c r="D218" s="1" t="str">
        <f>IFERROR(__xludf.DUMMYFUNCTION("""COMPUTED_VALUE"""),"n.d.")</f>
        <v>n.d.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IFERROR(__xludf.DUMMYFUNCTION("""COMPUTED_VALUE"""),"n.d.")</f>
        <v>n.d.</v>
      </c>
      <c r="C219" s="1" t="str">
        <f>IFERROR(__xludf.DUMMYFUNCTION("""COMPUTED_VALUE"""),"n.d.")</f>
        <v>n.d.</v>
      </c>
      <c r="D219" s="1" t="str">
        <f>IFERROR(__xludf.DUMMYFUNCTION("""COMPUTED_VALUE"""),"n.d.")</f>
        <v>n.d.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IFERROR(__xludf.DUMMYFUNCTION("""COMPUTED_VALUE"""),"n.d.")</f>
        <v>n.d.</v>
      </c>
      <c r="C220" s="1" t="str">
        <f>IFERROR(__xludf.DUMMYFUNCTION("""COMPUTED_VALUE"""),"n.d.")</f>
        <v>n.d.</v>
      </c>
      <c r="D220" s="1" t="str">
        <f>IFERROR(__xludf.DUMMYFUNCTION("""COMPUTED_VALUE"""),"n.d.")</f>
        <v>n.d.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IFERROR(__xludf.DUMMYFUNCTION("""COMPUTED_VALUE"""),"n.d.")</f>
        <v>n.d.</v>
      </c>
      <c r="C221" s="1" t="str">
        <f>IFERROR(__xludf.DUMMYFUNCTION("""COMPUTED_VALUE"""),"n.d.")</f>
        <v>n.d.</v>
      </c>
      <c r="D221" s="1" t="str">
        <f>IFERROR(__xludf.DUMMYFUNCTION("""COMPUTED_VALUE"""),"n.d.")</f>
        <v>n.d.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IFERROR(__xludf.DUMMYFUNCTION("""COMPUTED_VALUE"""),"n.d.")</f>
        <v>n.d.</v>
      </c>
      <c r="C222" s="1" t="str">
        <f>IFERROR(__xludf.DUMMYFUNCTION("""COMPUTED_VALUE"""),"n.d.")</f>
        <v>n.d.</v>
      </c>
      <c r="D222" s="1" t="str">
        <f>IFERROR(__xludf.DUMMYFUNCTION("""COMPUTED_VALUE"""),"n.d.")</f>
        <v>n.d.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IFERROR(__xludf.DUMMYFUNCTION("""COMPUTED_VALUE"""),"n.d.")</f>
        <v>n.d.</v>
      </c>
      <c r="C223" s="1" t="str">
        <f>IFERROR(__xludf.DUMMYFUNCTION("""COMPUTED_VALUE"""),"n.d.")</f>
        <v>n.d.</v>
      </c>
      <c r="D223" s="1" t="str">
        <f>IFERROR(__xludf.DUMMYFUNCTION("""COMPUTED_VALUE"""),"n.d.")</f>
        <v>n.d.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IFERROR(__xludf.DUMMYFUNCTION("""COMPUTED_VALUE"""),"n.d.")</f>
        <v>n.d.</v>
      </c>
      <c r="C224" s="1" t="str">
        <f>IFERROR(__xludf.DUMMYFUNCTION("""COMPUTED_VALUE"""),"n.d.")</f>
        <v>n.d.</v>
      </c>
      <c r="D224" s="1" t="str">
        <f>IFERROR(__xludf.DUMMYFUNCTION("""COMPUTED_VALUE"""),"n.d.")</f>
        <v>n.d.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IFERROR(__xludf.DUMMYFUNCTION("""COMPUTED_VALUE"""),"n.d.")</f>
        <v>n.d.</v>
      </c>
      <c r="C225" s="1" t="str">
        <f>IFERROR(__xludf.DUMMYFUNCTION("""COMPUTED_VALUE"""),"n.d.")</f>
        <v>n.d.</v>
      </c>
      <c r="D225" s="1" t="str">
        <f>IFERROR(__xludf.DUMMYFUNCTION("""COMPUTED_VALUE"""),"n.d.")</f>
        <v>n.d.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IFERROR(__xludf.DUMMYFUNCTION("""COMPUTED_VALUE"""),"n.d.")</f>
        <v>n.d.</v>
      </c>
      <c r="C226" s="1" t="str">
        <f>IFERROR(__xludf.DUMMYFUNCTION("""COMPUTED_VALUE"""),"n.d.")</f>
        <v>n.d.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IFERROR(__xludf.DUMMYFUNCTION("""COMPUTED_VALUE"""),"n.d.")</f>
        <v>n.d.</v>
      </c>
      <c r="C227" s="1" t="str">
        <f>IFERROR(__xludf.DUMMYFUNCTION("""COMPUTED_VALUE"""),"n.d.")</f>
        <v>n.d.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IFERROR(__xludf.DUMMYFUNCTION("""COMPUTED_VALUE"""),"n.d.")</f>
        <v>n.d.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IFERROR(__xludf.DUMMYFUNCTION("IMPORTHTML(""https://www.idealista.com/sala-de-prensa/informes-precio-vivienda/venta/madrid-comunidad/madrid-provincia/madrid/villa-de-vallecas/historico/"",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IFERROR(__xludf.DUMMYFUNCTION("""COMPUTED_VALUE"""),"3.829 €/m2")</f>
        <v>3.829 €/m2</v>
      </c>
      <c r="C2" s="1" t="str">
        <f>IFERROR(__xludf.DUMMYFUNCTION("""COMPUTED_VALUE"""),"+ 1,0 %")</f>
        <v>+ 1,0 %</v>
      </c>
      <c r="D2" s="1" t="str">
        <f>IFERROR(__xludf.DUMMYFUNCTION("""COMPUTED_VALUE"""),"+ 4,2 %")</f>
        <v>+ 4,2 %</v>
      </c>
      <c r="E2" s="1" t="str">
        <f>IFERROR(__xludf.DUMMYFUNCTION("""COMPUTED_VALUE"""),"+ 16,9 %")</f>
        <v>+ 16,9 %</v>
      </c>
    </row>
    <row r="3">
      <c r="A3" s="2">
        <f>IFERROR(__xludf.DUMMYFUNCTION("""COMPUTED_VALUE"""),46143.0)</f>
        <v>46143</v>
      </c>
      <c r="B3" s="1" t="str">
        <f>IFERROR(__xludf.DUMMYFUNCTION("""COMPUTED_VALUE"""),"3.792 €/m2")</f>
        <v>3.792 €/m2</v>
      </c>
      <c r="C3" s="1" t="str">
        <f>IFERROR(__xludf.DUMMYFUNCTION("""COMPUTED_VALUE"""),"+ 2,0 %")</f>
        <v>+ 2,0 %</v>
      </c>
      <c r="D3" s="1" t="str">
        <f>IFERROR(__xludf.DUMMYFUNCTION("""COMPUTED_VALUE"""),"+ 2,8 %")</f>
        <v>+ 2,8 %</v>
      </c>
      <c r="E3" s="1" t="str">
        <f>IFERROR(__xludf.DUMMYFUNCTION("""COMPUTED_VALUE"""),"+ 17,4 %")</f>
        <v>+ 17,4 %</v>
      </c>
    </row>
    <row r="4">
      <c r="A4" s="2">
        <f>IFERROR(__xludf.DUMMYFUNCTION("""COMPUTED_VALUE"""),46113.0)</f>
        <v>46113</v>
      </c>
      <c r="B4" s="1" t="str">
        <f>IFERROR(__xludf.DUMMYFUNCTION("""COMPUTED_VALUE"""),"3.717 €/m2")</f>
        <v>3.717 €/m2</v>
      </c>
      <c r="C4" s="1" t="str">
        <f>IFERROR(__xludf.DUMMYFUNCTION("""COMPUTED_VALUE"""),"+ 1,2 %")</f>
        <v>+ 1,2 %</v>
      </c>
      <c r="D4" s="1" t="str">
        <f>IFERROR(__xludf.DUMMYFUNCTION("""COMPUTED_VALUE"""),"+ 4,4 %")</f>
        <v>+ 4,4 %</v>
      </c>
      <c r="E4" s="1" t="str">
        <f>IFERROR(__xludf.DUMMYFUNCTION("""COMPUTED_VALUE"""),"+ 18,7 %")</f>
        <v>+ 18,7 %</v>
      </c>
    </row>
    <row r="5">
      <c r="A5" s="2">
        <f>IFERROR(__xludf.DUMMYFUNCTION("""COMPUTED_VALUE"""),46082.0)</f>
        <v>46082</v>
      </c>
      <c r="B5" s="1" t="str">
        <f>IFERROR(__xludf.DUMMYFUNCTION("""COMPUTED_VALUE"""),"3.674 €/m2")</f>
        <v>3.674 €/m2</v>
      </c>
      <c r="C5" s="1" t="str">
        <f>IFERROR(__xludf.DUMMYFUNCTION("""COMPUTED_VALUE"""),"- 0,4 %")</f>
        <v>- 0,4 %</v>
      </c>
      <c r="D5" s="1" t="str">
        <f>IFERROR(__xludf.DUMMYFUNCTION("""COMPUTED_VALUE"""),"+ 3,8 %")</f>
        <v>+ 3,8 %</v>
      </c>
      <c r="E5" s="1" t="str">
        <f>IFERROR(__xludf.DUMMYFUNCTION("""COMPUTED_VALUE"""),"+ 21,2 %")</f>
        <v>+ 21,2 %</v>
      </c>
    </row>
    <row r="6">
      <c r="A6" s="2">
        <f>IFERROR(__xludf.DUMMYFUNCTION("""COMPUTED_VALUE"""),46054.0)</f>
        <v>46054</v>
      </c>
      <c r="B6" s="1" t="str">
        <f>IFERROR(__xludf.DUMMYFUNCTION("""COMPUTED_VALUE"""),"3.690 €/m2")</f>
        <v>3.690 €/m2</v>
      </c>
      <c r="C6" s="1" t="str">
        <f>IFERROR(__xludf.DUMMYFUNCTION("""COMPUTED_VALUE"""),"+ 3,7 %")</f>
        <v>+ 3,7 %</v>
      </c>
      <c r="D6" s="1" t="str">
        <f>IFERROR(__xludf.DUMMYFUNCTION("""COMPUTED_VALUE"""),"+ 6,1 %")</f>
        <v>+ 6,1 %</v>
      </c>
      <c r="E6" s="1" t="str">
        <f>IFERROR(__xludf.DUMMYFUNCTION("""COMPUTED_VALUE"""),"+ 23,9 %")</f>
        <v>+ 23,9 %</v>
      </c>
    </row>
    <row r="7">
      <c r="A7" s="2">
        <f>IFERROR(__xludf.DUMMYFUNCTION("""COMPUTED_VALUE"""),46023.0)</f>
        <v>46023</v>
      </c>
      <c r="B7" s="1" t="str">
        <f>IFERROR(__xludf.DUMMYFUNCTION("""COMPUTED_VALUE"""),"3.560 €/m2")</f>
        <v>3.560 €/m2</v>
      </c>
      <c r="C7" s="1" t="str">
        <f>IFERROR(__xludf.DUMMYFUNCTION("""COMPUTED_VALUE"""),"+ 0,5 %")</f>
        <v>+ 0,5 %</v>
      </c>
      <c r="D7" s="1" t="str">
        <f>IFERROR(__xludf.DUMMYFUNCTION("""COMPUTED_VALUE"""),"+ 3,8 %")</f>
        <v>+ 3,8 %</v>
      </c>
      <c r="E7" s="1" t="str">
        <f>IFERROR(__xludf.DUMMYFUNCTION("""COMPUTED_VALUE"""),"+ 20,2 %")</f>
        <v>+ 20,2 %</v>
      </c>
    </row>
    <row r="8">
      <c r="A8" s="2">
        <f>IFERROR(__xludf.DUMMYFUNCTION("""COMPUTED_VALUE"""),45992.0)</f>
        <v>45992</v>
      </c>
      <c r="B8" s="1" t="str">
        <f>IFERROR(__xludf.DUMMYFUNCTION("""COMPUTED_VALUE"""),"3.541 €/m2")</f>
        <v>3.541 €/m2</v>
      </c>
      <c r="C8" s="1" t="str">
        <f>IFERROR(__xludf.DUMMYFUNCTION("""COMPUTED_VALUE"""),"+ 1,8 %")</f>
        <v>+ 1,8 %</v>
      </c>
      <c r="D8" s="1" t="str">
        <f>IFERROR(__xludf.DUMMYFUNCTION("""COMPUTED_VALUE"""),"+ 5,1 %")</f>
        <v>+ 5,1 %</v>
      </c>
      <c r="E8" s="1" t="str">
        <f>IFERROR(__xludf.DUMMYFUNCTION("""COMPUTED_VALUE"""),"+ 13,5 %")</f>
        <v>+ 13,5 %</v>
      </c>
    </row>
    <row r="9">
      <c r="A9" s="2">
        <f>IFERROR(__xludf.DUMMYFUNCTION("""COMPUTED_VALUE"""),45962.0)</f>
        <v>45962</v>
      </c>
      <c r="B9" s="1" t="str">
        <f>IFERROR(__xludf.DUMMYFUNCTION("""COMPUTED_VALUE"""),"3.479 €/m2")</f>
        <v>3.479 €/m2</v>
      </c>
      <c r="C9" s="1" t="str">
        <f>IFERROR(__xludf.DUMMYFUNCTION("""COMPUTED_VALUE"""),"+ 1,4 %")</f>
        <v>+ 1,4 %</v>
      </c>
      <c r="D9" s="1" t="str">
        <f>IFERROR(__xludf.DUMMYFUNCTION("""COMPUTED_VALUE"""),"+ 3,8 %")</f>
        <v>+ 3,8 %</v>
      </c>
      <c r="E9" s="1" t="str">
        <f>IFERROR(__xludf.DUMMYFUNCTION("""COMPUTED_VALUE"""),"+ 16,4 %")</f>
        <v>+ 16,4 %</v>
      </c>
    </row>
    <row r="10">
      <c r="A10" s="2">
        <f>IFERROR(__xludf.DUMMYFUNCTION("""COMPUTED_VALUE"""),45931.0)</f>
        <v>45931</v>
      </c>
      <c r="B10" s="1" t="str">
        <f>IFERROR(__xludf.DUMMYFUNCTION("""COMPUTED_VALUE"""),"3.430 €/m2")</f>
        <v>3.430 €/m2</v>
      </c>
      <c r="C10" s="1" t="str">
        <f>IFERROR(__xludf.DUMMYFUNCTION("""COMPUTED_VALUE"""),"+ 1,8 %")</f>
        <v>+ 1,8 %</v>
      </c>
      <c r="D10" s="1" t="str">
        <f>IFERROR(__xludf.DUMMYFUNCTION("""COMPUTED_VALUE"""),"+ 3,5 %")</f>
        <v>+ 3,5 %</v>
      </c>
      <c r="E10" s="1" t="str">
        <f>IFERROR(__xludf.DUMMYFUNCTION("""COMPUTED_VALUE"""),"+ 17,9 %")</f>
        <v>+ 17,9 %</v>
      </c>
    </row>
    <row r="11">
      <c r="A11" s="2">
        <f>IFERROR(__xludf.DUMMYFUNCTION("""COMPUTED_VALUE"""),45901.0)</f>
        <v>45901</v>
      </c>
      <c r="B11" s="1" t="str">
        <f>IFERROR(__xludf.DUMMYFUNCTION("""COMPUTED_VALUE"""),"3.369 €/m2")</f>
        <v>3.369 €/m2</v>
      </c>
      <c r="C11" s="1" t="str">
        <f>IFERROR(__xludf.DUMMYFUNCTION("""COMPUTED_VALUE"""),"+ 0,5 %")</f>
        <v>+ 0,5 %</v>
      </c>
      <c r="D11" s="1" t="str">
        <f>IFERROR(__xludf.DUMMYFUNCTION("""COMPUTED_VALUE"""),"+ 2,9 %")</f>
        <v>+ 2,9 %</v>
      </c>
      <c r="E11" s="1" t="str">
        <f>IFERROR(__xludf.DUMMYFUNCTION("""COMPUTED_VALUE"""),"+ 16,2 %")</f>
        <v>+ 16,2 %</v>
      </c>
    </row>
    <row r="12">
      <c r="A12" s="2">
        <f>IFERROR(__xludf.DUMMYFUNCTION("""COMPUTED_VALUE"""),45870.0)</f>
        <v>45870</v>
      </c>
      <c r="B12" s="1" t="str">
        <f>IFERROR(__xludf.DUMMYFUNCTION("""COMPUTED_VALUE"""),"3.353 €/m2")</f>
        <v>3.353 €/m2</v>
      </c>
      <c r="C12" s="1" t="str">
        <f>IFERROR(__xludf.DUMMYFUNCTION("""COMPUTED_VALUE"""),"+ 1,2 %")</f>
        <v>+ 1,2 %</v>
      </c>
      <c r="D12" s="1" t="str">
        <f>IFERROR(__xludf.DUMMYFUNCTION("""COMPUTED_VALUE"""),"+ 3,8 %")</f>
        <v>+ 3,8 %</v>
      </c>
      <c r="E12" s="1" t="str">
        <f>IFERROR(__xludf.DUMMYFUNCTION("""COMPUTED_VALUE"""),"+ 15,8 %")</f>
        <v>+ 15,8 %</v>
      </c>
    </row>
    <row r="13">
      <c r="A13" s="2">
        <f>IFERROR(__xludf.DUMMYFUNCTION("""COMPUTED_VALUE"""),45839.0)</f>
        <v>45839</v>
      </c>
      <c r="B13" s="1" t="str">
        <f>IFERROR(__xludf.DUMMYFUNCTION("""COMPUTED_VALUE"""),"3.312 €/m2")</f>
        <v>3.312 €/m2</v>
      </c>
      <c r="C13" s="1" t="str">
        <f>IFERROR(__xludf.DUMMYFUNCTION("""COMPUTED_VALUE"""),"+ 1,1 %")</f>
        <v>+ 1,1 %</v>
      </c>
      <c r="D13" s="1" t="str">
        <f>IFERROR(__xludf.DUMMYFUNCTION("""COMPUTED_VALUE"""),"+ 5,8 %")</f>
        <v>+ 5,8 %</v>
      </c>
      <c r="E13" s="1" t="str">
        <f>IFERROR(__xludf.DUMMYFUNCTION("""COMPUTED_VALUE"""),"+ 15,3 %")</f>
        <v>+ 15,3 %</v>
      </c>
    </row>
    <row r="14">
      <c r="A14" s="2">
        <f>IFERROR(__xludf.DUMMYFUNCTION("""COMPUTED_VALUE"""),45809.0)</f>
        <v>45809</v>
      </c>
      <c r="B14" s="1" t="str">
        <f>IFERROR(__xludf.DUMMYFUNCTION("""COMPUTED_VALUE"""),"3.275 €/m2")</f>
        <v>3.275 €/m2</v>
      </c>
      <c r="C14" s="1" t="str">
        <f>IFERROR(__xludf.DUMMYFUNCTION("""COMPUTED_VALUE"""),"+ 1,4 %")</f>
        <v>+ 1,4 %</v>
      </c>
      <c r="D14" s="1" t="str">
        <f>IFERROR(__xludf.DUMMYFUNCTION("""COMPUTED_VALUE"""),"+ 8,0 %")</f>
        <v>+ 8,0 %</v>
      </c>
      <c r="E14" s="1" t="str">
        <f>IFERROR(__xludf.DUMMYFUNCTION("""COMPUTED_VALUE"""),"+ 15,7 %")</f>
        <v>+ 15,7 %</v>
      </c>
    </row>
    <row r="15">
      <c r="A15" s="2">
        <f>IFERROR(__xludf.DUMMYFUNCTION("""COMPUTED_VALUE"""),45778.0)</f>
        <v>45778</v>
      </c>
      <c r="B15" s="1" t="str">
        <f>IFERROR(__xludf.DUMMYFUNCTION("""COMPUTED_VALUE"""),"3.231 €/m2")</f>
        <v>3.231 €/m2</v>
      </c>
      <c r="C15" s="1" t="str">
        <f>IFERROR(__xludf.DUMMYFUNCTION("""COMPUTED_VALUE"""),"+ 3,2 %")</f>
        <v>+ 3,2 %</v>
      </c>
      <c r="D15" s="1" t="str">
        <f>IFERROR(__xludf.DUMMYFUNCTION("""COMPUTED_VALUE"""),"+ 8,5 %")</f>
        <v>+ 8,5 %</v>
      </c>
      <c r="E15" s="1" t="str">
        <f>IFERROR(__xludf.DUMMYFUNCTION("""COMPUTED_VALUE"""),"+ 14,9 %")</f>
        <v>+ 14,9 %</v>
      </c>
    </row>
    <row r="16">
      <c r="A16" s="2">
        <f>IFERROR(__xludf.DUMMYFUNCTION("""COMPUTED_VALUE"""),45748.0)</f>
        <v>45748</v>
      </c>
      <c r="B16" s="1" t="str">
        <f>IFERROR(__xludf.DUMMYFUNCTION("""COMPUTED_VALUE"""),"3.132 €/m2")</f>
        <v>3.132 €/m2</v>
      </c>
      <c r="C16" s="1" t="str">
        <f>IFERROR(__xludf.DUMMYFUNCTION("""COMPUTED_VALUE"""),"+ 3,3 %")</f>
        <v>+ 3,3 %</v>
      </c>
      <c r="D16" s="1" t="str">
        <f>IFERROR(__xludf.DUMMYFUNCTION("""COMPUTED_VALUE"""),"+ 5,7 %")</f>
        <v>+ 5,7 %</v>
      </c>
      <c r="E16" s="1" t="str">
        <f>IFERROR(__xludf.DUMMYFUNCTION("""COMPUTED_VALUE"""),"+ 11,4 %")</f>
        <v>+ 11,4 %</v>
      </c>
    </row>
    <row r="17">
      <c r="A17" s="2">
        <f>IFERROR(__xludf.DUMMYFUNCTION("""COMPUTED_VALUE"""),45717.0)</f>
        <v>45717</v>
      </c>
      <c r="B17" s="1" t="str">
        <f>IFERROR(__xludf.DUMMYFUNCTION("""COMPUTED_VALUE"""),"3.032 €/m2")</f>
        <v>3.032 €/m2</v>
      </c>
      <c r="C17" s="1" t="str">
        <f>IFERROR(__xludf.DUMMYFUNCTION("""COMPUTED_VALUE"""),"+ 1,8 %")</f>
        <v>+ 1,8 %</v>
      </c>
      <c r="D17" s="1" t="str">
        <f>IFERROR(__xludf.DUMMYFUNCTION("""COMPUTED_VALUE"""),"- 2,8 %")</f>
        <v>- 2,8 %</v>
      </c>
      <c r="E17" s="1" t="str">
        <f>IFERROR(__xludf.DUMMYFUNCTION("""COMPUTED_VALUE"""),"+ 8,3 %")</f>
        <v>+ 8,3 %</v>
      </c>
    </row>
    <row r="18">
      <c r="A18" s="2">
        <f>IFERROR(__xludf.DUMMYFUNCTION("""COMPUTED_VALUE"""),45689.0)</f>
        <v>45689</v>
      </c>
      <c r="B18" s="1" t="str">
        <f>IFERROR(__xludf.DUMMYFUNCTION("""COMPUTED_VALUE"""),"2.978 €/m2")</f>
        <v>2.978 €/m2</v>
      </c>
      <c r="C18" s="1" t="str">
        <f>IFERROR(__xludf.DUMMYFUNCTION("""COMPUTED_VALUE"""),"+ 0,5 %")</f>
        <v>+ 0,5 %</v>
      </c>
      <c r="D18" s="1" t="str">
        <f>IFERROR(__xludf.DUMMYFUNCTION("""COMPUTED_VALUE"""),"- 0,4 %")</f>
        <v>- 0,4 %</v>
      </c>
      <c r="E18" s="1" t="str">
        <f>IFERROR(__xludf.DUMMYFUNCTION("""COMPUTED_VALUE"""),"+ 7,4 %")</f>
        <v>+ 7,4 %</v>
      </c>
    </row>
    <row r="19">
      <c r="A19" s="2">
        <f>IFERROR(__xludf.DUMMYFUNCTION("""COMPUTED_VALUE"""),45658.0)</f>
        <v>45658</v>
      </c>
      <c r="B19" s="1" t="str">
        <f>IFERROR(__xludf.DUMMYFUNCTION("""COMPUTED_VALUE"""),"2.962 €/m2")</f>
        <v>2.962 €/m2</v>
      </c>
      <c r="C19" s="1" t="str">
        <f>IFERROR(__xludf.DUMMYFUNCTION("""COMPUTED_VALUE"""),"- 5,0 %")</f>
        <v>- 5,0 %</v>
      </c>
      <c r="D19" s="1" t="str">
        <f>IFERROR(__xludf.DUMMYFUNCTION("""COMPUTED_VALUE"""),"+ 1,8 %")</f>
        <v>+ 1,8 %</v>
      </c>
      <c r="E19" s="1" t="str">
        <f>IFERROR(__xludf.DUMMYFUNCTION("""COMPUTED_VALUE"""),"+ 7,4 %")</f>
        <v>+ 7,4 %</v>
      </c>
    </row>
    <row r="20">
      <c r="A20" s="2">
        <f>IFERROR(__xludf.DUMMYFUNCTION("""COMPUTED_VALUE"""),45627.0)</f>
        <v>45627</v>
      </c>
      <c r="B20" s="1" t="str">
        <f>IFERROR(__xludf.DUMMYFUNCTION("""COMPUTED_VALUE"""),"3.119 €/m2")</f>
        <v>3.119 €/m2</v>
      </c>
      <c r="C20" s="1" t="str">
        <f>IFERROR(__xludf.DUMMYFUNCTION("""COMPUTED_VALUE"""),"+ 4,4 %")</f>
        <v>+ 4,4 %</v>
      </c>
      <c r="D20" s="1" t="str">
        <f>IFERROR(__xludf.DUMMYFUNCTION("""COMPUTED_VALUE"""),"+ 7,6 %")</f>
        <v>+ 7,6 %</v>
      </c>
      <c r="E20" s="1" t="str">
        <f>IFERROR(__xludf.DUMMYFUNCTION("""COMPUTED_VALUE"""),"+ 15,9 %")</f>
        <v>+ 15,9 %</v>
      </c>
    </row>
    <row r="21">
      <c r="A21" s="2">
        <f>IFERROR(__xludf.DUMMYFUNCTION("""COMPUTED_VALUE"""),45597.0)</f>
        <v>45597</v>
      </c>
      <c r="B21" s="1" t="str">
        <f>IFERROR(__xludf.DUMMYFUNCTION("""COMPUTED_VALUE"""),"2.989 €/m2")</f>
        <v>2.989 €/m2</v>
      </c>
      <c r="C21" s="1" t="str">
        <f>IFERROR(__xludf.DUMMYFUNCTION("""COMPUTED_VALUE"""),"+ 2,7 %")</f>
        <v>+ 2,7 %</v>
      </c>
      <c r="D21" s="1" t="str">
        <f>IFERROR(__xludf.DUMMYFUNCTION("""COMPUTED_VALUE"""),"+ 3,3 %")</f>
        <v>+ 3,3 %</v>
      </c>
      <c r="E21" s="1" t="str">
        <f>IFERROR(__xludf.DUMMYFUNCTION("""COMPUTED_VALUE"""),"+ 11,1 %")</f>
        <v>+ 11,1 %</v>
      </c>
    </row>
    <row r="22">
      <c r="A22" s="2">
        <f>IFERROR(__xludf.DUMMYFUNCTION("""COMPUTED_VALUE"""),45566.0)</f>
        <v>45566</v>
      </c>
      <c r="B22" s="1" t="str">
        <f>IFERROR(__xludf.DUMMYFUNCTION("""COMPUTED_VALUE"""),"2.910 €/m2")</f>
        <v>2.910 €/m2</v>
      </c>
      <c r="C22" s="1" t="str">
        <f>IFERROR(__xludf.DUMMYFUNCTION("""COMPUTED_VALUE"""),"+ 0,4 %")</f>
        <v>+ 0,4 %</v>
      </c>
      <c r="D22" s="1" t="str">
        <f>IFERROR(__xludf.DUMMYFUNCTION("""COMPUTED_VALUE"""),"+ 1,3 %")</f>
        <v>+ 1,3 %</v>
      </c>
      <c r="E22" s="1" t="str">
        <f>IFERROR(__xludf.DUMMYFUNCTION("""COMPUTED_VALUE"""),"+ 6,5 %")</f>
        <v>+ 6,5 %</v>
      </c>
    </row>
    <row r="23">
      <c r="A23" s="2">
        <f>IFERROR(__xludf.DUMMYFUNCTION("""COMPUTED_VALUE"""),45536.0)</f>
        <v>45536</v>
      </c>
      <c r="B23" s="1" t="str">
        <f>IFERROR(__xludf.DUMMYFUNCTION("""COMPUTED_VALUE"""),"2.899 €/m2")</f>
        <v>2.899 €/m2</v>
      </c>
      <c r="C23" s="1" t="str">
        <f>IFERROR(__xludf.DUMMYFUNCTION("""COMPUTED_VALUE"""),"+ 0,1 %")</f>
        <v>+ 0,1 %</v>
      </c>
      <c r="D23" s="1" t="str">
        <f>IFERROR(__xludf.DUMMYFUNCTION("""COMPUTED_VALUE"""),"+ 2,5 %")</f>
        <v>+ 2,5 %</v>
      </c>
      <c r="E23" s="1" t="str">
        <f>IFERROR(__xludf.DUMMYFUNCTION("""COMPUTED_VALUE"""),"+ 8,1 %")</f>
        <v>+ 8,1 %</v>
      </c>
    </row>
    <row r="24">
      <c r="A24" s="2">
        <f>IFERROR(__xludf.DUMMYFUNCTION("""COMPUTED_VALUE"""),45505.0)</f>
        <v>45505</v>
      </c>
      <c r="B24" s="1" t="str">
        <f>IFERROR(__xludf.DUMMYFUNCTION("""COMPUTED_VALUE"""),"2.895 €/m2")</f>
        <v>2.895 €/m2</v>
      </c>
      <c r="C24" s="1" t="str">
        <f>IFERROR(__xludf.DUMMYFUNCTION("""COMPUTED_VALUE"""),"+ 0,8 %")</f>
        <v>+ 0,8 %</v>
      </c>
      <c r="D24" s="1" t="str">
        <f>IFERROR(__xludf.DUMMYFUNCTION("""COMPUTED_VALUE"""),"+ 2,9 %")</f>
        <v>+ 2,9 %</v>
      </c>
      <c r="E24" s="1" t="str">
        <f>IFERROR(__xludf.DUMMYFUNCTION("""COMPUTED_VALUE"""),"+ 8,9 %")</f>
        <v>+ 8,9 %</v>
      </c>
    </row>
    <row r="25">
      <c r="A25" s="2">
        <f>IFERROR(__xludf.DUMMYFUNCTION("""COMPUTED_VALUE"""),45474.0)</f>
        <v>45474</v>
      </c>
      <c r="B25" s="1" t="str">
        <f>IFERROR(__xludf.DUMMYFUNCTION("""COMPUTED_VALUE"""),"2.873 €/m2")</f>
        <v>2.873 €/m2</v>
      </c>
      <c r="C25" s="1" t="str">
        <f>IFERROR(__xludf.DUMMYFUNCTION("""COMPUTED_VALUE"""),"+ 1,5 %")</f>
        <v>+ 1,5 %</v>
      </c>
      <c r="D25" s="1" t="str">
        <f>IFERROR(__xludf.DUMMYFUNCTION("""COMPUTED_VALUE"""),"+ 2,2 %")</f>
        <v>+ 2,2 %</v>
      </c>
      <c r="E25" s="1" t="str">
        <f>IFERROR(__xludf.DUMMYFUNCTION("""COMPUTED_VALUE"""),"+ 9,7 %")</f>
        <v>+ 9,7 %</v>
      </c>
    </row>
    <row r="26">
      <c r="A26" s="2">
        <f>IFERROR(__xludf.DUMMYFUNCTION("""COMPUTED_VALUE"""),45444.0)</f>
        <v>45444</v>
      </c>
      <c r="B26" s="1" t="str">
        <f>IFERROR(__xludf.DUMMYFUNCTION("""COMPUTED_VALUE"""),"2.830 €/m2")</f>
        <v>2.830 €/m2</v>
      </c>
      <c r="C26" s="1" t="str">
        <f>IFERROR(__xludf.DUMMYFUNCTION("""COMPUTED_VALUE"""),"+ 0,6 %")</f>
        <v>+ 0,6 %</v>
      </c>
      <c r="D26" s="1" t="str">
        <f>IFERROR(__xludf.DUMMYFUNCTION("""COMPUTED_VALUE"""),"+ 1,0 %")</f>
        <v>+ 1,0 %</v>
      </c>
      <c r="E26" s="1" t="str">
        <f>IFERROR(__xludf.DUMMYFUNCTION("""COMPUTED_VALUE"""),"+ 7,2 %")</f>
        <v>+ 7,2 %</v>
      </c>
    </row>
    <row r="27">
      <c r="A27" s="2">
        <f>IFERROR(__xludf.DUMMYFUNCTION("""COMPUTED_VALUE"""),45413.0)</f>
        <v>45413</v>
      </c>
      <c r="B27" s="1" t="str">
        <f>IFERROR(__xludf.DUMMYFUNCTION("""COMPUTED_VALUE"""),"2.812 €/m2")</f>
        <v>2.812 €/m2</v>
      </c>
      <c r="C27" s="1" t="str">
        <f>IFERROR(__xludf.DUMMYFUNCTION("""COMPUTED_VALUE"""),"0,0 %")</f>
        <v>0,0 %</v>
      </c>
      <c r="D27" s="1" t="str">
        <f>IFERROR(__xludf.DUMMYFUNCTION("""COMPUTED_VALUE"""),"+ 1,4 %")</f>
        <v>+ 1,4 %</v>
      </c>
      <c r="E27" s="1" t="str">
        <f>IFERROR(__xludf.DUMMYFUNCTION("""COMPUTED_VALUE"""),"+ 4,6 %")</f>
        <v>+ 4,6 %</v>
      </c>
    </row>
    <row r="28">
      <c r="A28" s="2">
        <f>IFERROR(__xludf.DUMMYFUNCTION("""COMPUTED_VALUE"""),45383.0)</f>
        <v>45383</v>
      </c>
      <c r="B28" s="1" t="str">
        <f>IFERROR(__xludf.DUMMYFUNCTION("""COMPUTED_VALUE"""),"2.812 €/m2")</f>
        <v>2.812 €/m2</v>
      </c>
      <c r="C28" s="1" t="str">
        <f>IFERROR(__xludf.DUMMYFUNCTION("""COMPUTED_VALUE"""),"+ 0,4 %")</f>
        <v>+ 0,4 %</v>
      </c>
      <c r="D28" s="1" t="str">
        <f>IFERROR(__xludf.DUMMYFUNCTION("""COMPUTED_VALUE"""),"+ 1,9 %")</f>
        <v>+ 1,9 %</v>
      </c>
      <c r="E28" s="1" t="str">
        <f>IFERROR(__xludf.DUMMYFUNCTION("""COMPUTED_VALUE"""),"+ 6,2 %")</f>
        <v>+ 6,2 %</v>
      </c>
    </row>
    <row r="29">
      <c r="A29" s="2">
        <f>IFERROR(__xludf.DUMMYFUNCTION("""COMPUTED_VALUE"""),45352.0)</f>
        <v>45352</v>
      </c>
      <c r="B29" s="1" t="str">
        <f>IFERROR(__xludf.DUMMYFUNCTION("""COMPUTED_VALUE"""),"2.800 €/m2")</f>
        <v>2.800 €/m2</v>
      </c>
      <c r="C29" s="1" t="str">
        <f>IFERROR(__xludf.DUMMYFUNCTION("""COMPUTED_VALUE"""),"+ 1,0 %")</f>
        <v>+ 1,0 %</v>
      </c>
      <c r="D29" s="1" t="str">
        <f>IFERROR(__xludf.DUMMYFUNCTION("""COMPUTED_VALUE"""),"+ 4,1 %")</f>
        <v>+ 4,1 %</v>
      </c>
      <c r="E29" s="1" t="str">
        <f>IFERROR(__xludf.DUMMYFUNCTION("""COMPUTED_VALUE"""),"+ 7,5 %")</f>
        <v>+ 7,5 %</v>
      </c>
    </row>
    <row r="30">
      <c r="A30" s="2">
        <f>IFERROR(__xludf.DUMMYFUNCTION("""COMPUTED_VALUE"""),45323.0)</f>
        <v>45323</v>
      </c>
      <c r="B30" s="1" t="str">
        <f>IFERROR(__xludf.DUMMYFUNCTION("""COMPUTED_VALUE"""),"2.772 €/m2")</f>
        <v>2.772 €/m2</v>
      </c>
      <c r="C30" s="1" t="str">
        <f>IFERROR(__xludf.DUMMYFUNCTION("""COMPUTED_VALUE"""),"+ 0,5 %")</f>
        <v>+ 0,5 %</v>
      </c>
      <c r="D30" s="1" t="str">
        <f>IFERROR(__xludf.DUMMYFUNCTION("""COMPUTED_VALUE"""),"+ 3,0 %")</f>
        <v>+ 3,0 %</v>
      </c>
      <c r="E30" s="1" t="str">
        <f>IFERROR(__xludf.DUMMYFUNCTION("""COMPUTED_VALUE"""),"+ 8,8 %")</f>
        <v>+ 8,8 %</v>
      </c>
    </row>
    <row r="31">
      <c r="A31" s="2">
        <f>IFERROR(__xludf.DUMMYFUNCTION("""COMPUTED_VALUE"""),45292.0)</f>
        <v>45292</v>
      </c>
      <c r="B31" s="1" t="str">
        <f>IFERROR(__xludf.DUMMYFUNCTION("""COMPUTED_VALUE"""),"2.758 €/m2")</f>
        <v>2.758 €/m2</v>
      </c>
      <c r="C31" s="1" t="str">
        <f>IFERROR(__xludf.DUMMYFUNCTION("""COMPUTED_VALUE"""),"+ 2,5 %")</f>
        <v>+ 2,5 %</v>
      </c>
      <c r="D31" s="1" t="str">
        <f>IFERROR(__xludf.DUMMYFUNCTION("""COMPUTED_VALUE"""),"+ 1,0 %")</f>
        <v>+ 1,0 %</v>
      </c>
      <c r="E31" s="1" t="str">
        <f>IFERROR(__xludf.DUMMYFUNCTION("""COMPUTED_VALUE"""),"+ 8,0 %")</f>
        <v>+ 8,0 %</v>
      </c>
    </row>
    <row r="32">
      <c r="A32" s="2">
        <f>IFERROR(__xludf.DUMMYFUNCTION("""COMPUTED_VALUE"""),45261.0)</f>
        <v>45261</v>
      </c>
      <c r="B32" s="1" t="str">
        <f>IFERROR(__xludf.DUMMYFUNCTION("""COMPUTED_VALUE"""),"2.691 €/m2")</f>
        <v>2.691 €/m2</v>
      </c>
      <c r="C32" s="1" t="str">
        <f>IFERROR(__xludf.DUMMYFUNCTION("""COMPUTED_VALUE"""),"0,0 %")</f>
        <v>0,0 %</v>
      </c>
      <c r="D32" s="1" t="str">
        <f>IFERROR(__xludf.DUMMYFUNCTION("""COMPUTED_VALUE"""),"+ 0,3 %")</f>
        <v>+ 0,3 %</v>
      </c>
      <c r="E32" s="1" t="str">
        <f>IFERROR(__xludf.DUMMYFUNCTION("""COMPUTED_VALUE"""),"+ 6,8 %")</f>
        <v>+ 6,8 %</v>
      </c>
    </row>
    <row r="33">
      <c r="A33" s="2">
        <f>IFERROR(__xludf.DUMMYFUNCTION("""COMPUTED_VALUE"""),45231.0)</f>
        <v>45231</v>
      </c>
      <c r="B33" s="1" t="str">
        <f>IFERROR(__xludf.DUMMYFUNCTION("""COMPUTED_VALUE"""),"2.691 €/m2")</f>
        <v>2.691 €/m2</v>
      </c>
      <c r="C33" s="1" t="str">
        <f>IFERROR(__xludf.DUMMYFUNCTION("""COMPUTED_VALUE"""),"- 1,5 %")</f>
        <v>- 1,5 %</v>
      </c>
      <c r="D33" s="1" t="str">
        <f>IFERROR(__xludf.DUMMYFUNCTION("""COMPUTED_VALUE"""),"+ 1,2 %")</f>
        <v>+ 1,2 %</v>
      </c>
      <c r="E33" s="1" t="str">
        <f>IFERROR(__xludf.DUMMYFUNCTION("""COMPUTED_VALUE"""),"+ 7,3 %")</f>
        <v>+ 7,3 %</v>
      </c>
    </row>
    <row r="34">
      <c r="A34" s="2">
        <f>IFERROR(__xludf.DUMMYFUNCTION("""COMPUTED_VALUE"""),45200.0)</f>
        <v>45200</v>
      </c>
      <c r="B34" s="1" t="str">
        <f>IFERROR(__xludf.DUMMYFUNCTION("""COMPUTED_VALUE"""),"2.732 €/m2")</f>
        <v>2.732 €/m2</v>
      </c>
      <c r="C34" s="1" t="str">
        <f>IFERROR(__xludf.DUMMYFUNCTION("""COMPUTED_VALUE"""),"+ 1,8 %")</f>
        <v>+ 1,8 %</v>
      </c>
      <c r="D34" s="1" t="str">
        <f>IFERROR(__xludf.DUMMYFUNCTION("""COMPUTED_VALUE"""),"+ 4,3 %")</f>
        <v>+ 4,3 %</v>
      </c>
      <c r="E34" s="1" t="str">
        <f>IFERROR(__xludf.DUMMYFUNCTION("""COMPUTED_VALUE"""),"+ 9,8 %")</f>
        <v>+ 9,8 %</v>
      </c>
    </row>
    <row r="35">
      <c r="A35" s="2">
        <f>IFERROR(__xludf.DUMMYFUNCTION("""COMPUTED_VALUE"""),45170.0)</f>
        <v>45170</v>
      </c>
      <c r="B35" s="1" t="str">
        <f>IFERROR(__xludf.DUMMYFUNCTION("""COMPUTED_VALUE"""),"2.683 €/m2")</f>
        <v>2.683 €/m2</v>
      </c>
      <c r="C35" s="1" t="str">
        <f>IFERROR(__xludf.DUMMYFUNCTION("""COMPUTED_VALUE"""),"+ 0,9 %")</f>
        <v>+ 0,9 %</v>
      </c>
      <c r="D35" s="1" t="str">
        <f>IFERROR(__xludf.DUMMYFUNCTION("""COMPUTED_VALUE"""),"+ 1,6 %")</f>
        <v>+ 1,6 %</v>
      </c>
      <c r="E35" s="1" t="str">
        <f>IFERROR(__xludf.DUMMYFUNCTION("""COMPUTED_VALUE"""),"+ 9,3 %")</f>
        <v>+ 9,3 %</v>
      </c>
    </row>
    <row r="36">
      <c r="A36" s="2">
        <f>IFERROR(__xludf.DUMMYFUNCTION("""COMPUTED_VALUE"""),45139.0)</f>
        <v>45139</v>
      </c>
      <c r="B36" s="1" t="str">
        <f>IFERROR(__xludf.DUMMYFUNCTION("""COMPUTED_VALUE"""),"2.659 €/m2")</f>
        <v>2.659 €/m2</v>
      </c>
      <c r="C36" s="1" t="str">
        <f>IFERROR(__xludf.DUMMYFUNCTION("""COMPUTED_VALUE"""),"+ 1,5 %")</f>
        <v>+ 1,5 %</v>
      </c>
      <c r="D36" s="1" t="str">
        <f>IFERROR(__xludf.DUMMYFUNCTION("""COMPUTED_VALUE"""),"- 1,1 %")</f>
        <v>- 1,1 %</v>
      </c>
      <c r="E36" s="1" t="str">
        <f>IFERROR(__xludf.DUMMYFUNCTION("""COMPUTED_VALUE"""),"+ 4,6 %")</f>
        <v>+ 4,6 %</v>
      </c>
    </row>
    <row r="37">
      <c r="A37" s="2">
        <f>IFERROR(__xludf.DUMMYFUNCTION("""COMPUTED_VALUE"""),45108.0)</f>
        <v>45108</v>
      </c>
      <c r="B37" s="1" t="str">
        <f>IFERROR(__xludf.DUMMYFUNCTION("""COMPUTED_VALUE"""),"2.620 €/m2")</f>
        <v>2.620 €/m2</v>
      </c>
      <c r="C37" s="1" t="str">
        <f>IFERROR(__xludf.DUMMYFUNCTION("""COMPUTED_VALUE"""),"- 0,8 %")</f>
        <v>- 0,8 %</v>
      </c>
      <c r="D37" s="1" t="str">
        <f>IFERROR(__xludf.DUMMYFUNCTION("""COMPUTED_VALUE"""),"- 1,1 %")</f>
        <v>- 1,1 %</v>
      </c>
      <c r="E37" s="1" t="str">
        <f>IFERROR(__xludf.DUMMYFUNCTION("""COMPUTED_VALUE"""),"+ 4,2 %")</f>
        <v>+ 4,2 %</v>
      </c>
    </row>
    <row r="38">
      <c r="A38" s="2">
        <f>IFERROR(__xludf.DUMMYFUNCTION("""COMPUTED_VALUE"""),45078.0)</f>
        <v>45078</v>
      </c>
      <c r="B38" s="1" t="str">
        <f>IFERROR(__xludf.DUMMYFUNCTION("""COMPUTED_VALUE"""),"2.640 €/m2")</f>
        <v>2.640 €/m2</v>
      </c>
      <c r="C38" s="1" t="str">
        <f>IFERROR(__xludf.DUMMYFUNCTION("""COMPUTED_VALUE"""),"- 1,8 %")</f>
        <v>- 1,8 %</v>
      </c>
      <c r="D38" s="1" t="str">
        <f>IFERROR(__xludf.DUMMYFUNCTION("""COMPUTED_VALUE"""),"+ 1,4 %")</f>
        <v>+ 1,4 %</v>
      </c>
      <c r="E38" s="1" t="str">
        <f>IFERROR(__xludf.DUMMYFUNCTION("""COMPUTED_VALUE"""),"+ 3,5 %")</f>
        <v>+ 3,5 %</v>
      </c>
    </row>
    <row r="39">
      <c r="A39" s="2">
        <f>IFERROR(__xludf.DUMMYFUNCTION("""COMPUTED_VALUE"""),45047.0)</f>
        <v>45047</v>
      </c>
      <c r="B39" s="1" t="str">
        <f>IFERROR(__xludf.DUMMYFUNCTION("""COMPUTED_VALUE"""),"2.688 €/m2")</f>
        <v>2.688 €/m2</v>
      </c>
      <c r="C39" s="1" t="str">
        <f>IFERROR(__xludf.DUMMYFUNCTION("""COMPUTED_VALUE"""),"+ 1,5 %")</f>
        <v>+ 1,5 %</v>
      </c>
      <c r="D39" s="1" t="str">
        <f>IFERROR(__xludf.DUMMYFUNCTION("""COMPUTED_VALUE"""),"+ 5,4 %")</f>
        <v>+ 5,4 %</v>
      </c>
      <c r="E39" s="1" t="str">
        <f>IFERROR(__xludf.DUMMYFUNCTION("""COMPUTED_VALUE"""),"+ 7,0 %")</f>
        <v>+ 7,0 %</v>
      </c>
    </row>
    <row r="40">
      <c r="A40" s="2">
        <f>IFERROR(__xludf.DUMMYFUNCTION("""COMPUTED_VALUE"""),45017.0)</f>
        <v>45017</v>
      </c>
      <c r="B40" s="1" t="str">
        <f>IFERROR(__xludf.DUMMYFUNCTION("""COMPUTED_VALUE"""),"2.648 €/m2")</f>
        <v>2.648 €/m2</v>
      </c>
      <c r="C40" s="1" t="str">
        <f>IFERROR(__xludf.DUMMYFUNCTION("""COMPUTED_VALUE"""),"+ 1,6 %")</f>
        <v>+ 1,6 %</v>
      </c>
      <c r="D40" s="1" t="str">
        <f>IFERROR(__xludf.DUMMYFUNCTION("""COMPUTED_VALUE"""),"+ 3,7 %")</f>
        <v>+ 3,7 %</v>
      </c>
      <c r="E40" s="1" t="str">
        <f>IFERROR(__xludf.DUMMYFUNCTION("""COMPUTED_VALUE"""),"+ 6,4 %")</f>
        <v>+ 6,4 %</v>
      </c>
    </row>
    <row r="41">
      <c r="A41" s="2">
        <f>IFERROR(__xludf.DUMMYFUNCTION("""COMPUTED_VALUE"""),44986.0)</f>
        <v>44986</v>
      </c>
      <c r="B41" s="1" t="str">
        <f>IFERROR(__xludf.DUMMYFUNCTION("""COMPUTED_VALUE"""),"2.605 €/m2")</f>
        <v>2.605 €/m2</v>
      </c>
      <c r="C41" s="1" t="str">
        <f>IFERROR(__xludf.DUMMYFUNCTION("""COMPUTED_VALUE"""),"+ 2,2 %")</f>
        <v>+ 2,2 %</v>
      </c>
      <c r="D41" s="1" t="str">
        <f>IFERROR(__xludf.DUMMYFUNCTION("""COMPUTED_VALUE"""),"+ 3,4 %")</f>
        <v>+ 3,4 %</v>
      </c>
      <c r="E41" s="1" t="str">
        <f>IFERROR(__xludf.DUMMYFUNCTION("""COMPUTED_VALUE"""),"+ 6,0 %")</f>
        <v>+ 6,0 %</v>
      </c>
    </row>
    <row r="42">
      <c r="A42" s="2">
        <f>IFERROR(__xludf.DUMMYFUNCTION("""COMPUTED_VALUE"""),44958.0)</f>
        <v>44958</v>
      </c>
      <c r="B42" s="1" t="str">
        <f>IFERROR(__xludf.DUMMYFUNCTION("""COMPUTED_VALUE"""),"2.549 €/m2")</f>
        <v>2.549 €/m2</v>
      </c>
      <c r="C42" s="1" t="str">
        <f>IFERROR(__xludf.DUMMYFUNCTION("""COMPUTED_VALUE"""),"- 0,2 %")</f>
        <v>- 0,2 %</v>
      </c>
      <c r="D42" s="1" t="str">
        <f>IFERROR(__xludf.DUMMYFUNCTION("""COMPUTED_VALUE"""),"+ 1,7 %")</f>
        <v>+ 1,7 %</v>
      </c>
      <c r="E42" s="1" t="str">
        <f>IFERROR(__xludf.DUMMYFUNCTION("""COMPUTED_VALUE"""),"+ 5,9 %")</f>
        <v>+ 5,9 %</v>
      </c>
    </row>
    <row r="43">
      <c r="A43" s="2">
        <f>IFERROR(__xludf.DUMMYFUNCTION("""COMPUTED_VALUE"""),44927.0)</f>
        <v>44927</v>
      </c>
      <c r="B43" s="1" t="str">
        <f>IFERROR(__xludf.DUMMYFUNCTION("""COMPUTED_VALUE"""),"2.554 €/m2")</f>
        <v>2.554 €/m2</v>
      </c>
      <c r="C43" s="1" t="str">
        <f>IFERROR(__xludf.DUMMYFUNCTION("""COMPUTED_VALUE"""),"+ 1,4 %")</f>
        <v>+ 1,4 %</v>
      </c>
      <c r="D43" s="1" t="str">
        <f>IFERROR(__xludf.DUMMYFUNCTION("""COMPUTED_VALUE"""),"+ 2,6 %")</f>
        <v>+ 2,6 %</v>
      </c>
      <c r="E43" s="1" t="str">
        <f>IFERROR(__xludf.DUMMYFUNCTION("""COMPUTED_VALUE"""),"+ 6,1 %")</f>
        <v>+ 6,1 %</v>
      </c>
    </row>
    <row r="44">
      <c r="A44" s="2">
        <f>IFERROR(__xludf.DUMMYFUNCTION("""COMPUTED_VALUE"""),44896.0)</f>
        <v>44896</v>
      </c>
      <c r="B44" s="1" t="str">
        <f>IFERROR(__xludf.DUMMYFUNCTION("""COMPUTED_VALUE"""),"2.519 €/m2")</f>
        <v>2.519 €/m2</v>
      </c>
      <c r="C44" s="1" t="str">
        <f>IFERROR(__xludf.DUMMYFUNCTION("""COMPUTED_VALUE"""),"+ 0,5 %")</f>
        <v>+ 0,5 %</v>
      </c>
      <c r="D44" s="1" t="str">
        <f>IFERROR(__xludf.DUMMYFUNCTION("""COMPUTED_VALUE"""),"+ 2,6 %")</f>
        <v>+ 2,6 %</v>
      </c>
      <c r="E44" s="1" t="str">
        <f>IFERROR(__xludf.DUMMYFUNCTION("""COMPUTED_VALUE"""),"+ 5,0 %")</f>
        <v>+ 5,0 %</v>
      </c>
    </row>
    <row r="45">
      <c r="A45" s="2">
        <f>IFERROR(__xludf.DUMMYFUNCTION("""COMPUTED_VALUE"""),44866.0)</f>
        <v>44866</v>
      </c>
      <c r="B45" s="1" t="str">
        <f>IFERROR(__xludf.DUMMYFUNCTION("""COMPUTED_VALUE"""),"2.507 €/m2")</f>
        <v>2.507 €/m2</v>
      </c>
      <c r="C45" s="1" t="str">
        <f>IFERROR(__xludf.DUMMYFUNCTION("""COMPUTED_VALUE"""),"+ 0,7 %")</f>
        <v>+ 0,7 %</v>
      </c>
      <c r="D45" s="1" t="str">
        <f>IFERROR(__xludf.DUMMYFUNCTION("""COMPUTED_VALUE"""),"- 1,4 %")</f>
        <v>- 1,4 %</v>
      </c>
      <c r="E45" s="1" t="str">
        <f>IFERROR(__xludf.DUMMYFUNCTION("""COMPUTED_VALUE"""),"+ 4,0 %")</f>
        <v>+ 4,0 %</v>
      </c>
    </row>
    <row r="46">
      <c r="A46" s="2">
        <f>IFERROR(__xludf.DUMMYFUNCTION("""COMPUTED_VALUE"""),44835.0)</f>
        <v>44835</v>
      </c>
      <c r="B46" s="1" t="str">
        <f>IFERROR(__xludf.DUMMYFUNCTION("""COMPUTED_VALUE"""),"2.488 €/m2")</f>
        <v>2.488 €/m2</v>
      </c>
      <c r="C46" s="1" t="str">
        <f>IFERROR(__xludf.DUMMYFUNCTION("""COMPUTED_VALUE"""),"+ 1,3 %")</f>
        <v>+ 1,3 %</v>
      </c>
      <c r="D46" s="1" t="str">
        <f>IFERROR(__xludf.DUMMYFUNCTION("""COMPUTED_VALUE"""),"- 1,0 %")</f>
        <v>- 1,0 %</v>
      </c>
      <c r="E46" s="1" t="str">
        <f>IFERROR(__xludf.DUMMYFUNCTION("""COMPUTED_VALUE"""),"+ 3,6 %")</f>
        <v>+ 3,6 %</v>
      </c>
    </row>
    <row r="47">
      <c r="A47" s="2">
        <f>IFERROR(__xludf.DUMMYFUNCTION("""COMPUTED_VALUE"""),44805.0)</f>
        <v>44805</v>
      </c>
      <c r="B47" s="1" t="str">
        <f>IFERROR(__xludf.DUMMYFUNCTION("""COMPUTED_VALUE"""),"2.456 €/m2")</f>
        <v>2.456 €/m2</v>
      </c>
      <c r="C47" s="1" t="str">
        <f>IFERROR(__xludf.DUMMYFUNCTION("""COMPUTED_VALUE"""),"- 3,4 %")</f>
        <v>- 3,4 %</v>
      </c>
      <c r="D47" s="1" t="str">
        <f>IFERROR(__xludf.DUMMYFUNCTION("""COMPUTED_VALUE"""),"- 3,7 %")</f>
        <v>- 3,7 %</v>
      </c>
      <c r="E47" s="1" t="str">
        <f>IFERROR(__xludf.DUMMYFUNCTION("""COMPUTED_VALUE"""),"+ 1,4 %")</f>
        <v>+ 1,4 %</v>
      </c>
    </row>
    <row r="48">
      <c r="A48" s="2">
        <f>IFERROR(__xludf.DUMMYFUNCTION("""COMPUTED_VALUE"""),44774.0)</f>
        <v>44774</v>
      </c>
      <c r="B48" s="1" t="str">
        <f>IFERROR(__xludf.DUMMYFUNCTION("""COMPUTED_VALUE"""),"2.542 €/m2")</f>
        <v>2.542 €/m2</v>
      </c>
      <c r="C48" s="1" t="str">
        <f>IFERROR(__xludf.DUMMYFUNCTION("""COMPUTED_VALUE"""),"+ 1,1 %")</f>
        <v>+ 1,1 %</v>
      </c>
      <c r="D48" s="1" t="str">
        <f>IFERROR(__xludf.DUMMYFUNCTION("""COMPUTED_VALUE"""),"+ 1,2 %")</f>
        <v>+ 1,2 %</v>
      </c>
      <c r="E48" s="1" t="str">
        <f>IFERROR(__xludf.DUMMYFUNCTION("""COMPUTED_VALUE"""),"+ 5,0 %")</f>
        <v>+ 5,0 %</v>
      </c>
    </row>
    <row r="49">
      <c r="A49" s="2">
        <f>IFERROR(__xludf.DUMMYFUNCTION("""COMPUTED_VALUE"""),44743.0)</f>
        <v>44743</v>
      </c>
      <c r="B49" s="1" t="str">
        <f>IFERROR(__xludf.DUMMYFUNCTION("""COMPUTED_VALUE"""),"2.514 €/m2")</f>
        <v>2.514 €/m2</v>
      </c>
      <c r="C49" s="1" t="str">
        <f>IFERROR(__xludf.DUMMYFUNCTION("""COMPUTED_VALUE"""),"- 1,4 %")</f>
        <v>- 1,4 %</v>
      </c>
      <c r="D49" s="1" t="str">
        <f>IFERROR(__xludf.DUMMYFUNCTION("""COMPUTED_VALUE"""),"+ 1,0 %")</f>
        <v>+ 1,0 %</v>
      </c>
      <c r="E49" s="1" t="str">
        <f>IFERROR(__xludf.DUMMYFUNCTION("""COMPUTED_VALUE"""),"+ 3,7 %")</f>
        <v>+ 3,7 %</v>
      </c>
    </row>
    <row r="50">
      <c r="A50" s="2">
        <f>IFERROR(__xludf.DUMMYFUNCTION("""COMPUTED_VALUE"""),44713.0)</f>
        <v>44713</v>
      </c>
      <c r="B50" s="1" t="str">
        <f>IFERROR(__xludf.DUMMYFUNCTION("""COMPUTED_VALUE"""),"2.550 €/m2")</f>
        <v>2.550 €/m2</v>
      </c>
      <c r="C50" s="1" t="str">
        <f>IFERROR(__xludf.DUMMYFUNCTION("""COMPUTED_VALUE"""),"+ 1,5 %")</f>
        <v>+ 1,5 %</v>
      </c>
      <c r="D50" s="1" t="str">
        <f>IFERROR(__xludf.DUMMYFUNCTION("""COMPUTED_VALUE"""),"+ 3,8 %")</f>
        <v>+ 3,8 %</v>
      </c>
      <c r="E50" s="1" t="str">
        <f>IFERROR(__xludf.DUMMYFUNCTION("""COMPUTED_VALUE"""),"+ 7,5 %")</f>
        <v>+ 7,5 %</v>
      </c>
    </row>
    <row r="51">
      <c r="A51" s="2">
        <f>IFERROR(__xludf.DUMMYFUNCTION("""COMPUTED_VALUE"""),44682.0)</f>
        <v>44682</v>
      </c>
      <c r="B51" s="1" t="str">
        <f>IFERROR(__xludf.DUMMYFUNCTION("""COMPUTED_VALUE"""),"2.512 €/m2")</f>
        <v>2.512 €/m2</v>
      </c>
      <c r="C51" s="1" t="str">
        <f>IFERROR(__xludf.DUMMYFUNCTION("""COMPUTED_VALUE"""),"+ 1,0 %")</f>
        <v>+ 1,0 %</v>
      </c>
      <c r="D51" s="1" t="str">
        <f>IFERROR(__xludf.DUMMYFUNCTION("""COMPUTED_VALUE"""),"+ 4,4 %")</f>
        <v>+ 4,4 %</v>
      </c>
      <c r="E51" s="1" t="str">
        <f>IFERROR(__xludf.DUMMYFUNCTION("""COMPUTED_VALUE"""),"+ 7,2 %")</f>
        <v>+ 7,2 %</v>
      </c>
    </row>
    <row r="52">
      <c r="A52" s="2">
        <f>IFERROR(__xludf.DUMMYFUNCTION("""COMPUTED_VALUE"""),44652.0)</f>
        <v>44652</v>
      </c>
      <c r="B52" s="1" t="str">
        <f>IFERROR(__xludf.DUMMYFUNCTION("""COMPUTED_VALUE"""),"2.489 €/m2")</f>
        <v>2.489 €/m2</v>
      </c>
      <c r="C52" s="1" t="str">
        <f>IFERROR(__xludf.DUMMYFUNCTION("""COMPUTED_VALUE"""),"+ 1,2 %")</f>
        <v>+ 1,2 %</v>
      </c>
      <c r="D52" s="1" t="str">
        <f>IFERROR(__xludf.DUMMYFUNCTION("""COMPUTED_VALUE"""),"+ 3,4 %")</f>
        <v>+ 3,4 %</v>
      </c>
      <c r="E52" s="1" t="str">
        <f>IFERROR(__xludf.DUMMYFUNCTION("""COMPUTED_VALUE"""),"+ 6,6 %")</f>
        <v>+ 6,6 %</v>
      </c>
    </row>
    <row r="53">
      <c r="A53" s="2">
        <f>IFERROR(__xludf.DUMMYFUNCTION("""COMPUTED_VALUE"""),44621.0)</f>
        <v>44621</v>
      </c>
      <c r="B53" s="1" t="str">
        <f>IFERROR(__xludf.DUMMYFUNCTION("""COMPUTED_VALUE"""),"2.458 €/m2")</f>
        <v>2.458 €/m2</v>
      </c>
      <c r="C53" s="1" t="str">
        <f>IFERROR(__xludf.DUMMYFUNCTION("""COMPUTED_VALUE"""),"+ 2,1 %")</f>
        <v>+ 2,1 %</v>
      </c>
      <c r="D53" s="1" t="str">
        <f>IFERROR(__xludf.DUMMYFUNCTION("""COMPUTED_VALUE"""),"+ 2,5 %")</f>
        <v>+ 2,5 %</v>
      </c>
      <c r="E53" s="1" t="str">
        <f>IFERROR(__xludf.DUMMYFUNCTION("""COMPUTED_VALUE"""),"+ 4,4 %")</f>
        <v>+ 4,4 %</v>
      </c>
    </row>
    <row r="54">
      <c r="A54" s="2">
        <f>IFERROR(__xludf.DUMMYFUNCTION("""COMPUTED_VALUE"""),44593.0)</f>
        <v>44593</v>
      </c>
      <c r="B54" s="1" t="str">
        <f>IFERROR(__xludf.DUMMYFUNCTION("""COMPUTED_VALUE"""),"2.407 €/m2")</f>
        <v>2.407 €/m2</v>
      </c>
      <c r="C54" s="1" t="str">
        <f>IFERROR(__xludf.DUMMYFUNCTION("""COMPUTED_VALUE"""),"0,0 %")</f>
        <v>0,0 %</v>
      </c>
      <c r="D54" s="1" t="str">
        <f>IFERROR(__xludf.DUMMYFUNCTION("""COMPUTED_VALUE"""),"- 0,1 %")</f>
        <v>- 0,1 %</v>
      </c>
      <c r="E54" s="1" t="str">
        <f>IFERROR(__xludf.DUMMYFUNCTION("""COMPUTED_VALUE"""),"+ 1,7 %")</f>
        <v>+ 1,7 %</v>
      </c>
    </row>
    <row r="55">
      <c r="A55" s="2">
        <f>IFERROR(__xludf.DUMMYFUNCTION("""COMPUTED_VALUE"""),44562.0)</f>
        <v>44562</v>
      </c>
      <c r="B55" s="1" t="str">
        <f>IFERROR(__xludf.DUMMYFUNCTION("""COMPUTED_VALUE"""),"2.407 €/m2")</f>
        <v>2.407 €/m2</v>
      </c>
      <c r="C55" s="1" t="str">
        <f>IFERROR(__xludf.DUMMYFUNCTION("""COMPUTED_VALUE"""),"+ 0,4 %")</f>
        <v>+ 0,4 %</v>
      </c>
      <c r="D55" s="1" t="str">
        <f>IFERROR(__xludf.DUMMYFUNCTION("""COMPUTED_VALUE"""),"+ 0,2 %")</f>
        <v>+ 0,2 %</v>
      </c>
      <c r="E55" s="1" t="str">
        <f>IFERROR(__xludf.DUMMYFUNCTION("""COMPUTED_VALUE"""),"+ 1,0 %")</f>
        <v>+ 1,0 %</v>
      </c>
    </row>
    <row r="56">
      <c r="A56" s="2">
        <f>IFERROR(__xludf.DUMMYFUNCTION("""COMPUTED_VALUE"""),44531.0)</f>
        <v>44531</v>
      </c>
      <c r="B56" s="1" t="str">
        <f>IFERROR(__xludf.DUMMYFUNCTION("""COMPUTED_VALUE"""),"2.398 €/m2")</f>
        <v>2.398 €/m2</v>
      </c>
      <c r="C56" s="1" t="str">
        <f>IFERROR(__xludf.DUMMYFUNCTION("""COMPUTED_VALUE"""),"- 0,5 %")</f>
        <v>- 0,5 %</v>
      </c>
      <c r="D56" s="1" t="str">
        <f>IFERROR(__xludf.DUMMYFUNCTION("""COMPUTED_VALUE"""),"- 1,0 %")</f>
        <v>- 1,0 %</v>
      </c>
      <c r="E56" s="1" t="str">
        <f>IFERROR(__xludf.DUMMYFUNCTION("""COMPUTED_VALUE"""),"+ 0,5 %")</f>
        <v>+ 0,5 %</v>
      </c>
    </row>
    <row r="57">
      <c r="A57" s="2">
        <f>IFERROR(__xludf.DUMMYFUNCTION("""COMPUTED_VALUE"""),44501.0)</f>
        <v>44501</v>
      </c>
      <c r="B57" s="1" t="str">
        <f>IFERROR(__xludf.DUMMYFUNCTION("""COMPUTED_VALUE"""),"2.410 €/m2")</f>
        <v>2.410 €/m2</v>
      </c>
      <c r="C57" s="1" t="str">
        <f>IFERROR(__xludf.DUMMYFUNCTION("""COMPUTED_VALUE"""),"+ 0,3 %")</f>
        <v>+ 0,3 %</v>
      </c>
      <c r="D57" s="1" t="str">
        <f>IFERROR(__xludf.DUMMYFUNCTION("""COMPUTED_VALUE"""),"- 0,5 %")</f>
        <v>- 0,5 %</v>
      </c>
      <c r="E57" s="1" t="str">
        <f>IFERROR(__xludf.DUMMYFUNCTION("""COMPUTED_VALUE"""),"+ 0,9 %")</f>
        <v>+ 0,9 %</v>
      </c>
    </row>
    <row r="58">
      <c r="A58" s="2">
        <f>IFERROR(__xludf.DUMMYFUNCTION("""COMPUTED_VALUE"""),44470.0)</f>
        <v>44470</v>
      </c>
      <c r="B58" s="1" t="str">
        <f>IFERROR(__xludf.DUMMYFUNCTION("""COMPUTED_VALUE"""),"2.402 €/m2")</f>
        <v>2.402 €/m2</v>
      </c>
      <c r="C58" s="1" t="str">
        <f>IFERROR(__xludf.DUMMYFUNCTION("""COMPUTED_VALUE"""),"- 0,8 %")</f>
        <v>- 0,8 %</v>
      </c>
      <c r="D58" s="1" t="str">
        <f>IFERROR(__xludf.DUMMYFUNCTION("""COMPUTED_VALUE"""),"- 1,0 %")</f>
        <v>- 1,0 %</v>
      </c>
      <c r="E58" s="1" t="str">
        <f>IFERROR(__xludf.DUMMYFUNCTION("""COMPUTED_VALUE"""),"+ 1,6 %")</f>
        <v>+ 1,6 %</v>
      </c>
    </row>
    <row r="59">
      <c r="A59" s="2">
        <f>IFERROR(__xludf.DUMMYFUNCTION("""COMPUTED_VALUE"""),44440.0)</f>
        <v>44440</v>
      </c>
      <c r="B59" s="1" t="str">
        <f>IFERROR(__xludf.DUMMYFUNCTION("""COMPUTED_VALUE"""),"2.422 €/m2")</f>
        <v>2.422 €/m2</v>
      </c>
      <c r="C59" s="1" t="str">
        <f>IFERROR(__xludf.DUMMYFUNCTION("""COMPUTED_VALUE"""),"0,0 %")</f>
        <v>0,0 %</v>
      </c>
      <c r="D59" s="1" t="str">
        <f>IFERROR(__xludf.DUMMYFUNCTION("""COMPUTED_VALUE"""),"+ 2,1 %")</f>
        <v>+ 2,1 %</v>
      </c>
      <c r="E59" s="1" t="str">
        <f>IFERROR(__xludf.DUMMYFUNCTION("""COMPUTED_VALUE"""),"+ 2,0 %")</f>
        <v>+ 2,0 %</v>
      </c>
    </row>
    <row r="60">
      <c r="A60" s="2">
        <f>IFERROR(__xludf.DUMMYFUNCTION("""COMPUTED_VALUE"""),44409.0)</f>
        <v>44409</v>
      </c>
      <c r="B60" s="1" t="str">
        <f>IFERROR(__xludf.DUMMYFUNCTION("""COMPUTED_VALUE"""),"2.421 €/m2")</f>
        <v>2.421 €/m2</v>
      </c>
      <c r="C60" s="1" t="str">
        <f>IFERROR(__xludf.DUMMYFUNCTION("""COMPUTED_VALUE"""),"- 0,2 %")</f>
        <v>- 0,2 %</v>
      </c>
      <c r="D60" s="1" t="str">
        <f>IFERROR(__xludf.DUMMYFUNCTION("""COMPUTED_VALUE"""),"+ 3,3 %")</f>
        <v>+ 3,3 %</v>
      </c>
      <c r="E60" s="1" t="str">
        <f>IFERROR(__xludf.DUMMYFUNCTION("""COMPUTED_VALUE"""),"- 0,3 %")</f>
        <v>- 0,3 %</v>
      </c>
    </row>
    <row r="61">
      <c r="A61" s="2">
        <f>IFERROR(__xludf.DUMMYFUNCTION("""COMPUTED_VALUE"""),44378.0)</f>
        <v>44378</v>
      </c>
      <c r="B61" s="1" t="str">
        <f>IFERROR(__xludf.DUMMYFUNCTION("""COMPUTED_VALUE"""),"2.425 €/m2")</f>
        <v>2.425 €/m2</v>
      </c>
      <c r="C61" s="1" t="str">
        <f>IFERROR(__xludf.DUMMYFUNCTION("""COMPUTED_VALUE"""),"+ 2,2 %")</f>
        <v>+ 2,2 %</v>
      </c>
      <c r="D61" s="1" t="str">
        <f>IFERROR(__xludf.DUMMYFUNCTION("""COMPUTED_VALUE"""),"+ 3,9 %")</f>
        <v>+ 3,9 %</v>
      </c>
      <c r="E61" s="1" t="str">
        <f>IFERROR(__xludf.DUMMYFUNCTION("""COMPUTED_VALUE"""),"- 1,2 %")</f>
        <v>- 1,2 %</v>
      </c>
    </row>
    <row r="62">
      <c r="A62" s="2">
        <f>IFERROR(__xludf.DUMMYFUNCTION("""COMPUTED_VALUE"""),44348.0)</f>
        <v>44348</v>
      </c>
      <c r="B62" s="1" t="str">
        <f>IFERROR(__xludf.DUMMYFUNCTION("""COMPUTED_VALUE"""),"2.373 €/m2")</f>
        <v>2.373 €/m2</v>
      </c>
      <c r="C62" s="1" t="str">
        <f>IFERROR(__xludf.DUMMYFUNCTION("""COMPUTED_VALUE"""),"+ 1,2 %")</f>
        <v>+ 1,2 %</v>
      </c>
      <c r="D62" s="1" t="str">
        <f>IFERROR(__xludf.DUMMYFUNCTION("""COMPUTED_VALUE"""),"+ 0,8 %")</f>
        <v>+ 0,8 %</v>
      </c>
      <c r="E62" s="1" t="str">
        <f>IFERROR(__xludf.DUMMYFUNCTION("""COMPUTED_VALUE"""),"- 4,1 %")</f>
        <v>- 4,1 %</v>
      </c>
    </row>
    <row r="63">
      <c r="A63" s="2">
        <f>IFERROR(__xludf.DUMMYFUNCTION("""COMPUTED_VALUE"""),44317.0)</f>
        <v>44317</v>
      </c>
      <c r="B63" s="1" t="str">
        <f>IFERROR(__xludf.DUMMYFUNCTION("""COMPUTED_VALUE"""),"2.344 €/m2")</f>
        <v>2.344 €/m2</v>
      </c>
      <c r="C63" s="1" t="str">
        <f>IFERROR(__xludf.DUMMYFUNCTION("""COMPUTED_VALUE"""),"+ 0,4 %")</f>
        <v>+ 0,4 %</v>
      </c>
      <c r="D63" s="1" t="str">
        <f>IFERROR(__xludf.DUMMYFUNCTION("""COMPUTED_VALUE"""),"- 1,0 %")</f>
        <v>- 1,0 %</v>
      </c>
      <c r="E63" s="1" t="str">
        <f>IFERROR(__xludf.DUMMYFUNCTION("""COMPUTED_VALUE"""),"- 4,0 %")</f>
        <v>- 4,0 %</v>
      </c>
    </row>
    <row r="64">
      <c r="A64" s="2">
        <f>IFERROR(__xludf.DUMMYFUNCTION("""COMPUTED_VALUE"""),44287.0)</f>
        <v>44287</v>
      </c>
      <c r="B64" s="1" t="str">
        <f>IFERROR(__xludf.DUMMYFUNCTION("""COMPUTED_VALUE"""),"2.334 €/m2")</f>
        <v>2.334 €/m2</v>
      </c>
      <c r="C64" s="1" t="str">
        <f>IFERROR(__xludf.DUMMYFUNCTION("""COMPUTED_VALUE"""),"- 0,9 %")</f>
        <v>- 0,9 %</v>
      </c>
      <c r="D64" s="1" t="str">
        <f>IFERROR(__xludf.DUMMYFUNCTION("""COMPUTED_VALUE"""),"- 2,1 %")</f>
        <v>- 2,1 %</v>
      </c>
      <c r="E64" s="1" t="str">
        <f>IFERROR(__xludf.DUMMYFUNCTION("""COMPUTED_VALUE"""),"- 2,5 %")</f>
        <v>- 2,5 %</v>
      </c>
    </row>
    <row r="65">
      <c r="A65" s="2">
        <f>IFERROR(__xludf.DUMMYFUNCTION("""COMPUTED_VALUE"""),44256.0)</f>
        <v>44256</v>
      </c>
      <c r="B65" s="1" t="str">
        <f>IFERROR(__xludf.DUMMYFUNCTION("""COMPUTED_VALUE"""),"2.355 €/m2")</f>
        <v>2.355 €/m2</v>
      </c>
      <c r="C65" s="1" t="str">
        <f>IFERROR(__xludf.DUMMYFUNCTION("""COMPUTED_VALUE"""),"- 0,5 %")</f>
        <v>- 0,5 %</v>
      </c>
      <c r="D65" s="1" t="str">
        <f>IFERROR(__xludf.DUMMYFUNCTION("""COMPUTED_VALUE"""),"- 1,4 %")</f>
        <v>- 1,4 %</v>
      </c>
      <c r="E65" s="1" t="str">
        <f>IFERROR(__xludf.DUMMYFUNCTION("""COMPUTED_VALUE"""),"- 1,3 %")</f>
        <v>- 1,3 %</v>
      </c>
    </row>
    <row r="66">
      <c r="A66" s="2">
        <f>IFERROR(__xludf.DUMMYFUNCTION("""COMPUTED_VALUE"""),44228.0)</f>
        <v>44228</v>
      </c>
      <c r="B66" s="1" t="str">
        <f>IFERROR(__xludf.DUMMYFUNCTION("""COMPUTED_VALUE"""),"2.367 €/m2")</f>
        <v>2.367 €/m2</v>
      </c>
      <c r="C66" s="1" t="str">
        <f>IFERROR(__xludf.DUMMYFUNCTION("""COMPUTED_VALUE"""),"- 0,7 %")</f>
        <v>- 0,7 %</v>
      </c>
      <c r="D66" s="1" t="str">
        <f>IFERROR(__xludf.DUMMYFUNCTION("""COMPUTED_VALUE"""),"- 0,9 %")</f>
        <v>- 0,9 %</v>
      </c>
      <c r="E66" s="1" t="str">
        <f>IFERROR(__xludf.DUMMYFUNCTION("""COMPUTED_VALUE"""),"- 1,2 %")</f>
        <v>- 1,2 %</v>
      </c>
    </row>
    <row r="67">
      <c r="A67" s="2">
        <f>IFERROR(__xludf.DUMMYFUNCTION("""COMPUTED_VALUE"""),44197.0)</f>
        <v>44197</v>
      </c>
      <c r="B67" s="1" t="str">
        <f>IFERROR(__xludf.DUMMYFUNCTION("""COMPUTED_VALUE"""),"2.384 €/m2")</f>
        <v>2.384 €/m2</v>
      </c>
      <c r="C67" s="1" t="str">
        <f>IFERROR(__xludf.DUMMYFUNCTION("""COMPUTED_VALUE"""),"- 0,2 %")</f>
        <v>- 0,2 %</v>
      </c>
      <c r="D67" s="1" t="str">
        <f>IFERROR(__xludf.DUMMYFUNCTION("""COMPUTED_VALUE"""),"+ 0,9 %")</f>
        <v>+ 0,9 %</v>
      </c>
      <c r="E67" s="1" t="str">
        <f>IFERROR(__xludf.DUMMYFUNCTION("""COMPUTED_VALUE"""),"- 2,5 %")</f>
        <v>- 2,5 %</v>
      </c>
    </row>
    <row r="68">
      <c r="A68" s="2">
        <f>IFERROR(__xludf.DUMMYFUNCTION("""COMPUTED_VALUE"""),44166.0)</f>
        <v>44166</v>
      </c>
      <c r="B68" s="1" t="str">
        <f>IFERROR(__xludf.DUMMYFUNCTION("""COMPUTED_VALUE"""),"2.388 €/m2")</f>
        <v>2.388 €/m2</v>
      </c>
      <c r="C68" s="1" t="str">
        <f>IFERROR(__xludf.DUMMYFUNCTION("""COMPUTED_VALUE"""),"0,0 %")</f>
        <v>0,0 %</v>
      </c>
      <c r="D68" s="1" t="str">
        <f>IFERROR(__xludf.DUMMYFUNCTION("""COMPUTED_VALUE"""),"+ 0,5 %")</f>
        <v>+ 0,5 %</v>
      </c>
      <c r="E68" s="1" t="str">
        <f>IFERROR(__xludf.DUMMYFUNCTION("""COMPUTED_VALUE"""),"- 2,2 %")</f>
        <v>- 2,2 %</v>
      </c>
    </row>
    <row r="69">
      <c r="A69" s="2">
        <f>IFERROR(__xludf.DUMMYFUNCTION("""COMPUTED_VALUE"""),44136.0)</f>
        <v>44136</v>
      </c>
      <c r="B69" s="1" t="str">
        <f>IFERROR(__xludf.DUMMYFUNCTION("""COMPUTED_VALUE"""),"2.388 €/m2")</f>
        <v>2.388 €/m2</v>
      </c>
      <c r="C69" s="1" t="str">
        <f>IFERROR(__xludf.DUMMYFUNCTION("""COMPUTED_VALUE"""),"+ 1,1 %")</f>
        <v>+ 1,1 %</v>
      </c>
      <c r="D69" s="1" t="str">
        <f>IFERROR(__xludf.DUMMYFUNCTION("""COMPUTED_VALUE"""),"- 1,6 %")</f>
        <v>- 1,6 %</v>
      </c>
      <c r="E69" s="1" t="str">
        <f>IFERROR(__xludf.DUMMYFUNCTION("""COMPUTED_VALUE"""),"- 2,3 %")</f>
        <v>- 2,3 %</v>
      </c>
    </row>
    <row r="70">
      <c r="A70" s="2">
        <f>IFERROR(__xludf.DUMMYFUNCTION("""COMPUTED_VALUE"""),44105.0)</f>
        <v>44105</v>
      </c>
      <c r="B70" s="1" t="str">
        <f>IFERROR(__xludf.DUMMYFUNCTION("""COMPUTED_VALUE"""),"2.363 €/m2")</f>
        <v>2.363 €/m2</v>
      </c>
      <c r="C70" s="1" t="str">
        <f>IFERROR(__xludf.DUMMYFUNCTION("""COMPUTED_VALUE"""),"- 0,5 %")</f>
        <v>- 0,5 %</v>
      </c>
      <c r="D70" s="1" t="str">
        <f>IFERROR(__xludf.DUMMYFUNCTION("""COMPUTED_VALUE"""),"- 3,7 %")</f>
        <v>- 3,7 %</v>
      </c>
      <c r="E70" s="1" t="str">
        <f>IFERROR(__xludf.DUMMYFUNCTION("""COMPUTED_VALUE"""),"- 3,1 %")</f>
        <v>- 3,1 %</v>
      </c>
    </row>
    <row r="71">
      <c r="A71" s="2">
        <f>IFERROR(__xludf.DUMMYFUNCTION("""COMPUTED_VALUE"""),44075.0)</f>
        <v>44075</v>
      </c>
      <c r="B71" s="1" t="str">
        <f>IFERROR(__xludf.DUMMYFUNCTION("""COMPUTED_VALUE"""),"2.375 €/m2")</f>
        <v>2.375 €/m2</v>
      </c>
      <c r="C71" s="1" t="str">
        <f>IFERROR(__xludf.DUMMYFUNCTION("""COMPUTED_VALUE"""),"- 2,2 %")</f>
        <v>- 2,2 %</v>
      </c>
      <c r="D71" s="1" t="str">
        <f>IFERROR(__xludf.DUMMYFUNCTION("""COMPUTED_VALUE"""),"- 4,1 %")</f>
        <v>- 4,1 %</v>
      </c>
      <c r="E71" s="1" t="str">
        <f>IFERROR(__xludf.DUMMYFUNCTION("""COMPUTED_VALUE"""),"- 2,6 %")</f>
        <v>- 2,6 %</v>
      </c>
    </row>
    <row r="72">
      <c r="A72" s="2">
        <f>IFERROR(__xludf.DUMMYFUNCTION("""COMPUTED_VALUE"""),44044.0)</f>
        <v>44044</v>
      </c>
      <c r="B72" s="1" t="str">
        <f>IFERROR(__xludf.DUMMYFUNCTION("""COMPUTED_VALUE"""),"2.427 €/m2")</f>
        <v>2.427 €/m2</v>
      </c>
      <c r="C72" s="1" t="str">
        <f>IFERROR(__xludf.DUMMYFUNCTION("""COMPUTED_VALUE"""),"- 1,1 %")</f>
        <v>- 1,1 %</v>
      </c>
      <c r="D72" s="1" t="str">
        <f>IFERROR(__xludf.DUMMYFUNCTION("""COMPUTED_VALUE"""),"- 0,5 %")</f>
        <v>- 0,5 %</v>
      </c>
      <c r="E72" s="1" t="str">
        <f>IFERROR(__xludf.DUMMYFUNCTION("""COMPUTED_VALUE"""),"+ 0,3 %")</f>
        <v>+ 0,3 %</v>
      </c>
    </row>
    <row r="73">
      <c r="A73" s="2">
        <f>IFERROR(__xludf.DUMMYFUNCTION("""COMPUTED_VALUE"""),44013.0)</f>
        <v>44013</v>
      </c>
      <c r="B73" s="1" t="str">
        <f>IFERROR(__xludf.DUMMYFUNCTION("""COMPUTED_VALUE"""),"2.455 €/m2")</f>
        <v>2.455 €/m2</v>
      </c>
      <c r="C73" s="1" t="str">
        <f>IFERROR(__xludf.DUMMYFUNCTION("""COMPUTED_VALUE"""),"- 0,8 %")</f>
        <v>- 0,8 %</v>
      </c>
      <c r="D73" s="1" t="str">
        <f>IFERROR(__xludf.DUMMYFUNCTION("""COMPUTED_VALUE"""),"+ 2,6 %")</f>
        <v>+ 2,6 %</v>
      </c>
      <c r="E73" s="1" t="str">
        <f>IFERROR(__xludf.DUMMYFUNCTION("""COMPUTED_VALUE"""),"+ 1,7 %")</f>
        <v>+ 1,7 %</v>
      </c>
    </row>
    <row r="74">
      <c r="A74" s="2">
        <f>IFERROR(__xludf.DUMMYFUNCTION("""COMPUTED_VALUE"""),43983.0)</f>
        <v>43983</v>
      </c>
      <c r="B74" s="1" t="str">
        <f>IFERROR(__xludf.DUMMYFUNCTION("""COMPUTED_VALUE"""),"2.475 €/m2")</f>
        <v>2.475 €/m2</v>
      </c>
      <c r="C74" s="1" t="str">
        <f>IFERROR(__xludf.DUMMYFUNCTION("""COMPUTED_VALUE"""),"+ 1,4 %")</f>
        <v>+ 1,4 %</v>
      </c>
      <c r="D74" s="1" t="str">
        <f>IFERROR(__xludf.DUMMYFUNCTION("""COMPUTED_VALUE"""),"+ 3,7 %")</f>
        <v>+ 3,7 %</v>
      </c>
      <c r="E74" s="1" t="str">
        <f>IFERROR(__xludf.DUMMYFUNCTION("""COMPUTED_VALUE"""),"+ 1,6 %")</f>
        <v>+ 1,6 %</v>
      </c>
    </row>
    <row r="75">
      <c r="A75" s="2">
        <f>IFERROR(__xludf.DUMMYFUNCTION("""COMPUTED_VALUE"""),43952.0)</f>
        <v>43952</v>
      </c>
      <c r="B75" s="1" t="str">
        <f>IFERROR(__xludf.DUMMYFUNCTION("""COMPUTED_VALUE"""),"2.441 €/m2")</f>
        <v>2.441 €/m2</v>
      </c>
      <c r="C75" s="1" t="str">
        <f>IFERROR(__xludf.DUMMYFUNCTION("""COMPUTED_VALUE"""),"+ 2,0 %")</f>
        <v>+ 2,0 %</v>
      </c>
      <c r="D75" s="1" t="str">
        <f>IFERROR(__xludf.DUMMYFUNCTION("""COMPUTED_VALUE"""),"+ 1,9 %")</f>
        <v>+ 1,9 %</v>
      </c>
      <c r="E75" s="1" t="str">
        <f>IFERROR(__xludf.DUMMYFUNCTION("""COMPUTED_VALUE"""),"+ 0,7 %")</f>
        <v>+ 0,7 %</v>
      </c>
    </row>
    <row r="76">
      <c r="A76" s="2">
        <f>IFERROR(__xludf.DUMMYFUNCTION("""COMPUTED_VALUE"""),43922.0)</f>
        <v>43922</v>
      </c>
      <c r="B76" s="1" t="str">
        <f>IFERROR(__xludf.DUMMYFUNCTION("""COMPUTED_VALUE"""),"2.393 €/m2")</f>
        <v>2.393 €/m2</v>
      </c>
      <c r="C76" s="1" t="str">
        <f>IFERROR(__xludf.DUMMYFUNCTION("""COMPUTED_VALUE"""),"+ 0,3 %")</f>
        <v>+ 0,3 %</v>
      </c>
      <c r="D76" s="1" t="str">
        <f>IFERROR(__xludf.DUMMYFUNCTION("""COMPUTED_VALUE"""),"- 2,1 %")</f>
        <v>- 2,1 %</v>
      </c>
      <c r="E76" s="1" t="str">
        <f>IFERROR(__xludf.DUMMYFUNCTION("""COMPUTED_VALUE"""),"- 0,9 %")</f>
        <v>- 0,9 %</v>
      </c>
    </row>
    <row r="77">
      <c r="A77" s="2">
        <f>IFERROR(__xludf.DUMMYFUNCTION("""COMPUTED_VALUE"""),43891.0)</f>
        <v>43891</v>
      </c>
      <c r="B77" s="1" t="str">
        <f>IFERROR(__xludf.DUMMYFUNCTION("""COMPUTED_VALUE"""),"2.386 €/m2")</f>
        <v>2.386 €/m2</v>
      </c>
      <c r="C77" s="1" t="str">
        <f>IFERROR(__xludf.DUMMYFUNCTION("""COMPUTED_VALUE"""),"- 0,4 %")</f>
        <v>- 0,4 %</v>
      </c>
      <c r="D77" s="1" t="str">
        <f>IFERROR(__xludf.DUMMYFUNCTION("""COMPUTED_VALUE"""),"- 2,2 %")</f>
        <v>- 2,2 %</v>
      </c>
      <c r="E77" s="1" t="str">
        <f>IFERROR(__xludf.DUMMYFUNCTION("""COMPUTED_VALUE"""),"- 0,8 %")</f>
        <v>- 0,8 %</v>
      </c>
    </row>
    <row r="78">
      <c r="A78" s="2">
        <f>IFERROR(__xludf.DUMMYFUNCTION("""COMPUTED_VALUE"""),43862.0)</f>
        <v>43862</v>
      </c>
      <c r="B78" s="1" t="str">
        <f>IFERROR(__xludf.DUMMYFUNCTION("""COMPUTED_VALUE"""),"2.395 €/m2")</f>
        <v>2.395 €/m2</v>
      </c>
      <c r="C78" s="1" t="str">
        <f>IFERROR(__xludf.DUMMYFUNCTION("""COMPUTED_VALUE"""),"- 2,0 %")</f>
        <v>- 2,0 %</v>
      </c>
      <c r="D78" s="1" t="str">
        <f>IFERROR(__xludf.DUMMYFUNCTION("""COMPUTED_VALUE"""),"- 2,1 %")</f>
        <v>- 2,1 %</v>
      </c>
      <c r="E78" s="1" t="str">
        <f>IFERROR(__xludf.DUMMYFUNCTION("""COMPUTED_VALUE"""),"- 0,4 %")</f>
        <v>- 0,4 %</v>
      </c>
    </row>
    <row r="79">
      <c r="A79" s="2">
        <f>IFERROR(__xludf.DUMMYFUNCTION("""COMPUTED_VALUE"""),43831.0)</f>
        <v>43831</v>
      </c>
      <c r="B79" s="1" t="str">
        <f>IFERROR(__xludf.DUMMYFUNCTION("""COMPUTED_VALUE"""),"2.444 €/m2")</f>
        <v>2.444 €/m2</v>
      </c>
      <c r="C79" s="1" t="str">
        <f>IFERROR(__xludf.DUMMYFUNCTION("""COMPUTED_VALUE"""),"+ 0,2 %")</f>
        <v>+ 0,2 %</v>
      </c>
      <c r="D79" s="1" t="str">
        <f>IFERROR(__xludf.DUMMYFUNCTION("""COMPUTED_VALUE"""),"+ 0,2 %")</f>
        <v>+ 0,2 %</v>
      </c>
      <c r="E79" s="1" t="str">
        <f>IFERROR(__xludf.DUMMYFUNCTION("""COMPUTED_VALUE"""),"+ 2,6 %")</f>
        <v>+ 2,6 %</v>
      </c>
    </row>
    <row r="80">
      <c r="A80" s="2">
        <f>IFERROR(__xludf.DUMMYFUNCTION("""COMPUTED_VALUE"""),43800.0)</f>
        <v>43800</v>
      </c>
      <c r="B80" s="1" t="str">
        <f>IFERROR(__xludf.DUMMYFUNCTION("""COMPUTED_VALUE"""),"2.440 €/m2")</f>
        <v>2.440 €/m2</v>
      </c>
      <c r="C80" s="1" t="str">
        <f>IFERROR(__xludf.DUMMYFUNCTION("""COMPUTED_VALUE"""),"- 0,2 %")</f>
        <v>- 0,2 %</v>
      </c>
      <c r="D80" s="1" t="str">
        <f>IFERROR(__xludf.DUMMYFUNCTION("""COMPUTED_VALUE"""),"+ 0,1 %")</f>
        <v>+ 0,1 %</v>
      </c>
      <c r="E80" s="1" t="str">
        <f>IFERROR(__xludf.DUMMYFUNCTION("""COMPUTED_VALUE"""),"+ 3,9 %")</f>
        <v>+ 3,9 %</v>
      </c>
    </row>
    <row r="81">
      <c r="A81" s="2">
        <f>IFERROR(__xludf.DUMMYFUNCTION("""COMPUTED_VALUE"""),43770.0)</f>
        <v>43770</v>
      </c>
      <c r="B81" s="1" t="str">
        <f>IFERROR(__xludf.DUMMYFUNCTION("""COMPUTED_VALUE"""),"2.445 €/m2")</f>
        <v>2.445 €/m2</v>
      </c>
      <c r="C81" s="1" t="str">
        <f>IFERROR(__xludf.DUMMYFUNCTION("""COMPUTED_VALUE"""),"+ 0,2 %")</f>
        <v>+ 0,2 %</v>
      </c>
      <c r="D81" s="1" t="str">
        <f>IFERROR(__xludf.DUMMYFUNCTION("""COMPUTED_VALUE"""),"+ 1,1 %")</f>
        <v>+ 1,1 %</v>
      </c>
      <c r="E81" s="1" t="str">
        <f>IFERROR(__xludf.DUMMYFUNCTION("""COMPUTED_VALUE"""),"+ 4,3 %")</f>
        <v>+ 4,3 %</v>
      </c>
    </row>
    <row r="82">
      <c r="A82" s="2">
        <f>IFERROR(__xludf.DUMMYFUNCTION("""COMPUTED_VALUE"""),43739.0)</f>
        <v>43739</v>
      </c>
      <c r="B82" s="1" t="str">
        <f>IFERROR(__xludf.DUMMYFUNCTION("""COMPUTED_VALUE"""),"2.439 €/m2")</f>
        <v>2.439 €/m2</v>
      </c>
      <c r="C82" s="1" t="str">
        <f>IFERROR(__xludf.DUMMYFUNCTION("""COMPUTED_VALUE"""),"+ 0,1 %")</f>
        <v>+ 0,1 %</v>
      </c>
      <c r="D82" s="1" t="str">
        <f>IFERROR(__xludf.DUMMYFUNCTION("""COMPUTED_VALUE"""),"+ 1,0 %")</f>
        <v>+ 1,0 %</v>
      </c>
      <c r="E82" s="1" t="str">
        <f>IFERROR(__xludf.DUMMYFUNCTION("""COMPUTED_VALUE"""),"+ 4,1 %")</f>
        <v>+ 4,1 %</v>
      </c>
    </row>
    <row r="83">
      <c r="A83" s="2">
        <f>IFERROR(__xludf.DUMMYFUNCTION("""COMPUTED_VALUE"""),43709.0)</f>
        <v>43709</v>
      </c>
      <c r="B83" s="1" t="str">
        <f>IFERROR(__xludf.DUMMYFUNCTION("""COMPUTED_VALUE"""),"2.437 €/m2")</f>
        <v>2.437 €/m2</v>
      </c>
      <c r="C83" s="1" t="str">
        <f>IFERROR(__xludf.DUMMYFUNCTION("""COMPUTED_VALUE"""),"+ 0,7 %")</f>
        <v>+ 0,7 %</v>
      </c>
      <c r="D83" s="1" t="str">
        <f>IFERROR(__xludf.DUMMYFUNCTION("""COMPUTED_VALUE"""),"+ 0,1 %")</f>
        <v>+ 0,1 %</v>
      </c>
      <c r="E83" s="1" t="str">
        <f>IFERROR(__xludf.DUMMYFUNCTION("""COMPUTED_VALUE"""),"+ 2,9 %")</f>
        <v>+ 2,9 %</v>
      </c>
    </row>
    <row r="84">
      <c r="A84" s="2">
        <f>IFERROR(__xludf.DUMMYFUNCTION("""COMPUTED_VALUE"""),43678.0)</f>
        <v>43678</v>
      </c>
      <c r="B84" s="1" t="str">
        <f>IFERROR(__xludf.DUMMYFUNCTION("""COMPUTED_VALUE"""),"2.419 €/m2")</f>
        <v>2.419 €/m2</v>
      </c>
      <c r="C84" s="1" t="str">
        <f>IFERROR(__xludf.DUMMYFUNCTION("""COMPUTED_VALUE"""),"+ 0,2 %")</f>
        <v>+ 0,2 %</v>
      </c>
      <c r="D84" s="1" t="str">
        <f>IFERROR(__xludf.DUMMYFUNCTION("""COMPUTED_VALUE"""),"- 0,2 %")</f>
        <v>- 0,2 %</v>
      </c>
      <c r="E84" s="1" t="str">
        <f>IFERROR(__xludf.DUMMYFUNCTION("""COMPUTED_VALUE"""),"+ 3,3 %")</f>
        <v>+ 3,3 %</v>
      </c>
    </row>
    <row r="85">
      <c r="A85" s="2">
        <f>IFERROR(__xludf.DUMMYFUNCTION("""COMPUTED_VALUE"""),43647.0)</f>
        <v>43647</v>
      </c>
      <c r="B85" s="1" t="str">
        <f>IFERROR(__xludf.DUMMYFUNCTION("""COMPUTED_VALUE"""),"2.415 €/m2")</f>
        <v>2.415 €/m2</v>
      </c>
      <c r="C85" s="1" t="str">
        <f>IFERROR(__xludf.DUMMYFUNCTION("""COMPUTED_VALUE"""),"- 0,9 %")</f>
        <v>- 0,9 %</v>
      </c>
      <c r="D85" s="1" t="str">
        <f>IFERROR(__xludf.DUMMYFUNCTION("""COMPUTED_VALUE"""),"0,0 %")</f>
        <v>0,0 %</v>
      </c>
      <c r="E85" s="1" t="str">
        <f>IFERROR(__xludf.DUMMYFUNCTION("""COMPUTED_VALUE"""),"+ 2,9 %")</f>
        <v>+ 2,9 %</v>
      </c>
    </row>
    <row r="86">
      <c r="A86" s="2">
        <f>IFERROR(__xludf.DUMMYFUNCTION("""COMPUTED_VALUE"""),43617.0)</f>
        <v>43617</v>
      </c>
      <c r="B86" s="1" t="str">
        <f>IFERROR(__xludf.DUMMYFUNCTION("""COMPUTED_VALUE"""),"2.436 €/m2")</f>
        <v>2.436 €/m2</v>
      </c>
      <c r="C86" s="1" t="str">
        <f>IFERROR(__xludf.DUMMYFUNCTION("""COMPUTED_VALUE"""),"+ 0,5 %")</f>
        <v>+ 0,5 %</v>
      </c>
      <c r="D86" s="1" t="str">
        <f>IFERROR(__xludf.DUMMYFUNCTION("""COMPUTED_VALUE"""),"+ 1,2 %")</f>
        <v>+ 1,2 %</v>
      </c>
      <c r="E86" s="1" t="str">
        <f>IFERROR(__xludf.DUMMYFUNCTION("""COMPUTED_VALUE"""),"+ 6,4 %")</f>
        <v>+ 6,4 %</v>
      </c>
    </row>
    <row r="87">
      <c r="A87" s="2">
        <f>IFERROR(__xludf.DUMMYFUNCTION("""COMPUTED_VALUE"""),43586.0)</f>
        <v>43586</v>
      </c>
      <c r="B87" s="1" t="str">
        <f>IFERROR(__xludf.DUMMYFUNCTION("""COMPUTED_VALUE"""),"2.425 €/m2")</f>
        <v>2.425 €/m2</v>
      </c>
      <c r="C87" s="1" t="str">
        <f>IFERROR(__xludf.DUMMYFUNCTION("""COMPUTED_VALUE"""),"+ 0,4 %")</f>
        <v>+ 0,4 %</v>
      </c>
      <c r="D87" s="1" t="str">
        <f>IFERROR(__xludf.DUMMYFUNCTION("""COMPUTED_VALUE"""),"+ 0,9 %")</f>
        <v>+ 0,9 %</v>
      </c>
      <c r="E87" s="1" t="str">
        <f>IFERROR(__xludf.DUMMYFUNCTION("""COMPUTED_VALUE"""),"+ 6,2 %")</f>
        <v>+ 6,2 %</v>
      </c>
    </row>
    <row r="88">
      <c r="A88" s="2">
        <f>IFERROR(__xludf.DUMMYFUNCTION("""COMPUTED_VALUE"""),43556.0)</f>
        <v>43556</v>
      </c>
      <c r="B88" s="1" t="str">
        <f>IFERROR(__xludf.DUMMYFUNCTION("""COMPUTED_VALUE"""),"2.414 €/m2")</f>
        <v>2.414 €/m2</v>
      </c>
      <c r="C88" s="1" t="str">
        <f>IFERROR(__xludf.DUMMYFUNCTION("""COMPUTED_VALUE"""),"+ 0,3 %")</f>
        <v>+ 0,3 %</v>
      </c>
      <c r="D88" s="1" t="str">
        <f>IFERROR(__xludf.DUMMYFUNCTION("""COMPUTED_VALUE"""),"+ 1,4 %")</f>
        <v>+ 1,4 %</v>
      </c>
      <c r="E88" s="1" t="str">
        <f>IFERROR(__xludf.DUMMYFUNCTION("""COMPUTED_VALUE"""),"+ 7,7 %")</f>
        <v>+ 7,7 %</v>
      </c>
    </row>
    <row r="89">
      <c r="A89" s="2">
        <f>IFERROR(__xludf.DUMMYFUNCTION("""COMPUTED_VALUE"""),43525.0)</f>
        <v>43525</v>
      </c>
      <c r="B89" s="1" t="str">
        <f>IFERROR(__xludf.DUMMYFUNCTION("""COMPUTED_VALUE"""),"2.407 €/m2")</f>
        <v>2.407 €/m2</v>
      </c>
      <c r="C89" s="1" t="str">
        <f>IFERROR(__xludf.DUMMYFUNCTION("""COMPUTED_VALUE"""),"+ 0,1 %")</f>
        <v>+ 0,1 %</v>
      </c>
      <c r="D89" s="1" t="str">
        <f>IFERROR(__xludf.DUMMYFUNCTION("""COMPUTED_VALUE"""),"+ 2,5 %")</f>
        <v>+ 2,5 %</v>
      </c>
      <c r="E89" s="1" t="str">
        <f>IFERROR(__xludf.DUMMYFUNCTION("""COMPUTED_VALUE"""),"+ 9,2 %")</f>
        <v>+ 9,2 %</v>
      </c>
    </row>
    <row r="90">
      <c r="A90" s="2">
        <f>IFERROR(__xludf.DUMMYFUNCTION("""COMPUTED_VALUE"""),43497.0)</f>
        <v>43497</v>
      </c>
      <c r="B90" s="1" t="str">
        <f>IFERROR(__xludf.DUMMYFUNCTION("""COMPUTED_VALUE"""),"2.404 €/m2")</f>
        <v>2.404 €/m2</v>
      </c>
      <c r="C90" s="1" t="str">
        <f>IFERROR(__xludf.DUMMYFUNCTION("""COMPUTED_VALUE"""),"+ 0,9 %")</f>
        <v>+ 0,9 %</v>
      </c>
      <c r="D90" s="1" t="str">
        <f>IFERROR(__xludf.DUMMYFUNCTION("""COMPUTED_VALUE"""),"+ 2,5 %")</f>
        <v>+ 2,5 %</v>
      </c>
      <c r="E90" s="1" t="str">
        <f>IFERROR(__xludf.DUMMYFUNCTION("""COMPUTED_VALUE"""),"+ 9,9 %")</f>
        <v>+ 9,9 %</v>
      </c>
    </row>
    <row r="91">
      <c r="A91" s="2">
        <f>IFERROR(__xludf.DUMMYFUNCTION("""COMPUTED_VALUE"""),43466.0)</f>
        <v>43466</v>
      </c>
      <c r="B91" s="1" t="str">
        <f>IFERROR(__xludf.DUMMYFUNCTION("""COMPUTED_VALUE"""),"2.382 €/m2")</f>
        <v>2.382 €/m2</v>
      </c>
      <c r="C91" s="1" t="str">
        <f>IFERROR(__xludf.DUMMYFUNCTION("""COMPUTED_VALUE"""),"+ 1,4 %")</f>
        <v>+ 1,4 %</v>
      </c>
      <c r="D91" s="1" t="str">
        <f>IFERROR(__xludf.DUMMYFUNCTION("""COMPUTED_VALUE"""),"+ 1,7 %")</f>
        <v>+ 1,7 %</v>
      </c>
      <c r="E91" s="1" t="str">
        <f>IFERROR(__xludf.DUMMYFUNCTION("""COMPUTED_VALUE"""),"+ 12,7 %")</f>
        <v>+ 12,7 %</v>
      </c>
    </row>
    <row r="92">
      <c r="A92" s="2">
        <f>IFERROR(__xludf.DUMMYFUNCTION("""COMPUTED_VALUE"""),43435.0)</f>
        <v>43435</v>
      </c>
      <c r="B92" s="1" t="str">
        <f>IFERROR(__xludf.DUMMYFUNCTION("""COMPUTED_VALUE"""),"2.348 €/m2")</f>
        <v>2.348 €/m2</v>
      </c>
      <c r="C92" s="1" t="str">
        <f>IFERROR(__xludf.DUMMYFUNCTION("""COMPUTED_VALUE"""),"+ 0,1 %")</f>
        <v>+ 0,1 %</v>
      </c>
      <c r="D92" s="1" t="str">
        <f>IFERROR(__xludf.DUMMYFUNCTION("""COMPUTED_VALUE"""),"- 0,9 %")</f>
        <v>- 0,9 %</v>
      </c>
      <c r="E92" s="1" t="str">
        <f>IFERROR(__xludf.DUMMYFUNCTION("""COMPUTED_VALUE"""),"+ 12,2 %")</f>
        <v>+ 12,2 %</v>
      </c>
    </row>
    <row r="93">
      <c r="A93" s="2">
        <f>IFERROR(__xludf.DUMMYFUNCTION("""COMPUTED_VALUE"""),43405.0)</f>
        <v>43405</v>
      </c>
      <c r="B93" s="1" t="str">
        <f>IFERROR(__xludf.DUMMYFUNCTION("""COMPUTED_VALUE"""),"2.345 €/m2")</f>
        <v>2.345 €/m2</v>
      </c>
      <c r="C93" s="1" t="str">
        <f>IFERROR(__xludf.DUMMYFUNCTION("""COMPUTED_VALUE"""),"+ 0,1 %")</f>
        <v>+ 0,1 %</v>
      </c>
      <c r="D93" s="1" t="str">
        <f>IFERROR(__xludf.DUMMYFUNCTION("""COMPUTED_VALUE"""),"+ 0,2 %")</f>
        <v>+ 0,2 %</v>
      </c>
      <c r="E93" s="1" t="str">
        <f>IFERROR(__xludf.DUMMYFUNCTION("""COMPUTED_VALUE"""),"+ 12,0 %")</f>
        <v>+ 12,0 %</v>
      </c>
    </row>
    <row r="94">
      <c r="A94" s="2">
        <f>IFERROR(__xludf.DUMMYFUNCTION("""COMPUTED_VALUE"""),43374.0)</f>
        <v>43374</v>
      </c>
      <c r="B94" s="1" t="str">
        <f>IFERROR(__xludf.DUMMYFUNCTION("""COMPUTED_VALUE"""),"2.342 €/m2")</f>
        <v>2.342 €/m2</v>
      </c>
      <c r="C94" s="1" t="str">
        <f>IFERROR(__xludf.DUMMYFUNCTION("""COMPUTED_VALUE"""),"- 1,1 %")</f>
        <v>- 1,1 %</v>
      </c>
      <c r="D94" s="1" t="str">
        <f>IFERROR(__xludf.DUMMYFUNCTION("""COMPUTED_VALUE"""),"- 0,1 %")</f>
        <v>- 0,1 %</v>
      </c>
      <c r="E94" s="1" t="str">
        <f>IFERROR(__xludf.DUMMYFUNCTION("""COMPUTED_VALUE"""),"+ 11,3 %")</f>
        <v>+ 11,3 %</v>
      </c>
    </row>
    <row r="95">
      <c r="A95" s="2">
        <f>IFERROR(__xludf.DUMMYFUNCTION("""COMPUTED_VALUE"""),43344.0)</f>
        <v>43344</v>
      </c>
      <c r="B95" s="1" t="str">
        <f>IFERROR(__xludf.DUMMYFUNCTION("""COMPUTED_VALUE"""),"2.368 €/m2")</f>
        <v>2.368 €/m2</v>
      </c>
      <c r="C95" s="1" t="str">
        <f>IFERROR(__xludf.DUMMYFUNCTION("""COMPUTED_VALUE"""),"+ 1,1 %")</f>
        <v>+ 1,1 %</v>
      </c>
      <c r="D95" s="1" t="str">
        <f>IFERROR(__xludf.DUMMYFUNCTION("""COMPUTED_VALUE"""),"+ 3,5 %")</f>
        <v>+ 3,5 %</v>
      </c>
      <c r="E95" s="1" t="str">
        <f>IFERROR(__xludf.DUMMYFUNCTION("""COMPUTED_VALUE"""),"+ 14,2 %")</f>
        <v>+ 14,2 %</v>
      </c>
    </row>
    <row r="96">
      <c r="A96" s="2">
        <f>IFERROR(__xludf.DUMMYFUNCTION("""COMPUTED_VALUE"""),43313.0)</f>
        <v>43313</v>
      </c>
      <c r="B96" s="1" t="str">
        <f>IFERROR(__xludf.DUMMYFUNCTION("""COMPUTED_VALUE"""),"2.342 €/m2")</f>
        <v>2.342 €/m2</v>
      </c>
      <c r="C96" s="1" t="str">
        <f>IFERROR(__xludf.DUMMYFUNCTION("""COMPUTED_VALUE"""),"- 0,2 %")</f>
        <v>- 0,2 %</v>
      </c>
      <c r="D96" s="1" t="str">
        <f>IFERROR(__xludf.DUMMYFUNCTION("""COMPUTED_VALUE"""),"+ 2,5 %")</f>
        <v>+ 2,5 %</v>
      </c>
      <c r="E96" s="1" t="str">
        <f>IFERROR(__xludf.DUMMYFUNCTION("""COMPUTED_VALUE"""),"+ 14,6 %")</f>
        <v>+ 14,6 %</v>
      </c>
    </row>
    <row r="97">
      <c r="A97" s="2">
        <f>IFERROR(__xludf.DUMMYFUNCTION("""COMPUTED_VALUE"""),43282.0)</f>
        <v>43282</v>
      </c>
      <c r="B97" s="1" t="str">
        <f>IFERROR(__xludf.DUMMYFUNCTION("""COMPUTED_VALUE"""),"2.345 €/m2")</f>
        <v>2.345 €/m2</v>
      </c>
      <c r="C97" s="1" t="str">
        <f>IFERROR(__xludf.DUMMYFUNCTION("""COMPUTED_VALUE"""),"+ 2,5 %")</f>
        <v>+ 2,5 %</v>
      </c>
      <c r="D97" s="1" t="str">
        <f>IFERROR(__xludf.DUMMYFUNCTION("""COMPUTED_VALUE"""),"+ 4,7 %")</f>
        <v>+ 4,7 %</v>
      </c>
      <c r="E97" s="1" t="str">
        <f>IFERROR(__xludf.DUMMYFUNCTION("""COMPUTED_VALUE"""),"+ 15,7 %")</f>
        <v>+ 15,7 %</v>
      </c>
    </row>
    <row r="98">
      <c r="A98" s="2">
        <f>IFERROR(__xludf.DUMMYFUNCTION("""COMPUTED_VALUE"""),43252.0)</f>
        <v>43252</v>
      </c>
      <c r="B98" s="1" t="str">
        <f>IFERROR(__xludf.DUMMYFUNCTION("""COMPUTED_VALUE"""),"2.288 €/m2")</f>
        <v>2.288 €/m2</v>
      </c>
      <c r="C98" s="1" t="str">
        <f>IFERROR(__xludf.DUMMYFUNCTION("""COMPUTED_VALUE"""),"+ 0,2 %")</f>
        <v>+ 0,2 %</v>
      </c>
      <c r="D98" s="1" t="str">
        <f>IFERROR(__xludf.DUMMYFUNCTION("""COMPUTED_VALUE"""),"+ 3,8 %")</f>
        <v>+ 3,8 %</v>
      </c>
      <c r="E98" s="1" t="str">
        <f>IFERROR(__xludf.DUMMYFUNCTION("""COMPUTED_VALUE"""),"+ 13,9 %")</f>
        <v>+ 13,9 %</v>
      </c>
    </row>
    <row r="99">
      <c r="A99" s="2">
        <f>IFERROR(__xludf.DUMMYFUNCTION("""COMPUTED_VALUE"""),43221.0)</f>
        <v>43221</v>
      </c>
      <c r="B99" s="1" t="str">
        <f>IFERROR(__xludf.DUMMYFUNCTION("""COMPUTED_VALUE"""),"2.284 €/m2")</f>
        <v>2.284 €/m2</v>
      </c>
      <c r="C99" s="1" t="str">
        <f>IFERROR(__xludf.DUMMYFUNCTION("""COMPUTED_VALUE"""),"+ 1,9 %")</f>
        <v>+ 1,9 %</v>
      </c>
      <c r="D99" s="1" t="str">
        <f>IFERROR(__xludf.DUMMYFUNCTION("""COMPUTED_VALUE"""),"+ 4,4 %")</f>
        <v>+ 4,4 %</v>
      </c>
      <c r="E99" s="1" t="str">
        <f>IFERROR(__xludf.DUMMYFUNCTION("""COMPUTED_VALUE"""),"+ 15,6 %")</f>
        <v>+ 15,6 %</v>
      </c>
    </row>
    <row r="100">
      <c r="A100" s="2">
        <f>IFERROR(__xludf.DUMMYFUNCTION("""COMPUTED_VALUE"""),43191.0)</f>
        <v>43191</v>
      </c>
      <c r="B100" s="1" t="str">
        <f>IFERROR(__xludf.DUMMYFUNCTION("""COMPUTED_VALUE"""),"2.241 €/m2")</f>
        <v>2.241 €/m2</v>
      </c>
      <c r="C100" s="1" t="str">
        <f>IFERROR(__xludf.DUMMYFUNCTION("""COMPUTED_VALUE"""),"+ 1,7 %")</f>
        <v>+ 1,7 %</v>
      </c>
      <c r="D100" s="1" t="str">
        <f>IFERROR(__xludf.DUMMYFUNCTION("""COMPUTED_VALUE"""),"+ 6,0 %")</f>
        <v>+ 6,0 %</v>
      </c>
      <c r="E100" s="1" t="str">
        <f>IFERROR(__xludf.DUMMYFUNCTION("""COMPUTED_VALUE"""),"+ 15,4 %")</f>
        <v>+ 15,4 %</v>
      </c>
    </row>
    <row r="101">
      <c r="A101" s="2">
        <f>IFERROR(__xludf.DUMMYFUNCTION("""COMPUTED_VALUE"""),43160.0)</f>
        <v>43160</v>
      </c>
      <c r="B101" s="1" t="str">
        <f>IFERROR(__xludf.DUMMYFUNCTION("""COMPUTED_VALUE"""),"2.204 €/m2")</f>
        <v>2.204 €/m2</v>
      </c>
      <c r="C101" s="1" t="str">
        <f>IFERROR(__xludf.DUMMYFUNCTION("""COMPUTED_VALUE"""),"+ 0,8 %")</f>
        <v>+ 0,8 %</v>
      </c>
      <c r="D101" s="1" t="str">
        <f>IFERROR(__xludf.DUMMYFUNCTION("""COMPUTED_VALUE"""),"+ 5,3 %")</f>
        <v>+ 5,3 %</v>
      </c>
      <c r="E101" s="1" t="str">
        <f>IFERROR(__xludf.DUMMYFUNCTION("""COMPUTED_VALUE"""),"+ 12,6 %")</f>
        <v>+ 12,6 %</v>
      </c>
    </row>
    <row r="102">
      <c r="A102" s="2">
        <f>IFERROR(__xludf.DUMMYFUNCTION("""COMPUTED_VALUE"""),43132.0)</f>
        <v>43132</v>
      </c>
      <c r="B102" s="1" t="str">
        <f>IFERROR(__xludf.DUMMYFUNCTION("""COMPUTED_VALUE"""),"2.187 €/m2")</f>
        <v>2.187 €/m2</v>
      </c>
      <c r="C102" s="1" t="str">
        <f>IFERROR(__xludf.DUMMYFUNCTION("""COMPUTED_VALUE"""),"+ 3,5 %")</f>
        <v>+ 3,5 %</v>
      </c>
      <c r="D102" s="1" t="str">
        <f>IFERROR(__xludf.DUMMYFUNCTION("""COMPUTED_VALUE"""),"+ 4,5 %")</f>
        <v>+ 4,5 %</v>
      </c>
      <c r="E102" s="1" t="str">
        <f>IFERROR(__xludf.DUMMYFUNCTION("""COMPUTED_VALUE"""),"+ 10,6 %")</f>
        <v>+ 10,6 %</v>
      </c>
    </row>
    <row r="103">
      <c r="A103" s="2">
        <f>IFERROR(__xludf.DUMMYFUNCTION("""COMPUTED_VALUE"""),43101.0)</f>
        <v>43101</v>
      </c>
      <c r="B103" s="1" t="str">
        <f>IFERROR(__xludf.DUMMYFUNCTION("""COMPUTED_VALUE"""),"2.114 €/m2")</f>
        <v>2.114 €/m2</v>
      </c>
      <c r="C103" s="1" t="str">
        <f>IFERROR(__xludf.DUMMYFUNCTION("""COMPUTED_VALUE"""),"+ 1,0 %")</f>
        <v>+ 1,0 %</v>
      </c>
      <c r="D103" s="1" t="str">
        <f>IFERROR(__xludf.DUMMYFUNCTION("""COMPUTED_VALUE"""),"+ 0,5 %")</f>
        <v>+ 0,5 %</v>
      </c>
      <c r="E103" s="1" t="str">
        <f>IFERROR(__xludf.DUMMYFUNCTION("""COMPUTED_VALUE"""),"+ 7,1 %")</f>
        <v>+ 7,1 %</v>
      </c>
    </row>
    <row r="104">
      <c r="A104" s="2">
        <f>IFERROR(__xludf.DUMMYFUNCTION("""COMPUTED_VALUE"""),43070.0)</f>
        <v>43070</v>
      </c>
      <c r="B104" s="1" t="str">
        <f>IFERROR(__xludf.DUMMYFUNCTION("""COMPUTED_VALUE"""),"2.093 €/m2")</f>
        <v>2.093 €/m2</v>
      </c>
      <c r="C104" s="1" t="str">
        <f>IFERROR(__xludf.DUMMYFUNCTION("""COMPUTED_VALUE"""),"0,0 %")</f>
        <v>0,0 %</v>
      </c>
      <c r="D104" s="1" t="str">
        <f>IFERROR(__xludf.DUMMYFUNCTION("""COMPUTED_VALUE"""),"+ 1,0 %")</f>
        <v>+ 1,0 %</v>
      </c>
      <c r="E104" s="1" t="str">
        <f>IFERROR(__xludf.DUMMYFUNCTION("""COMPUTED_VALUE"""),"+ 5,9 %")</f>
        <v>+ 5,9 %</v>
      </c>
    </row>
    <row r="105">
      <c r="A105" s="2">
        <f>IFERROR(__xludf.DUMMYFUNCTION("""COMPUTED_VALUE"""),43040.0)</f>
        <v>43040</v>
      </c>
      <c r="B105" s="1" t="str">
        <f>IFERROR(__xludf.DUMMYFUNCTION("""COMPUTED_VALUE"""),"2.093 €/m2")</f>
        <v>2.093 €/m2</v>
      </c>
      <c r="C105" s="1" t="str">
        <f>IFERROR(__xludf.DUMMYFUNCTION("""COMPUTED_VALUE"""),"- 0,5 %")</f>
        <v>- 0,5 %</v>
      </c>
      <c r="D105" s="1" t="str">
        <f>IFERROR(__xludf.DUMMYFUNCTION("""COMPUTED_VALUE"""),"+ 2,4 %")</f>
        <v>+ 2,4 %</v>
      </c>
      <c r="E105" s="1" t="str">
        <f>IFERROR(__xludf.DUMMYFUNCTION("""COMPUTED_VALUE"""),"+ 7,9 %")</f>
        <v>+ 7,9 %</v>
      </c>
    </row>
    <row r="106">
      <c r="A106" s="2">
        <f>IFERROR(__xludf.DUMMYFUNCTION("""COMPUTED_VALUE"""),43009.0)</f>
        <v>43009</v>
      </c>
      <c r="B106" s="1" t="str">
        <f>IFERROR(__xludf.DUMMYFUNCTION("""COMPUTED_VALUE"""),"2.104 €/m2")</f>
        <v>2.104 €/m2</v>
      </c>
      <c r="C106" s="1" t="str">
        <f>IFERROR(__xludf.DUMMYFUNCTION("""COMPUTED_VALUE"""),"+ 1,5 %")</f>
        <v>+ 1,5 %</v>
      </c>
      <c r="D106" s="1" t="str">
        <f>IFERROR(__xludf.DUMMYFUNCTION("""COMPUTED_VALUE"""),"+ 3,8 %")</f>
        <v>+ 3,8 %</v>
      </c>
      <c r="E106" s="1" t="str">
        <f>IFERROR(__xludf.DUMMYFUNCTION("""COMPUTED_VALUE"""),"+ 9,1 %")</f>
        <v>+ 9,1 %</v>
      </c>
    </row>
    <row r="107">
      <c r="A107" s="2">
        <f>IFERROR(__xludf.DUMMYFUNCTION("""COMPUTED_VALUE"""),42979.0)</f>
        <v>42979</v>
      </c>
      <c r="B107" s="1" t="str">
        <f>IFERROR(__xludf.DUMMYFUNCTION("""COMPUTED_VALUE"""),"2.073 €/m2")</f>
        <v>2.073 €/m2</v>
      </c>
      <c r="C107" s="1" t="str">
        <f>IFERROR(__xludf.DUMMYFUNCTION("""COMPUTED_VALUE"""),"+ 1,4 %")</f>
        <v>+ 1,4 %</v>
      </c>
      <c r="D107" s="1" t="str">
        <f>IFERROR(__xludf.DUMMYFUNCTION("""COMPUTED_VALUE"""),"+ 3,2 %")</f>
        <v>+ 3,2 %</v>
      </c>
      <c r="E107" s="1" t="str">
        <f>IFERROR(__xludf.DUMMYFUNCTION("""COMPUTED_VALUE"""),"+ 7,6 %")</f>
        <v>+ 7,6 %</v>
      </c>
    </row>
    <row r="108">
      <c r="A108" s="2">
        <f>IFERROR(__xludf.DUMMYFUNCTION("""COMPUTED_VALUE"""),42948.0)</f>
        <v>42948</v>
      </c>
      <c r="B108" s="1" t="str">
        <f>IFERROR(__xludf.DUMMYFUNCTION("""COMPUTED_VALUE"""),"2.044 €/m2")</f>
        <v>2.044 €/m2</v>
      </c>
      <c r="C108" s="1" t="str">
        <f>IFERROR(__xludf.DUMMYFUNCTION("""COMPUTED_VALUE"""),"+ 0,8 %")</f>
        <v>+ 0,8 %</v>
      </c>
      <c r="D108" s="1" t="str">
        <f>IFERROR(__xludf.DUMMYFUNCTION("""COMPUTED_VALUE"""),"+ 3,4 %")</f>
        <v>+ 3,4 %</v>
      </c>
      <c r="E108" s="1" t="str">
        <f>IFERROR(__xludf.DUMMYFUNCTION("""COMPUTED_VALUE"""),"+ 7,9 %")</f>
        <v>+ 7,9 %</v>
      </c>
    </row>
    <row r="109">
      <c r="A109" s="2">
        <f>IFERROR(__xludf.DUMMYFUNCTION("""COMPUTED_VALUE"""),42917.0)</f>
        <v>42917</v>
      </c>
      <c r="B109" s="1" t="str">
        <f>IFERROR(__xludf.DUMMYFUNCTION("""COMPUTED_VALUE"""),"2.027 €/m2")</f>
        <v>2.027 €/m2</v>
      </c>
      <c r="C109" s="1" t="str">
        <f>IFERROR(__xludf.DUMMYFUNCTION("""COMPUTED_VALUE"""),"+ 0,9 %")</f>
        <v>+ 0,9 %</v>
      </c>
      <c r="D109" s="1" t="str">
        <f>IFERROR(__xludf.DUMMYFUNCTION("""COMPUTED_VALUE"""),"+ 4,4 %")</f>
        <v>+ 4,4 %</v>
      </c>
      <c r="E109" s="1" t="str">
        <f>IFERROR(__xludf.DUMMYFUNCTION("""COMPUTED_VALUE"""),"+ 5,8 %")</f>
        <v>+ 5,8 %</v>
      </c>
    </row>
    <row r="110">
      <c r="A110" s="2">
        <f>IFERROR(__xludf.DUMMYFUNCTION("""COMPUTED_VALUE"""),42887.0)</f>
        <v>42887</v>
      </c>
      <c r="B110" s="1" t="str">
        <f>IFERROR(__xludf.DUMMYFUNCTION("""COMPUTED_VALUE"""),"2.009 €/m2")</f>
        <v>2.009 €/m2</v>
      </c>
      <c r="C110" s="1" t="str">
        <f>IFERROR(__xludf.DUMMYFUNCTION("""COMPUTED_VALUE"""),"+ 1,7 %")</f>
        <v>+ 1,7 %</v>
      </c>
      <c r="D110" s="1" t="str">
        <f>IFERROR(__xludf.DUMMYFUNCTION("""COMPUTED_VALUE"""),"+ 2,6 %")</f>
        <v>+ 2,6 %</v>
      </c>
      <c r="E110" s="1" t="str">
        <f>IFERROR(__xludf.DUMMYFUNCTION("""COMPUTED_VALUE"""),"+ 4,6 %")</f>
        <v>+ 4,6 %</v>
      </c>
    </row>
    <row r="111">
      <c r="A111" s="2">
        <f>IFERROR(__xludf.DUMMYFUNCTION("""COMPUTED_VALUE"""),42856.0)</f>
        <v>42856</v>
      </c>
      <c r="B111" s="1" t="str">
        <f>IFERROR(__xludf.DUMMYFUNCTION("""COMPUTED_VALUE"""),"1.976 €/m2")</f>
        <v>1.976 €/m2</v>
      </c>
      <c r="C111" s="1" t="str">
        <f>IFERROR(__xludf.DUMMYFUNCTION("""COMPUTED_VALUE"""),"+ 1,7 %")</f>
        <v>+ 1,7 %</v>
      </c>
      <c r="D111" s="1" t="str">
        <f>IFERROR(__xludf.DUMMYFUNCTION("""COMPUTED_VALUE"""),"- 0,1 %")</f>
        <v>- 0,1 %</v>
      </c>
      <c r="E111" s="1" t="str">
        <f>IFERROR(__xludf.DUMMYFUNCTION("""COMPUTED_VALUE"""),"+ 4,1 %")</f>
        <v>+ 4,1 %</v>
      </c>
    </row>
    <row r="112">
      <c r="A112" s="2">
        <f>IFERROR(__xludf.DUMMYFUNCTION("""COMPUTED_VALUE"""),42826.0)</f>
        <v>42826</v>
      </c>
      <c r="B112" s="1" t="str">
        <f>IFERROR(__xludf.DUMMYFUNCTION("""COMPUTED_VALUE"""),"1.942 €/m2")</f>
        <v>1.942 €/m2</v>
      </c>
      <c r="C112" s="1" t="str">
        <f>IFERROR(__xludf.DUMMYFUNCTION("""COMPUTED_VALUE"""),"- 0,8 %")</f>
        <v>- 0,8 %</v>
      </c>
      <c r="D112" s="1" t="str">
        <f>IFERROR(__xludf.DUMMYFUNCTION("""COMPUTED_VALUE"""),"- 1,6 %")</f>
        <v>- 1,6 %</v>
      </c>
      <c r="E112" s="1" t="str">
        <f>IFERROR(__xludf.DUMMYFUNCTION("""COMPUTED_VALUE"""),"+ 3,0 %")</f>
        <v>+ 3,0 %</v>
      </c>
    </row>
    <row r="113">
      <c r="A113" s="2">
        <f>IFERROR(__xludf.DUMMYFUNCTION("""COMPUTED_VALUE"""),42795.0)</f>
        <v>42795</v>
      </c>
      <c r="B113" s="1" t="str">
        <f>IFERROR(__xludf.DUMMYFUNCTION("""COMPUTED_VALUE"""),"1.958 €/m2")</f>
        <v>1.958 €/m2</v>
      </c>
      <c r="C113" s="1" t="str">
        <f>IFERROR(__xludf.DUMMYFUNCTION("""COMPUTED_VALUE"""),"- 1,0 %")</f>
        <v>- 1,0 %</v>
      </c>
      <c r="D113" s="1" t="str">
        <f>IFERROR(__xludf.DUMMYFUNCTION("""COMPUTED_VALUE"""),"- 0,9 %")</f>
        <v>- 0,9 %</v>
      </c>
      <c r="E113" s="1" t="str">
        <f>IFERROR(__xludf.DUMMYFUNCTION("""COMPUTED_VALUE"""),"+ 4,6 %")</f>
        <v>+ 4,6 %</v>
      </c>
    </row>
    <row r="114">
      <c r="A114" s="2">
        <f>IFERROR(__xludf.DUMMYFUNCTION("""COMPUTED_VALUE"""),42767.0)</f>
        <v>42767</v>
      </c>
      <c r="B114" s="1" t="str">
        <f>IFERROR(__xludf.DUMMYFUNCTION("""COMPUTED_VALUE"""),"1.978 €/m2")</f>
        <v>1.978 €/m2</v>
      </c>
      <c r="C114" s="1" t="str">
        <f>IFERROR(__xludf.DUMMYFUNCTION("""COMPUTED_VALUE"""),"+ 0,2 %")</f>
        <v>+ 0,2 %</v>
      </c>
      <c r="D114" s="1" t="str">
        <f>IFERROR(__xludf.DUMMYFUNCTION("""COMPUTED_VALUE"""),"+ 1,9 %")</f>
        <v>+ 1,9 %</v>
      </c>
      <c r="E114" s="1" t="str">
        <f>IFERROR(__xludf.DUMMYFUNCTION("""COMPUTED_VALUE"""),"+ 7,9 %")</f>
        <v>+ 7,9 %</v>
      </c>
    </row>
    <row r="115">
      <c r="A115" s="2">
        <f>IFERROR(__xludf.DUMMYFUNCTION("""COMPUTED_VALUE"""),42736.0)</f>
        <v>42736</v>
      </c>
      <c r="B115" s="1" t="str">
        <f>IFERROR(__xludf.DUMMYFUNCTION("""COMPUTED_VALUE"""),"1.974 €/m2")</f>
        <v>1.974 €/m2</v>
      </c>
      <c r="C115" s="1" t="str">
        <f>IFERROR(__xludf.DUMMYFUNCTION("""COMPUTED_VALUE"""),"- 0,1 %")</f>
        <v>- 0,1 %</v>
      </c>
      <c r="D115" s="1" t="str">
        <f>IFERROR(__xludf.DUMMYFUNCTION("""COMPUTED_VALUE"""),"+ 2,4 %")</f>
        <v>+ 2,4 %</v>
      </c>
      <c r="E115" s="1" t="str">
        <f>IFERROR(__xludf.DUMMYFUNCTION("""COMPUTED_VALUE"""),"+ 6,9 %")</f>
        <v>+ 6,9 %</v>
      </c>
    </row>
    <row r="116">
      <c r="A116" s="2">
        <f>IFERROR(__xludf.DUMMYFUNCTION("""COMPUTED_VALUE"""),42705.0)</f>
        <v>42705</v>
      </c>
      <c r="B116" s="1" t="str">
        <f>IFERROR(__xludf.DUMMYFUNCTION("""COMPUTED_VALUE"""),"1.976 €/m2")</f>
        <v>1.976 €/m2</v>
      </c>
      <c r="C116" s="1" t="str">
        <f>IFERROR(__xludf.DUMMYFUNCTION("""COMPUTED_VALUE"""),"+ 1,8 %")</f>
        <v>+ 1,8 %</v>
      </c>
      <c r="D116" s="1" t="str">
        <f>IFERROR(__xludf.DUMMYFUNCTION("""COMPUTED_VALUE"""),"+ 2,5 %")</f>
        <v>+ 2,5 %</v>
      </c>
      <c r="E116" s="1" t="str">
        <f>IFERROR(__xludf.DUMMYFUNCTION("""COMPUTED_VALUE"""),"+ 4,6 %")</f>
        <v>+ 4,6 %</v>
      </c>
    </row>
    <row r="117">
      <c r="A117" s="2">
        <f>IFERROR(__xludf.DUMMYFUNCTION("""COMPUTED_VALUE"""),42675.0)</f>
        <v>42675</v>
      </c>
      <c r="B117" s="1" t="str">
        <f>IFERROR(__xludf.DUMMYFUNCTION("""COMPUTED_VALUE"""),"1.940 €/m2")</f>
        <v>1.940 €/m2</v>
      </c>
      <c r="C117" s="1" t="str">
        <f>IFERROR(__xludf.DUMMYFUNCTION("""COMPUTED_VALUE"""),"+ 0,6 %")</f>
        <v>+ 0,6 %</v>
      </c>
      <c r="D117" s="1" t="str">
        <f>IFERROR(__xludf.DUMMYFUNCTION("""COMPUTED_VALUE"""),"+ 2,5 %")</f>
        <v>+ 2,5 %</v>
      </c>
      <c r="E117" s="1" t="str">
        <f>IFERROR(__xludf.DUMMYFUNCTION("""COMPUTED_VALUE"""),"+ 3,6 %")</f>
        <v>+ 3,6 %</v>
      </c>
    </row>
    <row r="118">
      <c r="A118" s="2">
        <f>IFERROR(__xludf.DUMMYFUNCTION("""COMPUTED_VALUE"""),42644.0)</f>
        <v>42644</v>
      </c>
      <c r="B118" s="1" t="str">
        <f>IFERROR(__xludf.DUMMYFUNCTION("""COMPUTED_VALUE"""),"1.928 €/m2")</f>
        <v>1.928 €/m2</v>
      </c>
      <c r="C118" s="1" t="str">
        <f>IFERROR(__xludf.DUMMYFUNCTION("""COMPUTED_VALUE"""),"+ 0,1 %")</f>
        <v>+ 0,1 %</v>
      </c>
      <c r="D118" s="1" t="str">
        <f>IFERROR(__xludf.DUMMYFUNCTION("""COMPUTED_VALUE"""),"+ 0,6 %")</f>
        <v>+ 0,6 %</v>
      </c>
      <c r="E118" s="1" t="str">
        <f>IFERROR(__xludf.DUMMYFUNCTION("""COMPUTED_VALUE"""),"+ 2,4 %")</f>
        <v>+ 2,4 %</v>
      </c>
    </row>
    <row r="119">
      <c r="A119" s="2">
        <f>IFERROR(__xludf.DUMMYFUNCTION("""COMPUTED_VALUE"""),42614.0)</f>
        <v>42614</v>
      </c>
      <c r="B119" s="1" t="str">
        <f>IFERROR(__xludf.DUMMYFUNCTION("""COMPUTED_VALUE"""),"1.927 €/m2")</f>
        <v>1.927 €/m2</v>
      </c>
      <c r="C119" s="1" t="str">
        <f>IFERROR(__xludf.DUMMYFUNCTION("""COMPUTED_VALUE"""),"+ 1,8 %")</f>
        <v>+ 1,8 %</v>
      </c>
      <c r="D119" s="1" t="str">
        <f>IFERROR(__xludf.DUMMYFUNCTION("""COMPUTED_VALUE"""),"+ 0,3 %")</f>
        <v>+ 0,3 %</v>
      </c>
      <c r="E119" s="1" t="str">
        <f>IFERROR(__xludf.DUMMYFUNCTION("""COMPUTED_VALUE"""),"+ 2,5 %")</f>
        <v>+ 2,5 %</v>
      </c>
    </row>
    <row r="120">
      <c r="A120" s="2">
        <f>IFERROR(__xludf.DUMMYFUNCTION("""COMPUTED_VALUE"""),42583.0)</f>
        <v>42583</v>
      </c>
      <c r="B120" s="1" t="str">
        <f>IFERROR(__xludf.DUMMYFUNCTION("""COMPUTED_VALUE"""),"1.893 €/m2")</f>
        <v>1.893 €/m2</v>
      </c>
      <c r="C120" s="1" t="str">
        <f>IFERROR(__xludf.DUMMYFUNCTION("""COMPUTED_VALUE"""),"- 1,2 %")</f>
        <v>- 1,2 %</v>
      </c>
      <c r="D120" s="1" t="str">
        <f>IFERROR(__xludf.DUMMYFUNCTION("""COMPUTED_VALUE"""),"- 0,2 %")</f>
        <v>- 0,2 %</v>
      </c>
      <c r="E120" s="1" t="str">
        <f>IFERROR(__xludf.DUMMYFUNCTION("""COMPUTED_VALUE"""),"+ 2,0 %")</f>
        <v>+ 2,0 %</v>
      </c>
    </row>
    <row r="121">
      <c r="A121" s="2">
        <f>IFERROR(__xludf.DUMMYFUNCTION("""COMPUTED_VALUE"""),42552.0)</f>
        <v>42552</v>
      </c>
      <c r="B121" s="1" t="str">
        <f>IFERROR(__xludf.DUMMYFUNCTION("""COMPUTED_VALUE"""),"1.917 €/m2")</f>
        <v>1.917 €/m2</v>
      </c>
      <c r="C121" s="1" t="str">
        <f>IFERROR(__xludf.DUMMYFUNCTION("""COMPUTED_VALUE"""),"- 0,2 %")</f>
        <v>- 0,2 %</v>
      </c>
      <c r="D121" s="1" t="str">
        <f>IFERROR(__xludf.DUMMYFUNCTION("""COMPUTED_VALUE"""),"+ 1,7 %")</f>
        <v>+ 1,7 %</v>
      </c>
      <c r="E121" s="1" t="str">
        <f>IFERROR(__xludf.DUMMYFUNCTION("""COMPUTED_VALUE"""),"- 0,9 %")</f>
        <v>- 0,9 %</v>
      </c>
    </row>
    <row r="122">
      <c r="A122" s="2">
        <f>IFERROR(__xludf.DUMMYFUNCTION("""COMPUTED_VALUE"""),42522.0)</f>
        <v>42522</v>
      </c>
      <c r="B122" s="1" t="str">
        <f>IFERROR(__xludf.DUMMYFUNCTION("""COMPUTED_VALUE"""),"1.921 €/m2")</f>
        <v>1.921 €/m2</v>
      </c>
      <c r="C122" s="1" t="str">
        <f>IFERROR(__xludf.DUMMYFUNCTION("""COMPUTED_VALUE"""),"+ 1,2 %")</f>
        <v>+ 1,2 %</v>
      </c>
      <c r="D122" s="1" t="str">
        <f>IFERROR(__xludf.DUMMYFUNCTION("""COMPUTED_VALUE"""),"+ 2,7 %")</f>
        <v>+ 2,7 %</v>
      </c>
      <c r="E122" s="1" t="str">
        <f>IFERROR(__xludf.DUMMYFUNCTION("""COMPUTED_VALUE"""),"- 1,9 %")</f>
        <v>- 1,9 %</v>
      </c>
    </row>
    <row r="123">
      <c r="A123" s="2">
        <f>IFERROR(__xludf.DUMMYFUNCTION("""COMPUTED_VALUE"""),42491.0)</f>
        <v>42491</v>
      </c>
      <c r="B123" s="1" t="str">
        <f>IFERROR(__xludf.DUMMYFUNCTION("""COMPUTED_VALUE"""),"1.897 €/m2")</f>
        <v>1.897 €/m2</v>
      </c>
      <c r="C123" s="1" t="str">
        <f>IFERROR(__xludf.DUMMYFUNCTION("""COMPUTED_VALUE"""),"+ 0,7 %")</f>
        <v>+ 0,7 %</v>
      </c>
      <c r="D123" s="1" t="str">
        <f>IFERROR(__xludf.DUMMYFUNCTION("""COMPUTED_VALUE"""),"+ 3,5 %")</f>
        <v>+ 3,5 %</v>
      </c>
      <c r="E123" s="1" t="str">
        <f>IFERROR(__xludf.DUMMYFUNCTION("""COMPUTED_VALUE"""),"- 4,1 %")</f>
        <v>- 4,1 %</v>
      </c>
    </row>
    <row r="124">
      <c r="A124" s="2">
        <f>IFERROR(__xludf.DUMMYFUNCTION("""COMPUTED_VALUE"""),42461.0)</f>
        <v>42461</v>
      </c>
      <c r="B124" s="1" t="str">
        <f>IFERROR(__xludf.DUMMYFUNCTION("""COMPUTED_VALUE"""),"1.885 €/m2")</f>
        <v>1.885 €/m2</v>
      </c>
      <c r="C124" s="1" t="str">
        <f>IFERROR(__xludf.DUMMYFUNCTION("""COMPUTED_VALUE"""),"+ 0,7 %")</f>
        <v>+ 0,7 %</v>
      </c>
      <c r="D124" s="1" t="str">
        <f>IFERROR(__xludf.DUMMYFUNCTION("""COMPUTED_VALUE"""),"+ 2,0 %")</f>
        <v>+ 2,0 %</v>
      </c>
      <c r="E124" s="1" t="str">
        <f>IFERROR(__xludf.DUMMYFUNCTION("""COMPUTED_VALUE"""),"- 4,7 %")</f>
        <v>- 4,7 %</v>
      </c>
    </row>
    <row r="125">
      <c r="A125" s="2">
        <f>IFERROR(__xludf.DUMMYFUNCTION("""COMPUTED_VALUE"""),42430.0)</f>
        <v>42430</v>
      </c>
      <c r="B125" s="1" t="str">
        <f>IFERROR(__xludf.DUMMYFUNCTION("""COMPUTED_VALUE"""),"1.871 €/m2")</f>
        <v>1.871 €/m2</v>
      </c>
      <c r="C125" s="1" t="str">
        <f>IFERROR(__xludf.DUMMYFUNCTION("""COMPUTED_VALUE"""),"+ 2,1 %")</f>
        <v>+ 2,1 %</v>
      </c>
      <c r="D125" s="1" t="str">
        <f>IFERROR(__xludf.DUMMYFUNCTION("""COMPUTED_VALUE"""),"- 0,9 %")</f>
        <v>- 0,9 %</v>
      </c>
      <c r="E125" s="1" t="str">
        <f>IFERROR(__xludf.DUMMYFUNCTION("""COMPUTED_VALUE"""),"- 4,2 %")</f>
        <v>- 4,2 %</v>
      </c>
    </row>
    <row r="126">
      <c r="A126" s="2">
        <f>IFERROR(__xludf.DUMMYFUNCTION("""COMPUTED_VALUE"""),42401.0)</f>
        <v>42401</v>
      </c>
      <c r="B126" s="1" t="str">
        <f>IFERROR(__xludf.DUMMYFUNCTION("""COMPUTED_VALUE"""),"1.833 €/m2")</f>
        <v>1.833 €/m2</v>
      </c>
      <c r="C126" s="1" t="str">
        <f>IFERROR(__xludf.DUMMYFUNCTION("""COMPUTED_VALUE"""),"- 0,8 %")</f>
        <v>- 0,8 %</v>
      </c>
      <c r="D126" s="1" t="str">
        <f>IFERROR(__xludf.DUMMYFUNCTION("""COMPUTED_VALUE"""),"- 2,1 %")</f>
        <v>- 2,1 %</v>
      </c>
      <c r="E126" s="1" t="str">
        <f>IFERROR(__xludf.DUMMYFUNCTION("""COMPUTED_VALUE"""),"- 5,4 %")</f>
        <v>- 5,4 %</v>
      </c>
    </row>
    <row r="127">
      <c r="A127" s="2">
        <f>IFERROR(__xludf.DUMMYFUNCTION("""COMPUTED_VALUE"""),42370.0)</f>
        <v>42370</v>
      </c>
      <c r="B127" s="1" t="str">
        <f>IFERROR(__xludf.DUMMYFUNCTION("""COMPUTED_VALUE"""),"1.848 €/m2")</f>
        <v>1.848 €/m2</v>
      </c>
      <c r="C127" s="1" t="str">
        <f>IFERROR(__xludf.DUMMYFUNCTION("""COMPUTED_VALUE"""),"- 2,2 %")</f>
        <v>- 2,2 %</v>
      </c>
      <c r="D127" s="1" t="str">
        <f>IFERROR(__xludf.DUMMYFUNCTION("""COMPUTED_VALUE"""),"- 1,9 %")</f>
        <v>- 1,9 %</v>
      </c>
      <c r="E127" s="1" t="str">
        <f>IFERROR(__xludf.DUMMYFUNCTION("""COMPUTED_VALUE"""),"- 5,3 %")</f>
        <v>- 5,3 %</v>
      </c>
    </row>
    <row r="128">
      <c r="A128" s="2">
        <f>IFERROR(__xludf.DUMMYFUNCTION("""COMPUTED_VALUE"""),42339.0)</f>
        <v>42339</v>
      </c>
      <c r="B128" s="1" t="str">
        <f>IFERROR(__xludf.DUMMYFUNCTION("""COMPUTED_VALUE"""),"1.889 €/m2")</f>
        <v>1.889 €/m2</v>
      </c>
      <c r="C128" s="1" t="str">
        <f>IFERROR(__xludf.DUMMYFUNCTION("""COMPUTED_VALUE"""),"+ 0,8 %")</f>
        <v>+ 0,8 %</v>
      </c>
      <c r="D128" s="1" t="str">
        <f>IFERROR(__xludf.DUMMYFUNCTION("""COMPUTED_VALUE"""),"+ 0,5 %")</f>
        <v>+ 0,5 %</v>
      </c>
      <c r="E128" s="1" t="str">
        <f>IFERROR(__xludf.DUMMYFUNCTION("""COMPUTED_VALUE"""),"- 3,5 %")</f>
        <v>- 3,5 %</v>
      </c>
    </row>
    <row r="129">
      <c r="A129" s="2">
        <f>IFERROR(__xludf.DUMMYFUNCTION("""COMPUTED_VALUE"""),42309.0)</f>
        <v>42309</v>
      </c>
      <c r="B129" s="1" t="str">
        <f>IFERROR(__xludf.DUMMYFUNCTION("""COMPUTED_VALUE"""),"1.873 €/m2")</f>
        <v>1.873 €/m2</v>
      </c>
      <c r="C129" s="1" t="str">
        <f>IFERROR(__xludf.DUMMYFUNCTION("""COMPUTED_VALUE"""),"- 0,5 %")</f>
        <v>- 0,5 %</v>
      </c>
      <c r="D129" s="1" t="str">
        <f>IFERROR(__xludf.DUMMYFUNCTION("""COMPUTED_VALUE"""),"+ 1,0 %")</f>
        <v>+ 1,0 %</v>
      </c>
      <c r="E129" s="1" t="str">
        <f>IFERROR(__xludf.DUMMYFUNCTION("""COMPUTED_VALUE"""),"- 4,4 %")</f>
        <v>- 4,4 %</v>
      </c>
    </row>
    <row r="130">
      <c r="A130" s="2">
        <f>IFERROR(__xludf.DUMMYFUNCTION("""COMPUTED_VALUE"""),42278.0)</f>
        <v>42278</v>
      </c>
      <c r="B130" s="1" t="str">
        <f>IFERROR(__xludf.DUMMYFUNCTION("""COMPUTED_VALUE"""),"1.883 €/m2")</f>
        <v>1.883 €/m2</v>
      </c>
      <c r="C130" s="1" t="str">
        <f>IFERROR(__xludf.DUMMYFUNCTION("""COMPUTED_VALUE"""),"+ 0,2 %")</f>
        <v>+ 0,2 %</v>
      </c>
      <c r="D130" s="1" t="str">
        <f>IFERROR(__xludf.DUMMYFUNCTION("""COMPUTED_VALUE"""),"- 2,7 %")</f>
        <v>- 2,7 %</v>
      </c>
      <c r="E130" s="1" t="str">
        <f>IFERROR(__xludf.DUMMYFUNCTION("""COMPUTED_VALUE"""),"- 4,1 %")</f>
        <v>- 4,1 %</v>
      </c>
    </row>
    <row r="131">
      <c r="A131" s="2">
        <f>IFERROR(__xludf.DUMMYFUNCTION("""COMPUTED_VALUE"""),42248.0)</f>
        <v>42248</v>
      </c>
      <c r="B131" s="1" t="str">
        <f>IFERROR(__xludf.DUMMYFUNCTION("""COMPUTED_VALUE"""),"1.879 €/m2")</f>
        <v>1.879 €/m2</v>
      </c>
      <c r="C131" s="1" t="str">
        <f>IFERROR(__xludf.DUMMYFUNCTION("""COMPUTED_VALUE"""),"+ 1,3 %")</f>
        <v>+ 1,3 %</v>
      </c>
      <c r="D131" s="1" t="str">
        <f>IFERROR(__xludf.DUMMYFUNCTION("""COMPUTED_VALUE"""),"- 4,0 %")</f>
        <v>- 4,0 %</v>
      </c>
      <c r="E131" s="1" t="str">
        <f>IFERROR(__xludf.DUMMYFUNCTION("""COMPUTED_VALUE"""),"- 7,8 %")</f>
        <v>- 7,8 %</v>
      </c>
    </row>
    <row r="132">
      <c r="A132" s="2">
        <f>IFERROR(__xludf.DUMMYFUNCTION("""COMPUTED_VALUE"""),42217.0)</f>
        <v>42217</v>
      </c>
      <c r="B132" s="1" t="str">
        <f>IFERROR(__xludf.DUMMYFUNCTION("""COMPUTED_VALUE"""),"1.855 €/m2")</f>
        <v>1.855 €/m2</v>
      </c>
      <c r="C132" s="1" t="str">
        <f>IFERROR(__xludf.DUMMYFUNCTION("""COMPUTED_VALUE"""),"- 4,1 %")</f>
        <v>- 4,1 %</v>
      </c>
      <c r="D132" s="1" t="str">
        <f>IFERROR(__xludf.DUMMYFUNCTION("""COMPUTED_VALUE"""),"- 6,2 %")</f>
        <v>- 6,2 %</v>
      </c>
      <c r="E132" s="1" t="str">
        <f>IFERROR(__xludf.DUMMYFUNCTION("""COMPUTED_VALUE"""),"- 7,9 %")</f>
        <v>- 7,9 %</v>
      </c>
    </row>
    <row r="133">
      <c r="A133" s="2">
        <f>IFERROR(__xludf.DUMMYFUNCTION("""COMPUTED_VALUE"""),42186.0)</f>
        <v>42186</v>
      </c>
      <c r="B133" s="1" t="str">
        <f>IFERROR(__xludf.DUMMYFUNCTION("""COMPUTED_VALUE"""),"1.935 €/m2")</f>
        <v>1.935 €/m2</v>
      </c>
      <c r="C133" s="1" t="str">
        <f>IFERROR(__xludf.DUMMYFUNCTION("""COMPUTED_VALUE"""),"- 1,1 %")</f>
        <v>- 1,1 %</v>
      </c>
      <c r="D133" s="1" t="str">
        <f>IFERROR(__xludf.DUMMYFUNCTION("""COMPUTED_VALUE"""),"- 2,2 %")</f>
        <v>- 2,2 %</v>
      </c>
      <c r="E133" s="1" t="str">
        <f>IFERROR(__xludf.DUMMYFUNCTION("""COMPUTED_VALUE"""),"- 2,3 %")</f>
        <v>- 2,3 %</v>
      </c>
    </row>
    <row r="134">
      <c r="A134" s="2">
        <f>IFERROR(__xludf.DUMMYFUNCTION("""COMPUTED_VALUE"""),42156.0)</f>
        <v>42156</v>
      </c>
      <c r="B134" s="1" t="str">
        <f>IFERROR(__xludf.DUMMYFUNCTION("""COMPUTED_VALUE"""),"1.958 €/m2")</f>
        <v>1.958 €/m2</v>
      </c>
      <c r="C134" s="1" t="str">
        <f>IFERROR(__xludf.DUMMYFUNCTION("""COMPUTED_VALUE"""),"- 1,0 %")</f>
        <v>- 1,0 %</v>
      </c>
      <c r="D134" s="1" t="str">
        <f>IFERROR(__xludf.DUMMYFUNCTION("""COMPUTED_VALUE"""),"+ 0,3 %")</f>
        <v>+ 0,3 %</v>
      </c>
      <c r="E134" s="1" t="str">
        <f>IFERROR(__xludf.DUMMYFUNCTION("""COMPUTED_VALUE"""),"+ 0,1 %")</f>
        <v>+ 0,1 %</v>
      </c>
    </row>
    <row r="135">
      <c r="A135" s="2">
        <f>IFERROR(__xludf.DUMMYFUNCTION("""COMPUTED_VALUE"""),42125.0)</f>
        <v>42125</v>
      </c>
      <c r="B135" s="1" t="str">
        <f>IFERROR(__xludf.DUMMYFUNCTION("""COMPUTED_VALUE"""),"1.977 €/m2")</f>
        <v>1.977 €/m2</v>
      </c>
      <c r="C135" s="1" t="str">
        <f>IFERROR(__xludf.DUMMYFUNCTION("""COMPUTED_VALUE"""),"0,0 %")</f>
        <v>0,0 %</v>
      </c>
      <c r="D135" s="1" t="str">
        <f>IFERROR(__xludf.DUMMYFUNCTION("""COMPUTED_VALUE"""),"+ 2,1 %")</f>
        <v>+ 2,1 %</v>
      </c>
      <c r="E135" s="1" t="str">
        <f>IFERROR(__xludf.DUMMYFUNCTION("""COMPUTED_VALUE"""),"+ 0,3 %")</f>
        <v>+ 0,3 %</v>
      </c>
    </row>
    <row r="136">
      <c r="A136" s="2">
        <f>IFERROR(__xludf.DUMMYFUNCTION("""COMPUTED_VALUE"""),42095.0)</f>
        <v>42095</v>
      </c>
      <c r="B136" s="1" t="str">
        <f>IFERROR(__xludf.DUMMYFUNCTION("""COMPUTED_VALUE"""),"1.978 €/m2")</f>
        <v>1.978 €/m2</v>
      </c>
      <c r="C136" s="1" t="str">
        <f>IFERROR(__xludf.DUMMYFUNCTION("""COMPUTED_VALUE"""),"+ 1,3 %")</f>
        <v>+ 1,3 %</v>
      </c>
      <c r="D136" s="1" t="str">
        <f>IFERROR(__xludf.DUMMYFUNCTION("""COMPUTED_VALUE"""),"+ 1,4 %")</f>
        <v>+ 1,4 %</v>
      </c>
      <c r="E136" s="1" t="str">
        <f>IFERROR(__xludf.DUMMYFUNCTION("""COMPUTED_VALUE"""),"- 0,6 %")</f>
        <v>- 0,6 %</v>
      </c>
    </row>
    <row r="137">
      <c r="A137" s="2">
        <f>IFERROR(__xludf.DUMMYFUNCTION("""COMPUTED_VALUE"""),42064.0)</f>
        <v>42064</v>
      </c>
      <c r="B137" s="1" t="str">
        <f>IFERROR(__xludf.DUMMYFUNCTION("""COMPUTED_VALUE"""),"1.952 €/m2")</f>
        <v>1.952 €/m2</v>
      </c>
      <c r="C137" s="1" t="str">
        <f>IFERROR(__xludf.DUMMYFUNCTION("""COMPUTED_VALUE"""),"+ 0,8 %")</f>
        <v>+ 0,8 %</v>
      </c>
      <c r="D137" s="1" t="str">
        <f>IFERROR(__xludf.DUMMYFUNCTION("""COMPUTED_VALUE"""),"- 0,3 %")</f>
        <v>- 0,3 %</v>
      </c>
      <c r="E137" s="1" t="str">
        <f>IFERROR(__xludf.DUMMYFUNCTION("""COMPUTED_VALUE"""),"- 3,7 %")</f>
        <v>- 3,7 %</v>
      </c>
    </row>
    <row r="138">
      <c r="A138" s="2">
        <f>IFERROR(__xludf.DUMMYFUNCTION("""COMPUTED_VALUE"""),42036.0)</f>
        <v>42036</v>
      </c>
      <c r="B138" s="1" t="str">
        <f>IFERROR(__xludf.DUMMYFUNCTION("""COMPUTED_VALUE"""),"1.937 €/m2")</f>
        <v>1.937 €/m2</v>
      </c>
      <c r="C138" s="1" t="str">
        <f>IFERROR(__xludf.DUMMYFUNCTION("""COMPUTED_VALUE"""),"- 0,7 %")</f>
        <v>- 0,7 %</v>
      </c>
      <c r="D138" s="1" t="str">
        <f>IFERROR(__xludf.DUMMYFUNCTION("""COMPUTED_VALUE"""),"- 1,1 %")</f>
        <v>- 1,1 %</v>
      </c>
      <c r="E138" s="1" t="str">
        <f>IFERROR(__xludf.DUMMYFUNCTION("""COMPUTED_VALUE"""),"- 3,7 %")</f>
        <v>- 3,7 %</v>
      </c>
    </row>
    <row r="139">
      <c r="A139" s="2">
        <f>IFERROR(__xludf.DUMMYFUNCTION("""COMPUTED_VALUE"""),42005.0)</f>
        <v>42005</v>
      </c>
      <c r="B139" s="1" t="str">
        <f>IFERROR(__xludf.DUMMYFUNCTION("""COMPUTED_VALUE"""),"1.950 €/m2")</f>
        <v>1.950 €/m2</v>
      </c>
      <c r="C139" s="1" t="str">
        <f>IFERROR(__xludf.DUMMYFUNCTION("""COMPUTED_VALUE"""),"- 0,4 %")</f>
        <v>- 0,4 %</v>
      </c>
      <c r="D139" s="1" t="str">
        <f>IFERROR(__xludf.DUMMYFUNCTION("""COMPUTED_VALUE"""),"- 0,6 %")</f>
        <v>- 0,6 %</v>
      </c>
      <c r="E139" s="1" t="str">
        <f>IFERROR(__xludf.DUMMYFUNCTION("""COMPUTED_VALUE"""),"- 3,6 %")</f>
        <v>- 3,6 %</v>
      </c>
    </row>
    <row r="140">
      <c r="A140" s="2">
        <f>IFERROR(__xludf.DUMMYFUNCTION("""COMPUTED_VALUE"""),41974.0)</f>
        <v>41974</v>
      </c>
      <c r="B140" s="1" t="str">
        <f>IFERROR(__xludf.DUMMYFUNCTION("""COMPUTED_VALUE"""),"1.958 €/m2")</f>
        <v>1.958 €/m2</v>
      </c>
      <c r="C140" s="1" t="str">
        <f>IFERROR(__xludf.DUMMYFUNCTION("""COMPUTED_VALUE"""),"0,0 %")</f>
        <v>0,0 %</v>
      </c>
      <c r="D140" s="1" t="str">
        <f>IFERROR(__xludf.DUMMYFUNCTION("""COMPUTED_VALUE"""),"- 4,0 %")</f>
        <v>- 4,0 %</v>
      </c>
      <c r="E140" s="1" t="str">
        <f>IFERROR(__xludf.DUMMYFUNCTION("""COMPUTED_VALUE"""),"- 1,5 %")</f>
        <v>- 1,5 %</v>
      </c>
    </row>
    <row r="141">
      <c r="A141" s="2">
        <f>IFERROR(__xludf.DUMMYFUNCTION("""COMPUTED_VALUE"""),41944.0)</f>
        <v>41944</v>
      </c>
      <c r="B141" s="1" t="str">
        <f>IFERROR(__xludf.DUMMYFUNCTION("""COMPUTED_VALUE"""),"1.958 €/m2")</f>
        <v>1.958 €/m2</v>
      </c>
      <c r="C141" s="1" t="str">
        <f>IFERROR(__xludf.DUMMYFUNCTION("""COMPUTED_VALUE"""),"- 0,2 %")</f>
        <v>- 0,2 %</v>
      </c>
      <c r="D141" s="1" t="str">
        <f>IFERROR(__xludf.DUMMYFUNCTION("""COMPUTED_VALUE"""),"- 2,8 %")</f>
        <v>- 2,8 %</v>
      </c>
      <c r="E141" s="1" t="str">
        <f>IFERROR(__xludf.DUMMYFUNCTION("""COMPUTED_VALUE"""),"- 3,2 %")</f>
        <v>- 3,2 %</v>
      </c>
    </row>
    <row r="142">
      <c r="A142" s="2">
        <f>IFERROR(__xludf.DUMMYFUNCTION("""COMPUTED_VALUE"""),41913.0)</f>
        <v>41913</v>
      </c>
      <c r="B142" s="1" t="str">
        <f>IFERROR(__xludf.DUMMYFUNCTION("""COMPUTED_VALUE"""),"1.963 €/m2")</f>
        <v>1.963 €/m2</v>
      </c>
      <c r="C142" s="1" t="str">
        <f>IFERROR(__xludf.DUMMYFUNCTION("""COMPUTED_VALUE"""),"- 3,7 %")</f>
        <v>- 3,7 %</v>
      </c>
      <c r="D142" s="1" t="str">
        <f>IFERROR(__xludf.DUMMYFUNCTION("""COMPUTED_VALUE"""),"- 0,9 %")</f>
        <v>- 0,9 %</v>
      </c>
      <c r="E142" s="1" t="str">
        <f>IFERROR(__xludf.DUMMYFUNCTION("""COMPUTED_VALUE"""),"- 6,2 %")</f>
        <v>- 6,2 %</v>
      </c>
    </row>
    <row r="143">
      <c r="A143" s="2">
        <f>IFERROR(__xludf.DUMMYFUNCTION("""COMPUTED_VALUE"""),41883.0)</f>
        <v>41883</v>
      </c>
      <c r="B143" s="1" t="str">
        <f>IFERROR(__xludf.DUMMYFUNCTION("""COMPUTED_VALUE"""),"2.039 €/m2")</f>
        <v>2.039 €/m2</v>
      </c>
      <c r="C143" s="1" t="str">
        <f>IFERROR(__xludf.DUMMYFUNCTION("""COMPUTED_VALUE"""),"+ 1,2 %")</f>
        <v>+ 1,2 %</v>
      </c>
      <c r="D143" s="1" t="str">
        <f>IFERROR(__xludf.DUMMYFUNCTION("""COMPUTED_VALUE"""),"+ 4,3 %")</f>
        <v>+ 4,3 %</v>
      </c>
      <c r="E143" s="1" t="str">
        <f>IFERROR(__xludf.DUMMYFUNCTION("""COMPUTED_VALUE"""),"- 2,8 %")</f>
        <v>- 2,8 %</v>
      </c>
    </row>
    <row r="144">
      <c r="A144" s="2">
        <f>IFERROR(__xludf.DUMMYFUNCTION("""COMPUTED_VALUE"""),41852.0)</f>
        <v>41852</v>
      </c>
      <c r="B144" s="1" t="str">
        <f>IFERROR(__xludf.DUMMYFUNCTION("""COMPUTED_VALUE"""),"2.015 €/m2")</f>
        <v>2.015 €/m2</v>
      </c>
      <c r="C144" s="1" t="str">
        <f>IFERROR(__xludf.DUMMYFUNCTION("""COMPUTED_VALUE"""),"+ 1,7 %")</f>
        <v>+ 1,7 %</v>
      </c>
      <c r="D144" s="1" t="str">
        <f>IFERROR(__xludf.DUMMYFUNCTION("""COMPUTED_VALUE"""),"+ 2,3 %")</f>
        <v>+ 2,3 %</v>
      </c>
      <c r="E144" s="1" t="str">
        <f>IFERROR(__xludf.DUMMYFUNCTION("""COMPUTED_VALUE"""),"- 5,5 %")</f>
        <v>- 5,5 %</v>
      </c>
    </row>
    <row r="145">
      <c r="A145" s="2">
        <f>IFERROR(__xludf.DUMMYFUNCTION("""COMPUTED_VALUE"""),41821.0)</f>
        <v>41821</v>
      </c>
      <c r="B145" s="1" t="str">
        <f>IFERROR(__xludf.DUMMYFUNCTION("""COMPUTED_VALUE"""),"1.981 €/m2")</f>
        <v>1.981 €/m2</v>
      </c>
      <c r="C145" s="1" t="str">
        <f>IFERROR(__xludf.DUMMYFUNCTION("""COMPUTED_VALUE"""),"+ 1,3 %")</f>
        <v>+ 1,3 %</v>
      </c>
      <c r="D145" s="1" t="str">
        <f>IFERROR(__xludf.DUMMYFUNCTION("""COMPUTED_VALUE"""),"- 0,5 %")</f>
        <v>- 0,5 %</v>
      </c>
      <c r="E145" s="1" t="str">
        <f>IFERROR(__xludf.DUMMYFUNCTION("""COMPUTED_VALUE"""),"- 7,3 %")</f>
        <v>- 7,3 %</v>
      </c>
    </row>
    <row r="146">
      <c r="A146" s="2">
        <f>IFERROR(__xludf.DUMMYFUNCTION("""COMPUTED_VALUE"""),41791.0)</f>
        <v>41791</v>
      </c>
      <c r="B146" s="1" t="str">
        <f>IFERROR(__xludf.DUMMYFUNCTION("""COMPUTED_VALUE"""),"1.955 €/m2")</f>
        <v>1.955 €/m2</v>
      </c>
      <c r="C146" s="1" t="str">
        <f>IFERROR(__xludf.DUMMYFUNCTION("""COMPUTED_VALUE"""),"- 0,8 %")</f>
        <v>- 0,8 %</v>
      </c>
      <c r="D146" s="1" t="str">
        <f>IFERROR(__xludf.DUMMYFUNCTION("""COMPUTED_VALUE"""),"- 3,5 %")</f>
        <v>- 3,5 %</v>
      </c>
      <c r="E146" s="1" t="str">
        <f>IFERROR(__xludf.DUMMYFUNCTION("""COMPUTED_VALUE"""),"- 7,0 %")</f>
        <v>- 7,0 %</v>
      </c>
    </row>
    <row r="147">
      <c r="A147" s="2">
        <f>IFERROR(__xludf.DUMMYFUNCTION("""COMPUTED_VALUE"""),41760.0)</f>
        <v>41760</v>
      </c>
      <c r="B147" s="1" t="str">
        <f>IFERROR(__xludf.DUMMYFUNCTION("""COMPUTED_VALUE"""),"1.971 €/m2")</f>
        <v>1.971 €/m2</v>
      </c>
      <c r="C147" s="1" t="str">
        <f>IFERROR(__xludf.DUMMYFUNCTION("""COMPUTED_VALUE"""),"- 1,0 %")</f>
        <v>- 1,0 %</v>
      </c>
      <c r="D147" s="1" t="str">
        <f>IFERROR(__xludf.DUMMYFUNCTION("""COMPUTED_VALUE"""),"- 2,0 %")</f>
        <v>- 2,0 %</v>
      </c>
      <c r="E147" s="1" t="str">
        <f>IFERROR(__xludf.DUMMYFUNCTION("""COMPUTED_VALUE"""),"- 5,7 %")</f>
        <v>- 5,7 %</v>
      </c>
    </row>
    <row r="148">
      <c r="A148" s="2">
        <f>IFERROR(__xludf.DUMMYFUNCTION("""COMPUTED_VALUE"""),41730.0)</f>
        <v>41730</v>
      </c>
      <c r="B148" s="1" t="str">
        <f>IFERROR(__xludf.DUMMYFUNCTION("""COMPUTED_VALUE"""),"1.991 €/m2")</f>
        <v>1.991 €/m2</v>
      </c>
      <c r="C148" s="1" t="str">
        <f>IFERROR(__xludf.DUMMYFUNCTION("""COMPUTED_VALUE"""),"- 1,8 %")</f>
        <v>- 1,8 %</v>
      </c>
      <c r="D148" s="1" t="str">
        <f>IFERROR(__xludf.DUMMYFUNCTION("""COMPUTED_VALUE"""),"- 1,6 %")</f>
        <v>- 1,6 %</v>
      </c>
      <c r="E148" s="1" t="str">
        <f>IFERROR(__xludf.DUMMYFUNCTION("""COMPUTED_VALUE"""),"- 5,3 %")</f>
        <v>- 5,3 %</v>
      </c>
    </row>
    <row r="149">
      <c r="A149" s="2">
        <f>IFERROR(__xludf.DUMMYFUNCTION("""COMPUTED_VALUE"""),41699.0)</f>
        <v>41699</v>
      </c>
      <c r="B149" s="1" t="str">
        <f>IFERROR(__xludf.DUMMYFUNCTION("""COMPUTED_VALUE"""),"2.027 €/m2")</f>
        <v>2.027 €/m2</v>
      </c>
      <c r="C149" s="1" t="str">
        <f>IFERROR(__xludf.DUMMYFUNCTION("""COMPUTED_VALUE"""),"+ 0,8 %")</f>
        <v>+ 0,8 %</v>
      </c>
      <c r="D149" s="1" t="str">
        <f>IFERROR(__xludf.DUMMYFUNCTION("""COMPUTED_VALUE"""),"+ 2,0 %")</f>
        <v>+ 2,0 %</v>
      </c>
      <c r="E149" s="1" t="str">
        <f>IFERROR(__xludf.DUMMYFUNCTION("""COMPUTED_VALUE"""),"- 4,5 %")</f>
        <v>- 4,5 %</v>
      </c>
    </row>
    <row r="150">
      <c r="A150" s="2">
        <f>IFERROR(__xludf.DUMMYFUNCTION("""COMPUTED_VALUE"""),41671.0)</f>
        <v>41671</v>
      </c>
      <c r="B150" s="1" t="str">
        <f>IFERROR(__xludf.DUMMYFUNCTION("""COMPUTED_VALUE"""),"2.011 €/m2")</f>
        <v>2.011 €/m2</v>
      </c>
      <c r="C150" s="1" t="str">
        <f>IFERROR(__xludf.DUMMYFUNCTION("""COMPUTED_VALUE"""),"- 0,6 %")</f>
        <v>- 0,6 %</v>
      </c>
      <c r="D150" s="1" t="str">
        <f>IFERROR(__xludf.DUMMYFUNCTION("""COMPUTED_VALUE"""),"- 0,6 %")</f>
        <v>- 0,6 %</v>
      </c>
      <c r="E150" s="1" t="str">
        <f>IFERROR(__xludf.DUMMYFUNCTION("""COMPUTED_VALUE"""),"- 5,6 %")</f>
        <v>- 5,6 %</v>
      </c>
    </row>
    <row r="151">
      <c r="A151" s="2">
        <f>IFERROR(__xludf.DUMMYFUNCTION("""COMPUTED_VALUE"""),41640.0)</f>
        <v>41640</v>
      </c>
      <c r="B151" s="1" t="str">
        <f>IFERROR(__xludf.DUMMYFUNCTION("""COMPUTED_VALUE"""),"2.023 €/m2")</f>
        <v>2.023 €/m2</v>
      </c>
      <c r="C151" s="1" t="str">
        <f>IFERROR(__xludf.DUMMYFUNCTION("""COMPUTED_VALUE"""),"+ 1,8 %")</f>
        <v>+ 1,8 %</v>
      </c>
      <c r="D151" s="1" t="str">
        <f>IFERROR(__xludf.DUMMYFUNCTION("""COMPUTED_VALUE"""),"- 3,3 %")</f>
        <v>- 3,3 %</v>
      </c>
      <c r="E151" s="1" t="str">
        <f>IFERROR(__xludf.DUMMYFUNCTION("""COMPUTED_VALUE"""),"- 5,2 %")</f>
        <v>- 5,2 %</v>
      </c>
    </row>
    <row r="152">
      <c r="A152" s="2">
        <f>IFERROR(__xludf.DUMMYFUNCTION("""COMPUTED_VALUE"""),41609.0)</f>
        <v>41609</v>
      </c>
      <c r="B152" s="1" t="str">
        <f>IFERROR(__xludf.DUMMYFUNCTION("""COMPUTED_VALUE"""),"1.988 €/m2")</f>
        <v>1.988 €/m2</v>
      </c>
      <c r="C152" s="1" t="str">
        <f>IFERROR(__xludf.DUMMYFUNCTION("""COMPUTED_VALUE"""),"- 1,8 %")</f>
        <v>- 1,8 %</v>
      </c>
      <c r="D152" s="1" t="str">
        <f>IFERROR(__xludf.DUMMYFUNCTION("""COMPUTED_VALUE"""),"- 5,2 %")</f>
        <v>- 5,2 %</v>
      </c>
      <c r="E152" s="1" t="str">
        <f>IFERROR(__xludf.DUMMYFUNCTION("""COMPUTED_VALUE"""),"- 7,3 %")</f>
        <v>- 7,3 %</v>
      </c>
    </row>
    <row r="153">
      <c r="A153" s="2">
        <f>IFERROR(__xludf.DUMMYFUNCTION("""COMPUTED_VALUE"""),41579.0)</f>
        <v>41579</v>
      </c>
      <c r="B153" s="1" t="str">
        <f>IFERROR(__xludf.DUMMYFUNCTION("""COMPUTED_VALUE"""),"2.023 €/m2")</f>
        <v>2.023 €/m2</v>
      </c>
      <c r="C153" s="1" t="str">
        <f>IFERROR(__xludf.DUMMYFUNCTION("""COMPUTED_VALUE"""),"- 3,3 %")</f>
        <v>- 3,3 %</v>
      </c>
      <c r="D153" s="1" t="str">
        <f>IFERROR(__xludf.DUMMYFUNCTION("""COMPUTED_VALUE"""),"- 5,1 %")</f>
        <v>- 5,1 %</v>
      </c>
      <c r="E153" s="1" t="str">
        <f>IFERROR(__xludf.DUMMYFUNCTION("""COMPUTED_VALUE"""),"- 6,2 %")</f>
        <v>- 6,2 %</v>
      </c>
    </row>
    <row r="154">
      <c r="A154" s="2">
        <f>IFERROR(__xludf.DUMMYFUNCTION("""COMPUTED_VALUE"""),41548.0)</f>
        <v>41548</v>
      </c>
      <c r="B154" s="1" t="str">
        <f>IFERROR(__xludf.DUMMYFUNCTION("""COMPUTED_VALUE"""),"2.092 €/m2")</f>
        <v>2.092 €/m2</v>
      </c>
      <c r="C154" s="1" t="str">
        <f>IFERROR(__xludf.DUMMYFUNCTION("""COMPUTED_VALUE"""),"- 0,3 %")</f>
        <v>- 0,3 %</v>
      </c>
      <c r="D154" s="1" t="str">
        <f>IFERROR(__xludf.DUMMYFUNCTION("""COMPUTED_VALUE"""),"- 2,1 %")</f>
        <v>- 2,1 %</v>
      </c>
      <c r="E154" s="1" t="str">
        <f>IFERROR(__xludf.DUMMYFUNCTION("""COMPUTED_VALUE"""),"- 5,5 %")</f>
        <v>- 5,5 %</v>
      </c>
    </row>
    <row r="155">
      <c r="A155" s="2">
        <f>IFERROR(__xludf.DUMMYFUNCTION("""COMPUTED_VALUE"""),41518.0)</f>
        <v>41518</v>
      </c>
      <c r="B155" s="1" t="str">
        <f>IFERROR(__xludf.DUMMYFUNCTION("""COMPUTED_VALUE"""),"2.098 €/m2")</f>
        <v>2.098 €/m2</v>
      </c>
      <c r="C155" s="1" t="str">
        <f>IFERROR(__xludf.DUMMYFUNCTION("""COMPUTED_VALUE"""),"- 1,6 %")</f>
        <v>- 1,6 %</v>
      </c>
      <c r="D155" s="1" t="str">
        <f>IFERROR(__xludf.DUMMYFUNCTION("""COMPUTED_VALUE"""),"- 0,2 %")</f>
        <v>- 0,2 %</v>
      </c>
      <c r="E155" s="1" t="str">
        <f>IFERROR(__xludf.DUMMYFUNCTION("""COMPUTED_VALUE"""),"- 7,6 %")</f>
        <v>- 7,6 %</v>
      </c>
    </row>
    <row r="156">
      <c r="A156" s="2">
        <f>IFERROR(__xludf.DUMMYFUNCTION("""COMPUTED_VALUE"""),41487.0)</f>
        <v>41487</v>
      </c>
      <c r="B156" s="1" t="str">
        <f>IFERROR(__xludf.DUMMYFUNCTION("""COMPUTED_VALUE"""),"2.133 €/m2")</f>
        <v>2.133 €/m2</v>
      </c>
      <c r="C156" s="1" t="str">
        <f>IFERROR(__xludf.DUMMYFUNCTION("""COMPUTED_VALUE"""),"- 0,2 %")</f>
        <v>- 0,2 %</v>
      </c>
      <c r="D156" s="1" t="str">
        <f>IFERROR(__xludf.DUMMYFUNCTION("""COMPUTED_VALUE"""),"+ 2,0 %")</f>
        <v>+ 2,0 %</v>
      </c>
      <c r="E156" s="1" t="str">
        <f>IFERROR(__xludf.DUMMYFUNCTION("""COMPUTED_VALUE"""),"- 8,3 %")</f>
        <v>- 8,3 %</v>
      </c>
    </row>
    <row r="157">
      <c r="A157" s="2">
        <f>IFERROR(__xludf.DUMMYFUNCTION("""COMPUTED_VALUE"""),41456.0)</f>
        <v>41456</v>
      </c>
      <c r="B157" s="1" t="str">
        <f>IFERROR(__xludf.DUMMYFUNCTION("""COMPUTED_VALUE"""),"2.137 €/m2")</f>
        <v>2.137 €/m2</v>
      </c>
      <c r="C157" s="1" t="str">
        <f>IFERROR(__xludf.DUMMYFUNCTION("""COMPUTED_VALUE"""),"+ 1,6 %")</f>
        <v>+ 1,6 %</v>
      </c>
      <c r="D157" s="1" t="str">
        <f>IFERROR(__xludf.DUMMYFUNCTION("""COMPUTED_VALUE"""),"+ 1,7 %")</f>
        <v>+ 1,7 %</v>
      </c>
      <c r="E157" s="1" t="str">
        <f>IFERROR(__xludf.DUMMYFUNCTION("""COMPUTED_VALUE"""),"- 9,6 %")</f>
        <v>- 9,6 %</v>
      </c>
    </row>
    <row r="158">
      <c r="A158" s="2">
        <f>IFERROR(__xludf.DUMMYFUNCTION("""COMPUTED_VALUE"""),41426.0)</f>
        <v>41426</v>
      </c>
      <c r="B158" s="1" t="str">
        <f>IFERROR(__xludf.DUMMYFUNCTION("""COMPUTED_VALUE"""),"2.103 €/m2")</f>
        <v>2.103 €/m2</v>
      </c>
      <c r="C158" s="1" t="str">
        <f>IFERROR(__xludf.DUMMYFUNCTION("""COMPUTED_VALUE"""),"+ 0,6 %")</f>
        <v>+ 0,6 %</v>
      </c>
      <c r="D158" s="1" t="str">
        <f>IFERROR(__xludf.DUMMYFUNCTION("""COMPUTED_VALUE"""),"- 0,9 %")</f>
        <v>- 0,9 %</v>
      </c>
      <c r="E158" s="1" t="str">
        <f>IFERROR(__xludf.DUMMYFUNCTION("""COMPUTED_VALUE"""),"- 11,7 %")</f>
        <v>- 11,7 %</v>
      </c>
    </row>
    <row r="159">
      <c r="A159" s="2">
        <f>IFERROR(__xludf.DUMMYFUNCTION("""COMPUTED_VALUE"""),41395.0)</f>
        <v>41395</v>
      </c>
      <c r="B159" s="1" t="str">
        <f>IFERROR(__xludf.DUMMYFUNCTION("""COMPUTED_VALUE"""),"2.090 €/m2")</f>
        <v>2.090 €/m2</v>
      </c>
      <c r="C159" s="1" t="str">
        <f>IFERROR(__xludf.DUMMYFUNCTION("""COMPUTED_VALUE"""),"- 0,6 %")</f>
        <v>- 0,6 %</v>
      </c>
      <c r="D159" s="1" t="str">
        <f>IFERROR(__xludf.DUMMYFUNCTION("""COMPUTED_VALUE"""),"- 1,9 %")</f>
        <v>- 1,9 %</v>
      </c>
      <c r="E159" s="1" t="str">
        <f>IFERROR(__xludf.DUMMYFUNCTION("""COMPUTED_VALUE"""),"- 12,2 %")</f>
        <v>- 12,2 %</v>
      </c>
    </row>
    <row r="160">
      <c r="A160" s="2">
        <f>IFERROR(__xludf.DUMMYFUNCTION("""COMPUTED_VALUE"""),41365.0)</f>
        <v>41365</v>
      </c>
      <c r="B160" s="1" t="str">
        <f>IFERROR(__xludf.DUMMYFUNCTION("""COMPUTED_VALUE"""),"2.102 €/m2")</f>
        <v>2.102 €/m2</v>
      </c>
      <c r="C160" s="1" t="str">
        <f>IFERROR(__xludf.DUMMYFUNCTION("""COMPUTED_VALUE"""),"- 0,9 %")</f>
        <v>- 0,9 %</v>
      </c>
      <c r="D160" s="1" t="str">
        <f>IFERROR(__xludf.DUMMYFUNCTION("""COMPUTED_VALUE"""),"- 1,5 %")</f>
        <v>- 1,5 %</v>
      </c>
      <c r="E160" s="1" t="str">
        <f>IFERROR(__xludf.DUMMYFUNCTION("""COMPUTED_VALUE"""),"- 12,6 %")</f>
        <v>- 12,6 %</v>
      </c>
    </row>
    <row r="161">
      <c r="A161" s="2">
        <f>IFERROR(__xludf.DUMMYFUNCTION("""COMPUTED_VALUE"""),41334.0)</f>
        <v>41334</v>
      </c>
      <c r="B161" s="1" t="str">
        <f>IFERROR(__xludf.DUMMYFUNCTION("""COMPUTED_VALUE"""),"2.122 €/m2")</f>
        <v>2.122 €/m2</v>
      </c>
      <c r="C161" s="1" t="str">
        <f>IFERROR(__xludf.DUMMYFUNCTION("""COMPUTED_VALUE"""),"- 0,3 %")</f>
        <v>- 0,3 %</v>
      </c>
      <c r="D161" s="1" t="str">
        <f>IFERROR(__xludf.DUMMYFUNCTION("""COMPUTED_VALUE"""),"- 1,1 %")</f>
        <v>- 1,1 %</v>
      </c>
      <c r="E161" s="1" t="str">
        <f>IFERROR(__xludf.DUMMYFUNCTION("""COMPUTED_VALUE"""),"- 13,2 %")</f>
        <v>- 13,2 %</v>
      </c>
    </row>
    <row r="162">
      <c r="A162" s="2">
        <f>IFERROR(__xludf.DUMMYFUNCTION("""COMPUTED_VALUE"""),41306.0)</f>
        <v>41306</v>
      </c>
      <c r="B162" s="1" t="str">
        <f>IFERROR(__xludf.DUMMYFUNCTION("""COMPUTED_VALUE"""),"2.129 €/m2")</f>
        <v>2.129 €/m2</v>
      </c>
      <c r="C162" s="1" t="str">
        <f>IFERROR(__xludf.DUMMYFUNCTION("""COMPUTED_VALUE"""),"- 0,3 %")</f>
        <v>- 0,3 %</v>
      </c>
      <c r="D162" s="1" t="str">
        <f>IFERROR(__xludf.DUMMYFUNCTION("""COMPUTED_VALUE"""),"- 1,2 %")</f>
        <v>- 1,2 %</v>
      </c>
      <c r="E162" s="1" t="str">
        <f>IFERROR(__xludf.DUMMYFUNCTION("""COMPUTED_VALUE"""),"- 12,5 %")</f>
        <v>- 12,5 %</v>
      </c>
    </row>
    <row r="163">
      <c r="A163" s="2">
        <f>IFERROR(__xludf.DUMMYFUNCTION("""COMPUTED_VALUE"""),41275.0)</f>
        <v>41275</v>
      </c>
      <c r="B163" s="1" t="str">
        <f>IFERROR(__xludf.DUMMYFUNCTION("""COMPUTED_VALUE"""),"2.135 €/m2")</f>
        <v>2.135 €/m2</v>
      </c>
      <c r="C163" s="1" t="str">
        <f>IFERROR(__xludf.DUMMYFUNCTION("""COMPUTED_VALUE"""),"- 0,5 %")</f>
        <v>- 0,5 %</v>
      </c>
      <c r="D163" s="1" t="str">
        <f>IFERROR(__xludf.DUMMYFUNCTION("""COMPUTED_VALUE"""),"- 3,6 %")</f>
        <v>- 3,6 %</v>
      </c>
      <c r="E163" s="1" t="str">
        <f>IFERROR(__xludf.DUMMYFUNCTION("""COMPUTED_VALUE"""),"- 13,4 %")</f>
        <v>- 13,4 %</v>
      </c>
    </row>
    <row r="164">
      <c r="A164" s="2">
        <f>IFERROR(__xludf.DUMMYFUNCTION("""COMPUTED_VALUE"""),41244.0)</f>
        <v>41244</v>
      </c>
      <c r="B164" s="1" t="str">
        <f>IFERROR(__xludf.DUMMYFUNCTION("""COMPUTED_VALUE"""),"2.145 €/m2")</f>
        <v>2.145 €/m2</v>
      </c>
      <c r="C164" s="1" t="str">
        <f>IFERROR(__xludf.DUMMYFUNCTION("""COMPUTED_VALUE"""),"- 0,5 %")</f>
        <v>- 0,5 %</v>
      </c>
      <c r="D164" s="1" t="str">
        <f>IFERROR(__xludf.DUMMYFUNCTION("""COMPUTED_VALUE"""),"- 5,5 %")</f>
        <v>- 5,5 %</v>
      </c>
      <c r="E164" s="1" t="str">
        <f>IFERROR(__xludf.DUMMYFUNCTION("""COMPUTED_VALUE"""),"- 12,9 %")</f>
        <v>- 12,9 %</v>
      </c>
    </row>
    <row r="165">
      <c r="A165" s="2">
        <f>IFERROR(__xludf.DUMMYFUNCTION("""COMPUTED_VALUE"""),41214.0)</f>
        <v>41214</v>
      </c>
      <c r="B165" s="1" t="str">
        <f>IFERROR(__xludf.DUMMYFUNCTION("""COMPUTED_VALUE"""),"2.156 €/m2")</f>
        <v>2.156 €/m2</v>
      </c>
      <c r="C165" s="1" t="str">
        <f>IFERROR(__xludf.DUMMYFUNCTION("""COMPUTED_VALUE"""),"- 2,6 %")</f>
        <v>- 2,6 %</v>
      </c>
      <c r="D165" s="1" t="str">
        <f>IFERROR(__xludf.DUMMYFUNCTION("""COMPUTED_VALUE"""),"- 7,3 %")</f>
        <v>- 7,3 %</v>
      </c>
      <c r="E165" s="1" t="str">
        <f>IFERROR(__xludf.DUMMYFUNCTION("""COMPUTED_VALUE"""),"- 12,6 %")</f>
        <v>- 12,6 %</v>
      </c>
    </row>
    <row r="166">
      <c r="A166" s="2">
        <f>IFERROR(__xludf.DUMMYFUNCTION("""COMPUTED_VALUE"""),41183.0)</f>
        <v>41183</v>
      </c>
      <c r="B166" s="1" t="str">
        <f>IFERROR(__xludf.DUMMYFUNCTION("""COMPUTED_VALUE"""),"2.215 €/m2")</f>
        <v>2.215 €/m2</v>
      </c>
      <c r="C166" s="1" t="str">
        <f>IFERROR(__xludf.DUMMYFUNCTION("""COMPUTED_VALUE"""),"- 2,4 %")</f>
        <v>- 2,4 %</v>
      </c>
      <c r="D166" s="1" t="str">
        <f>IFERROR(__xludf.DUMMYFUNCTION("""COMPUTED_VALUE"""),"- 6,3 %")</f>
        <v>- 6,3 %</v>
      </c>
      <c r="E166" s="1" t="str">
        <f>IFERROR(__xludf.DUMMYFUNCTION("""COMPUTED_VALUE"""),"- 10,7 %")</f>
        <v>- 10,7 %</v>
      </c>
    </row>
    <row r="167">
      <c r="A167" s="2">
        <f>IFERROR(__xludf.DUMMYFUNCTION("""COMPUTED_VALUE"""),41153.0)</f>
        <v>41153</v>
      </c>
      <c r="B167" s="1" t="str">
        <f>IFERROR(__xludf.DUMMYFUNCTION("""COMPUTED_VALUE"""),"2.270 €/m2")</f>
        <v>2.270 €/m2</v>
      </c>
      <c r="C167" s="1" t="str">
        <f>IFERROR(__xludf.DUMMYFUNCTION("""COMPUTED_VALUE"""),"- 2,4 %")</f>
        <v>- 2,4 %</v>
      </c>
      <c r="D167" s="1" t="str">
        <f>IFERROR(__xludf.DUMMYFUNCTION("""COMPUTED_VALUE"""),"- 4,7 %")</f>
        <v>- 4,7 %</v>
      </c>
      <c r="E167" s="1" t="str">
        <f>IFERROR(__xludf.DUMMYFUNCTION("""COMPUTED_VALUE"""),"- 8,6 %")</f>
        <v>- 8,6 %</v>
      </c>
    </row>
    <row r="168">
      <c r="A168" s="2">
        <f>IFERROR(__xludf.DUMMYFUNCTION("""COMPUTED_VALUE"""),41122.0)</f>
        <v>41122</v>
      </c>
      <c r="B168" s="1" t="str">
        <f>IFERROR(__xludf.DUMMYFUNCTION("""COMPUTED_VALUE"""),"2.326 €/m2")</f>
        <v>2.326 €/m2</v>
      </c>
      <c r="C168" s="1" t="str">
        <f>IFERROR(__xludf.DUMMYFUNCTION("""COMPUTED_VALUE"""),"- 1,6 %")</f>
        <v>- 1,6 %</v>
      </c>
      <c r="D168" s="1" t="str">
        <f>IFERROR(__xludf.DUMMYFUNCTION("""COMPUTED_VALUE"""),"- 2,3 %")</f>
        <v>- 2,3 %</v>
      </c>
      <c r="E168" s="1" t="str">
        <f>IFERROR(__xludf.DUMMYFUNCTION("""COMPUTED_VALUE"""),"- 4,4 %")</f>
        <v>- 4,4 %</v>
      </c>
    </row>
    <row r="169">
      <c r="A169" s="2">
        <f>IFERROR(__xludf.DUMMYFUNCTION("""COMPUTED_VALUE"""),41091.0)</f>
        <v>41091</v>
      </c>
      <c r="B169" s="1" t="str">
        <f>IFERROR(__xludf.DUMMYFUNCTION("""COMPUTED_VALUE"""),"2.364 €/m2")</f>
        <v>2.364 €/m2</v>
      </c>
      <c r="C169" s="1" t="str">
        <f>IFERROR(__xludf.DUMMYFUNCTION("""COMPUTED_VALUE"""),"- 0,7 %")</f>
        <v>- 0,7 %</v>
      </c>
      <c r="D169" s="1" t="str">
        <f>IFERROR(__xludf.DUMMYFUNCTION("""COMPUTED_VALUE"""),"- 1,7 %")</f>
        <v>- 1,7 %</v>
      </c>
      <c r="E169" s="1" t="str">
        <f>IFERROR(__xludf.DUMMYFUNCTION("""COMPUTED_VALUE"""),"- 3,2 %")</f>
        <v>- 3,2 %</v>
      </c>
    </row>
    <row r="170">
      <c r="A170" s="2">
        <f>IFERROR(__xludf.DUMMYFUNCTION("""COMPUTED_VALUE"""),41061.0)</f>
        <v>41061</v>
      </c>
      <c r="B170" s="1" t="str">
        <f>IFERROR(__xludf.DUMMYFUNCTION("""COMPUTED_VALUE"""),"2.381 €/m2")</f>
        <v>2.381 €/m2</v>
      </c>
      <c r="C170" s="1" t="str">
        <f>IFERROR(__xludf.DUMMYFUNCTION("""COMPUTED_VALUE"""),"0,0 %")</f>
        <v>0,0 %</v>
      </c>
      <c r="D170" s="1" t="str">
        <f>IFERROR(__xludf.DUMMYFUNCTION("""COMPUTED_VALUE"""),"- 2,6 %")</f>
        <v>- 2,6 %</v>
      </c>
      <c r="E170" s="1" t="str">
        <f>IFERROR(__xludf.DUMMYFUNCTION("""COMPUTED_VALUE"""),"- 3,7 %")</f>
        <v>- 3,7 %</v>
      </c>
    </row>
    <row r="171">
      <c r="A171" s="2">
        <f>IFERROR(__xludf.DUMMYFUNCTION("""COMPUTED_VALUE"""),41030.0)</f>
        <v>41030</v>
      </c>
      <c r="B171" s="1" t="str">
        <f>IFERROR(__xludf.DUMMYFUNCTION("""COMPUTED_VALUE"""),"2.381 €/m2")</f>
        <v>2.381 €/m2</v>
      </c>
      <c r="C171" s="1" t="str">
        <f>IFERROR(__xludf.DUMMYFUNCTION("""COMPUTED_VALUE"""),"- 1,0 %")</f>
        <v>- 1,0 %</v>
      </c>
      <c r="D171" s="1" t="str">
        <f>IFERROR(__xludf.DUMMYFUNCTION("""COMPUTED_VALUE"""),"- 2,2 %")</f>
        <v>- 2,2 %</v>
      </c>
      <c r="E171" s="1" t="str">
        <f>IFERROR(__xludf.DUMMYFUNCTION("""COMPUTED_VALUE"""),"- 8,3 %")</f>
        <v>- 8,3 %</v>
      </c>
    </row>
    <row r="172">
      <c r="A172" s="2">
        <f>IFERROR(__xludf.DUMMYFUNCTION("""COMPUTED_VALUE"""),41000.0)</f>
        <v>41000</v>
      </c>
      <c r="B172" s="1" t="str">
        <f>IFERROR(__xludf.DUMMYFUNCTION("""COMPUTED_VALUE"""),"2.405 €/m2")</f>
        <v>2.405 €/m2</v>
      </c>
      <c r="C172" s="1" t="str">
        <f>IFERROR(__xludf.DUMMYFUNCTION("""COMPUTED_VALUE"""),"- 1,6 %")</f>
        <v>- 1,6 %</v>
      </c>
      <c r="D172" s="1" t="str">
        <f>IFERROR(__xludf.DUMMYFUNCTION("""COMPUTED_VALUE"""),"- 2,4 %")</f>
        <v>- 2,4 %</v>
      </c>
      <c r="E172" s="1" t="str">
        <f>IFERROR(__xludf.DUMMYFUNCTION("""COMPUTED_VALUE"""),"- 7,2 %")</f>
        <v>- 7,2 %</v>
      </c>
    </row>
    <row r="173">
      <c r="A173" s="2">
        <f>IFERROR(__xludf.DUMMYFUNCTION("""COMPUTED_VALUE"""),40969.0)</f>
        <v>40969</v>
      </c>
      <c r="B173" s="1" t="str">
        <f>IFERROR(__xludf.DUMMYFUNCTION("""COMPUTED_VALUE"""),"2.444 €/m2")</f>
        <v>2.444 €/m2</v>
      </c>
      <c r="C173" s="1" t="str">
        <f>IFERROR(__xludf.DUMMYFUNCTION("""COMPUTED_VALUE"""),"+ 0,4 %")</f>
        <v>+ 0,4 %</v>
      </c>
      <c r="D173" s="1" t="str">
        <f>IFERROR(__xludf.DUMMYFUNCTION("""COMPUTED_VALUE"""),"- 0,8 %")</f>
        <v>- 0,8 %</v>
      </c>
      <c r="E173" s="1" t="str">
        <f>IFERROR(__xludf.DUMMYFUNCTION("""COMPUTED_VALUE"""),"- 5,2 %")</f>
        <v>- 5,2 %</v>
      </c>
    </row>
    <row r="174">
      <c r="A174" s="2">
        <f>IFERROR(__xludf.DUMMYFUNCTION("""COMPUTED_VALUE"""),40940.0)</f>
        <v>40940</v>
      </c>
      <c r="B174" s="1" t="str">
        <f>IFERROR(__xludf.DUMMYFUNCTION("""COMPUTED_VALUE"""),"2.433 €/m2")</f>
        <v>2.433 €/m2</v>
      </c>
      <c r="C174" s="1" t="str">
        <f>IFERROR(__xludf.DUMMYFUNCTION("""COMPUTED_VALUE"""),"- 1,3 %")</f>
        <v>- 1,3 %</v>
      </c>
      <c r="D174" s="1" t="str">
        <f>IFERROR(__xludf.DUMMYFUNCTION("""COMPUTED_VALUE"""),"- 1,4 %")</f>
        <v>- 1,4 %</v>
      </c>
      <c r="E174" s="1" t="str">
        <f>IFERROR(__xludf.DUMMYFUNCTION("""COMPUTED_VALUE"""),"- 6,1 %")</f>
        <v>- 6,1 %</v>
      </c>
    </row>
    <row r="175">
      <c r="A175" s="2">
        <f>IFERROR(__xludf.DUMMYFUNCTION("""COMPUTED_VALUE"""),40909.0)</f>
        <v>40909</v>
      </c>
      <c r="B175" s="1" t="str">
        <f>IFERROR(__xludf.DUMMYFUNCTION("""COMPUTED_VALUE"""),"2.464 €/m2")</f>
        <v>2.464 €/m2</v>
      </c>
      <c r="C175" s="1" t="str">
        <f>IFERROR(__xludf.DUMMYFUNCTION("""COMPUTED_VALUE"""),"0,0 %")</f>
        <v>0,0 %</v>
      </c>
      <c r="D175" s="1" t="str">
        <f>IFERROR(__xludf.DUMMYFUNCTION("""COMPUTED_VALUE"""),"- 0,7 %")</f>
        <v>- 0,7 %</v>
      </c>
      <c r="E175" s="1" t="str">
        <f>IFERROR(__xludf.DUMMYFUNCTION("""COMPUTED_VALUE"""),"- 6,0 %")</f>
        <v>- 6,0 %</v>
      </c>
    </row>
    <row r="176">
      <c r="A176" s="2">
        <f>IFERROR(__xludf.DUMMYFUNCTION("""COMPUTED_VALUE"""),40878.0)</f>
        <v>40878</v>
      </c>
      <c r="B176" s="1" t="str">
        <f>IFERROR(__xludf.DUMMYFUNCTION("""COMPUTED_VALUE"""),"2.463 €/m2")</f>
        <v>2.463 €/m2</v>
      </c>
      <c r="C176" s="1" t="str">
        <f>IFERROR(__xludf.DUMMYFUNCTION("""COMPUTED_VALUE"""),"- 0,2 %")</f>
        <v>- 0,2 %</v>
      </c>
      <c r="D176" s="1" t="str">
        <f>IFERROR(__xludf.DUMMYFUNCTION("""COMPUTED_VALUE"""),"- 0,8 %")</f>
        <v>- 0,8 %</v>
      </c>
      <c r="E176" s="1" t="str">
        <f>IFERROR(__xludf.DUMMYFUNCTION("""COMPUTED_VALUE"""),"- 8,5 %")</f>
        <v>- 8,5 %</v>
      </c>
    </row>
    <row r="177">
      <c r="A177" s="2">
        <f>IFERROR(__xludf.DUMMYFUNCTION("""COMPUTED_VALUE"""),40848.0)</f>
        <v>40848</v>
      </c>
      <c r="B177" s="1" t="str">
        <f>IFERROR(__xludf.DUMMYFUNCTION("""COMPUTED_VALUE"""),"2.468 €/m2")</f>
        <v>2.468 €/m2</v>
      </c>
      <c r="C177" s="1" t="str">
        <f>IFERROR(__xludf.DUMMYFUNCTION("""COMPUTED_VALUE"""),"- 0,5 %")</f>
        <v>- 0,5 %</v>
      </c>
      <c r="D177" s="1" t="str">
        <f>IFERROR(__xludf.DUMMYFUNCTION("""COMPUTED_VALUE"""),"+ 1,4 %")</f>
        <v>+ 1,4 %</v>
      </c>
      <c r="E177" s="1" t="str">
        <f>IFERROR(__xludf.DUMMYFUNCTION("""COMPUTED_VALUE"""),"- 6,9 %")</f>
        <v>- 6,9 %</v>
      </c>
    </row>
    <row r="178">
      <c r="A178" s="2">
        <f>IFERROR(__xludf.DUMMYFUNCTION("""COMPUTED_VALUE"""),40817.0)</f>
        <v>40817</v>
      </c>
      <c r="B178" s="1" t="str">
        <f>IFERROR(__xludf.DUMMYFUNCTION("""COMPUTED_VALUE"""),"2.481 €/m2")</f>
        <v>2.481 €/m2</v>
      </c>
      <c r="C178" s="1" t="str">
        <f>IFERROR(__xludf.DUMMYFUNCTION("""COMPUTED_VALUE"""),"- 0,1 %")</f>
        <v>- 0,1 %</v>
      </c>
      <c r="D178" s="1" t="str">
        <f>IFERROR(__xludf.DUMMYFUNCTION("""COMPUTED_VALUE"""),"+ 1,5 %")</f>
        <v>+ 1,5 %</v>
      </c>
      <c r="E178" s="1" t="str">
        <f>IFERROR(__xludf.DUMMYFUNCTION("""COMPUTED_VALUE"""),"- 7,1 %")</f>
        <v>- 7,1 %</v>
      </c>
    </row>
    <row r="179">
      <c r="A179" s="2">
        <f>IFERROR(__xludf.DUMMYFUNCTION("""COMPUTED_VALUE"""),40787.0)</f>
        <v>40787</v>
      </c>
      <c r="B179" s="1" t="str">
        <f>IFERROR(__xludf.DUMMYFUNCTION("""COMPUTED_VALUE"""),"2.483 €/m2")</f>
        <v>2.483 €/m2</v>
      </c>
      <c r="C179" s="1" t="str">
        <f>IFERROR(__xludf.DUMMYFUNCTION("""COMPUTED_VALUE"""),"+ 2,0 %")</f>
        <v>+ 2,0 %</v>
      </c>
      <c r="D179" s="1" t="str">
        <f>IFERROR(__xludf.DUMMYFUNCTION("""COMPUTED_VALUE"""),"+ 0,4 %")</f>
        <v>+ 0,4 %</v>
      </c>
      <c r="E179" s="1" t="str">
        <f>IFERROR(__xludf.DUMMYFUNCTION("""COMPUTED_VALUE"""),"- 6,9 %")</f>
        <v>- 6,9 %</v>
      </c>
    </row>
    <row r="180">
      <c r="A180" s="2">
        <f>IFERROR(__xludf.DUMMYFUNCTION("""COMPUTED_VALUE"""),40756.0)</f>
        <v>40756</v>
      </c>
      <c r="B180" s="1" t="str">
        <f>IFERROR(__xludf.DUMMYFUNCTION("""COMPUTED_VALUE"""),"2.433 €/m2")</f>
        <v>2.433 €/m2</v>
      </c>
      <c r="C180" s="1" t="str">
        <f>IFERROR(__xludf.DUMMYFUNCTION("""COMPUTED_VALUE"""),"- 0,4 %")</f>
        <v>- 0,4 %</v>
      </c>
      <c r="D180" s="1" t="str">
        <f>IFERROR(__xludf.DUMMYFUNCTION("""COMPUTED_VALUE"""),"- 6,3 %")</f>
        <v>- 6,3 %</v>
      </c>
      <c r="E180" s="1" t="str">
        <f>IFERROR(__xludf.DUMMYFUNCTION("""COMPUTED_VALUE"""),"- 9,7 %")</f>
        <v>- 9,7 %</v>
      </c>
    </row>
    <row r="181">
      <c r="A181" s="2">
        <f>IFERROR(__xludf.DUMMYFUNCTION("""COMPUTED_VALUE"""),40725.0)</f>
        <v>40725</v>
      </c>
      <c r="B181" s="1" t="str">
        <f>IFERROR(__xludf.DUMMYFUNCTION("""COMPUTED_VALUE"""),"2.443 €/m2")</f>
        <v>2.443 €/m2</v>
      </c>
      <c r="C181" s="1" t="str">
        <f>IFERROR(__xludf.DUMMYFUNCTION("""COMPUTED_VALUE"""),"- 1,2 %")</f>
        <v>- 1,2 %</v>
      </c>
      <c r="D181" s="1" t="str">
        <f>IFERROR(__xludf.DUMMYFUNCTION("""COMPUTED_VALUE"""),"- 5,7 %")</f>
        <v>- 5,7 %</v>
      </c>
      <c r="E181" s="1" t="str">
        <f>IFERROR(__xludf.DUMMYFUNCTION("""COMPUTED_VALUE"""),"- 9,3 %")</f>
        <v>- 9,3 %</v>
      </c>
    </row>
    <row r="182">
      <c r="A182" s="2">
        <f>IFERROR(__xludf.DUMMYFUNCTION("""COMPUTED_VALUE"""),40695.0)</f>
        <v>40695</v>
      </c>
      <c r="B182" s="1" t="str">
        <f>IFERROR(__xludf.DUMMYFUNCTION("""COMPUTED_VALUE"""),"2.472 €/m2")</f>
        <v>2.472 €/m2</v>
      </c>
      <c r="C182" s="1" t="str">
        <f>IFERROR(__xludf.DUMMYFUNCTION("""COMPUTED_VALUE"""),"- 4,8 %")</f>
        <v>- 4,8 %</v>
      </c>
      <c r="D182" s="1" t="str">
        <f>IFERROR(__xludf.DUMMYFUNCTION("""COMPUTED_VALUE"""),"- 4,1 %")</f>
        <v>- 4,1 %</v>
      </c>
      <c r="E182" s="1" t="str">
        <f>IFERROR(__xludf.DUMMYFUNCTION("""COMPUTED_VALUE"""),"- 8,6 %")</f>
        <v>- 8,6 %</v>
      </c>
    </row>
    <row r="183">
      <c r="A183" s="2">
        <f>IFERROR(__xludf.DUMMYFUNCTION("""COMPUTED_VALUE"""),40664.0)</f>
        <v>40664</v>
      </c>
      <c r="B183" s="1" t="str">
        <f>IFERROR(__xludf.DUMMYFUNCTION("""COMPUTED_VALUE"""),"2.596 €/m2")</f>
        <v>2.596 €/m2</v>
      </c>
      <c r="C183" s="1" t="str">
        <f>IFERROR(__xludf.DUMMYFUNCTION("""COMPUTED_VALUE"""),"+ 0,2 %")</f>
        <v>+ 0,2 %</v>
      </c>
      <c r="D183" s="1" t="str">
        <f>IFERROR(__xludf.DUMMYFUNCTION("""COMPUTED_VALUE"""),"+ 0,2 %")</f>
        <v>+ 0,2 %</v>
      </c>
      <c r="E183" s="1" t="str">
        <f>IFERROR(__xludf.DUMMYFUNCTION("""COMPUTED_VALUE"""),"- 2,6 %")</f>
        <v>- 2,6 %</v>
      </c>
    </row>
    <row r="184">
      <c r="A184" s="2">
        <f>IFERROR(__xludf.DUMMYFUNCTION("""COMPUTED_VALUE"""),40634.0)</f>
        <v>40634</v>
      </c>
      <c r="B184" s="1" t="str">
        <f>IFERROR(__xludf.DUMMYFUNCTION("""COMPUTED_VALUE"""),"2.592 €/m2")</f>
        <v>2.592 €/m2</v>
      </c>
      <c r="C184" s="1" t="str">
        <f>IFERROR(__xludf.DUMMYFUNCTION("""COMPUTED_VALUE"""),"+ 0,6 %")</f>
        <v>+ 0,6 %</v>
      </c>
      <c r="D184" s="1" t="str">
        <f>IFERROR(__xludf.DUMMYFUNCTION("""COMPUTED_VALUE"""),"- 1,1 %")</f>
        <v>- 1,1 %</v>
      </c>
      <c r="E184" s="1" t="str">
        <f>IFERROR(__xludf.DUMMYFUNCTION("""COMPUTED_VALUE"""),"- 3,7 %")</f>
        <v>- 3,7 %</v>
      </c>
    </row>
    <row r="185">
      <c r="A185" s="2">
        <f>IFERROR(__xludf.DUMMYFUNCTION("""COMPUTED_VALUE"""),40603.0)</f>
        <v>40603</v>
      </c>
      <c r="B185" s="1" t="str">
        <f>IFERROR(__xludf.DUMMYFUNCTION("""COMPUTED_VALUE"""),"2.577 €/m2")</f>
        <v>2.577 €/m2</v>
      </c>
      <c r="C185" s="1" t="str">
        <f>IFERROR(__xludf.DUMMYFUNCTION("""COMPUTED_VALUE"""),"- 0,5 %")</f>
        <v>- 0,5 %</v>
      </c>
      <c r="D185" s="1" t="str">
        <f>IFERROR(__xludf.DUMMYFUNCTION("""COMPUTED_VALUE"""),"- 4,2 %")</f>
        <v>- 4,2 %</v>
      </c>
      <c r="E185" s="1" t="str">
        <f>IFERROR(__xludf.DUMMYFUNCTION("""COMPUTED_VALUE"""),"- 3,3 %")</f>
        <v>- 3,3 %</v>
      </c>
    </row>
    <row r="186">
      <c r="A186" s="2">
        <f>IFERROR(__xludf.DUMMYFUNCTION("""COMPUTED_VALUE"""),40575.0)</f>
        <v>40575</v>
      </c>
      <c r="B186" s="1" t="str">
        <f>IFERROR(__xludf.DUMMYFUNCTION("""COMPUTED_VALUE"""),"2.591 €/m2")</f>
        <v>2.591 €/m2</v>
      </c>
      <c r="C186" s="1" t="str">
        <f>IFERROR(__xludf.DUMMYFUNCTION("""COMPUTED_VALUE"""),"- 1,1 %")</f>
        <v>- 1,1 %</v>
      </c>
      <c r="D186" s="1" t="str">
        <f>IFERROR(__xludf.DUMMYFUNCTION("""COMPUTED_VALUE"""),"- 2,2 %")</f>
        <v>- 2,2 %</v>
      </c>
      <c r="E186" s="1" t="str">
        <f>IFERROR(__xludf.DUMMYFUNCTION("""COMPUTED_VALUE"""),"- 2,9 %")</f>
        <v>- 2,9 %</v>
      </c>
    </row>
    <row r="187">
      <c r="A187" s="2">
        <f>IFERROR(__xludf.DUMMYFUNCTION("""COMPUTED_VALUE"""),40544.0)</f>
        <v>40544</v>
      </c>
      <c r="B187" s="1" t="str">
        <f>IFERROR(__xludf.DUMMYFUNCTION("""COMPUTED_VALUE"""),"2.621 €/m2")</f>
        <v>2.621 €/m2</v>
      </c>
      <c r="C187" s="1" t="str">
        <f>IFERROR(__xludf.DUMMYFUNCTION("""COMPUTED_VALUE"""),"- 2,6 %")</f>
        <v>- 2,6 %</v>
      </c>
      <c r="D187" s="1" t="str">
        <f>IFERROR(__xludf.DUMMYFUNCTION("""COMPUTED_VALUE"""),"- 1,8 %")</f>
        <v>- 1,8 %</v>
      </c>
      <c r="E187" s="1" t="str">
        <f>IFERROR(__xludf.DUMMYFUNCTION("""COMPUTED_VALUE"""),"- 1,8 %")</f>
        <v>- 1,8 %</v>
      </c>
    </row>
    <row r="188">
      <c r="A188" s="2">
        <f>IFERROR(__xludf.DUMMYFUNCTION("""COMPUTED_VALUE"""),40513.0)</f>
        <v>40513</v>
      </c>
      <c r="B188" s="1" t="str">
        <f>IFERROR(__xludf.DUMMYFUNCTION("""COMPUTED_VALUE"""),"2.691 €/m2")</f>
        <v>2.691 €/m2</v>
      </c>
      <c r="C188" s="1" t="str">
        <f>IFERROR(__xludf.DUMMYFUNCTION("""COMPUTED_VALUE"""),"+ 1,5 %")</f>
        <v>+ 1,5 %</v>
      </c>
      <c r="D188" s="1" t="str">
        <f>IFERROR(__xludf.DUMMYFUNCTION("""COMPUTED_VALUE"""),"+ 0,9 %")</f>
        <v>+ 0,9 %</v>
      </c>
      <c r="E188" s="1" t="str">
        <f>IFERROR(__xludf.DUMMYFUNCTION("""COMPUTED_VALUE"""),"+ 1,4 %")</f>
        <v>+ 1,4 %</v>
      </c>
    </row>
    <row r="189">
      <c r="A189" s="2">
        <f>IFERROR(__xludf.DUMMYFUNCTION("""COMPUTED_VALUE"""),40483.0)</f>
        <v>40483</v>
      </c>
      <c r="B189" s="1" t="str">
        <f>IFERROR(__xludf.DUMMYFUNCTION("""COMPUTED_VALUE"""),"2.651 €/m2")</f>
        <v>2.651 €/m2</v>
      </c>
      <c r="C189" s="1" t="str">
        <f>IFERROR(__xludf.DUMMYFUNCTION("""COMPUTED_VALUE"""),"- 0,7 %")</f>
        <v>- 0,7 %</v>
      </c>
      <c r="D189" s="1" t="str">
        <f>IFERROR(__xludf.DUMMYFUNCTION("""COMPUTED_VALUE"""),"- 1,6 %")</f>
        <v>- 1,6 %</v>
      </c>
      <c r="E189" s="1" t="str">
        <f>IFERROR(__xludf.DUMMYFUNCTION("""COMPUTED_VALUE"""),"- 0,1 %")</f>
        <v>- 0,1 %</v>
      </c>
    </row>
    <row r="190">
      <c r="A190" s="2">
        <f>IFERROR(__xludf.DUMMYFUNCTION("""COMPUTED_VALUE"""),40452.0)</f>
        <v>40452</v>
      </c>
      <c r="B190" s="1" t="str">
        <f>IFERROR(__xludf.DUMMYFUNCTION("""COMPUTED_VALUE"""),"2.669 €/m2")</f>
        <v>2.669 €/m2</v>
      </c>
      <c r="C190" s="1" t="str">
        <f>IFERROR(__xludf.DUMMYFUNCTION("""COMPUTED_VALUE"""),"+ 0,1 %")</f>
        <v>+ 0,1 %</v>
      </c>
      <c r="D190" s="1" t="str">
        <f>IFERROR(__xludf.DUMMYFUNCTION("""COMPUTED_VALUE"""),"- 0,9 %")</f>
        <v>- 0,9 %</v>
      </c>
      <c r="E190" s="1" t="str">
        <f>IFERROR(__xludf.DUMMYFUNCTION("""COMPUTED_VALUE"""),"+ 0,6 %")</f>
        <v>+ 0,6 %</v>
      </c>
    </row>
    <row r="191">
      <c r="A191" s="2">
        <f>IFERROR(__xludf.DUMMYFUNCTION("""COMPUTED_VALUE"""),40422.0)</f>
        <v>40422</v>
      </c>
      <c r="B191" s="1" t="str">
        <f>IFERROR(__xludf.DUMMYFUNCTION("""COMPUTED_VALUE"""),"2.665 €/m2")</f>
        <v>2.665 €/m2</v>
      </c>
      <c r="C191" s="1" t="str">
        <f>IFERROR(__xludf.DUMMYFUNCTION("""COMPUTED_VALUE"""),"- 1,1 %")</f>
        <v>- 1,1 %</v>
      </c>
      <c r="D191" s="1" t="str">
        <f>IFERROR(__xludf.DUMMYFUNCTION("""COMPUTED_VALUE"""),"- 1,5 %")</f>
        <v>- 1,5 %</v>
      </c>
      <c r="E191" s="1" t="str">
        <f>IFERROR(__xludf.DUMMYFUNCTION("""COMPUTED_VALUE"""),"- 3,7 %")</f>
        <v>- 3,7 %</v>
      </c>
    </row>
    <row r="192">
      <c r="A192" s="2">
        <f>IFERROR(__xludf.DUMMYFUNCTION("""COMPUTED_VALUE"""),40391.0)</f>
        <v>40391</v>
      </c>
      <c r="B192" s="1" t="str">
        <f>IFERROR(__xludf.DUMMYFUNCTION("""COMPUTED_VALUE"""),"2.695 €/m2")</f>
        <v>2.695 €/m2</v>
      </c>
      <c r="C192" s="1" t="str">
        <f>IFERROR(__xludf.DUMMYFUNCTION("""COMPUTED_VALUE"""),"0,0 %")</f>
        <v>0,0 %</v>
      </c>
      <c r="D192" s="1" t="str">
        <f>IFERROR(__xludf.DUMMYFUNCTION("""COMPUTED_VALUE"""),"+ 1,1 %")</f>
        <v>+ 1,1 %</v>
      </c>
      <c r="E192" s="1" t="str">
        <f>IFERROR(__xludf.DUMMYFUNCTION("""COMPUTED_VALUE"""),"- 2,2 %")</f>
        <v>- 2,2 %</v>
      </c>
    </row>
    <row r="193">
      <c r="A193" s="2">
        <f>IFERROR(__xludf.DUMMYFUNCTION("""COMPUTED_VALUE"""),40360.0)</f>
        <v>40360</v>
      </c>
      <c r="B193" s="1" t="str">
        <f>IFERROR(__xludf.DUMMYFUNCTION("""COMPUTED_VALUE"""),"2.694 €/m2")</f>
        <v>2.694 €/m2</v>
      </c>
      <c r="C193" s="1" t="str">
        <f>IFERROR(__xludf.DUMMYFUNCTION("""COMPUTED_VALUE"""),"- 0,4 %")</f>
        <v>- 0,4 %</v>
      </c>
      <c r="D193" s="1" t="str">
        <f>IFERROR(__xludf.DUMMYFUNCTION("""COMPUTED_VALUE"""),"+ 0,1 %")</f>
        <v>+ 0,1 %</v>
      </c>
      <c r="E193" s="1" t="str">
        <f>IFERROR(__xludf.DUMMYFUNCTION("""COMPUTED_VALUE"""),"- 5,8 %")</f>
        <v>- 5,8 %</v>
      </c>
    </row>
    <row r="194">
      <c r="A194" s="2">
        <f>IFERROR(__xludf.DUMMYFUNCTION("""COMPUTED_VALUE"""),40330.0)</f>
        <v>40330</v>
      </c>
      <c r="B194" s="1" t="str">
        <f>IFERROR(__xludf.DUMMYFUNCTION("""COMPUTED_VALUE"""),"2.706 €/m2")</f>
        <v>2.706 €/m2</v>
      </c>
      <c r="C194" s="1" t="str">
        <f>IFERROR(__xludf.DUMMYFUNCTION("""COMPUTED_VALUE"""),"+ 1,5 %")</f>
        <v>+ 1,5 %</v>
      </c>
      <c r="D194" s="1" t="str">
        <f>IFERROR(__xludf.DUMMYFUNCTION("""COMPUTED_VALUE"""),"+ 1,6 %")</f>
        <v>+ 1,6 %</v>
      </c>
      <c r="E194" s="1" t="str">
        <f>IFERROR(__xludf.DUMMYFUNCTION("""COMPUTED_VALUE"""),"- 4,8 %")</f>
        <v>- 4,8 %</v>
      </c>
    </row>
    <row r="195">
      <c r="A195" s="2">
        <f>IFERROR(__xludf.DUMMYFUNCTION("""COMPUTED_VALUE"""),40299.0)</f>
        <v>40299</v>
      </c>
      <c r="B195" s="1" t="str">
        <f>IFERROR(__xludf.DUMMYFUNCTION("""COMPUTED_VALUE"""),"2.666 €/m2")</f>
        <v>2.666 €/m2</v>
      </c>
      <c r="C195" s="1" t="str">
        <f>IFERROR(__xludf.DUMMYFUNCTION("""COMPUTED_VALUE"""),"- 0,9 %")</f>
        <v>- 0,9 %</v>
      </c>
      <c r="D195" s="1" t="str">
        <f>IFERROR(__xludf.DUMMYFUNCTION("""COMPUTED_VALUE"""),"- 0,1 %")</f>
        <v>- 0,1 %</v>
      </c>
      <c r="E195" s="1" t="str">
        <f>IFERROR(__xludf.DUMMYFUNCTION("""COMPUTED_VALUE"""),"- 7,0 %")</f>
        <v>- 7,0 %</v>
      </c>
    </row>
    <row r="196">
      <c r="A196" s="2">
        <f>IFERROR(__xludf.DUMMYFUNCTION("""COMPUTED_VALUE"""),40269.0)</f>
        <v>40269</v>
      </c>
      <c r="B196" s="1" t="str">
        <f>IFERROR(__xludf.DUMMYFUNCTION("""COMPUTED_VALUE"""),"2.692 €/m2")</f>
        <v>2.692 €/m2</v>
      </c>
      <c r="C196" s="1" t="str">
        <f>IFERROR(__xludf.DUMMYFUNCTION("""COMPUTED_VALUE"""),"+ 1,0 %")</f>
        <v>+ 1,0 %</v>
      </c>
      <c r="D196" s="1" t="str">
        <f>IFERROR(__xludf.DUMMYFUNCTION("""COMPUTED_VALUE"""),"+ 0,9 %")</f>
        <v>+ 0,9 %</v>
      </c>
      <c r="E196" s="1" t="str">
        <f>IFERROR(__xludf.DUMMYFUNCTION("""COMPUTED_VALUE"""),"- 5,9 %")</f>
        <v>- 5,9 %</v>
      </c>
    </row>
    <row r="197">
      <c r="A197" s="2">
        <f>IFERROR(__xludf.DUMMYFUNCTION("""COMPUTED_VALUE"""),40238.0)</f>
        <v>40238</v>
      </c>
      <c r="B197" s="1" t="str">
        <f>IFERROR(__xludf.DUMMYFUNCTION("""COMPUTED_VALUE"""),"2.664 €/m2")</f>
        <v>2.664 €/m2</v>
      </c>
      <c r="C197" s="1" t="str">
        <f>IFERROR(__xludf.DUMMYFUNCTION("""COMPUTED_VALUE"""),"- 0,1 %")</f>
        <v>- 0,1 %</v>
      </c>
      <c r="D197" s="1" t="str">
        <f>IFERROR(__xludf.DUMMYFUNCTION("""COMPUTED_VALUE"""),"+ 0,4 %")</f>
        <v>+ 0,4 %</v>
      </c>
      <c r="E197" s="1" t="str">
        <f>IFERROR(__xludf.DUMMYFUNCTION("""COMPUTED_VALUE"""),"- 6,4 %")</f>
        <v>- 6,4 %</v>
      </c>
    </row>
    <row r="198">
      <c r="A198" s="2">
        <f>IFERROR(__xludf.DUMMYFUNCTION("""COMPUTED_VALUE"""),40210.0)</f>
        <v>40210</v>
      </c>
      <c r="B198" s="1" t="str">
        <f>IFERROR(__xludf.DUMMYFUNCTION("""COMPUTED_VALUE"""),"2.668 €/m2")</f>
        <v>2.668 €/m2</v>
      </c>
      <c r="C198" s="1" t="str">
        <f>IFERROR(__xludf.DUMMYFUNCTION("""COMPUTED_VALUE"""),"0,0 %")</f>
        <v>0,0 %</v>
      </c>
      <c r="D198" s="1" t="str">
        <f>IFERROR(__xludf.DUMMYFUNCTION("""COMPUTED_VALUE"""),"+ 0,5 %")</f>
        <v>+ 0,5 %</v>
      </c>
      <c r="E198" s="1" t="str">
        <f>IFERROR(__xludf.DUMMYFUNCTION("""COMPUTED_VALUE"""),"- 3,5 %")</f>
        <v>- 3,5 %</v>
      </c>
    </row>
    <row r="199">
      <c r="A199" s="2">
        <f>IFERROR(__xludf.DUMMYFUNCTION("""COMPUTED_VALUE"""),40179.0)</f>
        <v>40179</v>
      </c>
      <c r="B199" s="1" t="str">
        <f>IFERROR(__xludf.DUMMYFUNCTION("""COMPUTED_VALUE"""),"2.668 €/m2")</f>
        <v>2.668 €/m2</v>
      </c>
      <c r="C199" s="1" t="str">
        <f>IFERROR(__xludf.DUMMYFUNCTION("""COMPUTED_VALUE"""),"+ 0,5 %")</f>
        <v>+ 0,5 %</v>
      </c>
      <c r="D199" s="1" t="str">
        <f>IFERROR(__xludf.DUMMYFUNCTION("""COMPUTED_VALUE"""),"+ 0,5 %")</f>
        <v>+ 0,5 %</v>
      </c>
      <c r="E199" s="1" t="str">
        <f>IFERROR(__xludf.DUMMYFUNCTION("""COMPUTED_VALUE"""),"+ 1,5 %")</f>
        <v>+ 1,5 %</v>
      </c>
    </row>
    <row r="200">
      <c r="A200" s="2">
        <f>IFERROR(__xludf.DUMMYFUNCTION("""COMPUTED_VALUE"""),40148.0)</f>
        <v>40148</v>
      </c>
      <c r="B200" s="1" t="str">
        <f>IFERROR(__xludf.DUMMYFUNCTION("""COMPUTED_VALUE"""),"2.654 €/m2")</f>
        <v>2.654 €/m2</v>
      </c>
      <c r="C200" s="1" t="str">
        <f>IFERROR(__xludf.DUMMYFUNCTION("""COMPUTED_VALUE"""),"0,0 %")</f>
        <v>0,0 %</v>
      </c>
      <c r="D200" s="1" t="str">
        <f>IFERROR(__xludf.DUMMYFUNCTION("""COMPUTED_VALUE"""),"- 4,1 %")</f>
        <v>- 4,1 %</v>
      </c>
      <c r="E200" s="1" t="str">
        <f>IFERROR(__xludf.DUMMYFUNCTION("""COMPUTED_VALUE"""),"- 4,0 %")</f>
        <v>- 4,0 %</v>
      </c>
    </row>
    <row r="201">
      <c r="A201" s="2">
        <f>IFERROR(__xludf.DUMMYFUNCTION("""COMPUTED_VALUE"""),40118.0)</f>
        <v>40118</v>
      </c>
      <c r="B201" s="1" t="str">
        <f>IFERROR(__xludf.DUMMYFUNCTION("""COMPUTED_VALUE"""),"2.654 €/m2")</f>
        <v>2.654 €/m2</v>
      </c>
      <c r="C201" s="1" t="str">
        <f>IFERROR(__xludf.DUMMYFUNCTION("""COMPUTED_VALUE"""),"0,0 %")</f>
        <v>0,0 %</v>
      </c>
      <c r="D201" s="1" t="str">
        <f>IFERROR(__xludf.DUMMYFUNCTION("""COMPUTED_VALUE"""),"- 3,7 %")</f>
        <v>- 3,7 %</v>
      </c>
      <c r="E201" s="1" t="str">
        <f>IFERROR(__xludf.DUMMYFUNCTION("""COMPUTED_VALUE"""),"- 5,8 %")</f>
        <v>- 5,8 %</v>
      </c>
    </row>
    <row r="202">
      <c r="A202" s="2">
        <f>IFERROR(__xludf.DUMMYFUNCTION("""COMPUTED_VALUE"""),40087.0)</f>
        <v>40087</v>
      </c>
      <c r="B202" s="1" t="str">
        <f>IFERROR(__xludf.DUMMYFUNCTION("""COMPUTED_VALUE"""),"2.653 €/m2")</f>
        <v>2.653 €/m2</v>
      </c>
      <c r="C202" s="1" t="str">
        <f>IFERROR(__xludf.DUMMYFUNCTION("""COMPUTED_VALUE"""),"- 4,1 %")</f>
        <v>- 4,1 %</v>
      </c>
      <c r="D202" s="1" t="str">
        <f>IFERROR(__xludf.DUMMYFUNCTION("""COMPUTED_VALUE"""),"- 7,3 %")</f>
        <v>- 7,3 %</v>
      </c>
      <c r="E202" s="1" t="str">
        <f>IFERROR(__xludf.DUMMYFUNCTION("""COMPUTED_VALUE"""),"- 6,5 %")</f>
        <v>- 6,5 %</v>
      </c>
    </row>
    <row r="203">
      <c r="A203" s="2">
        <f>IFERROR(__xludf.DUMMYFUNCTION("""COMPUTED_VALUE"""),40057.0)</f>
        <v>40057</v>
      </c>
      <c r="B203" s="1" t="str">
        <f>IFERROR(__xludf.DUMMYFUNCTION("""COMPUTED_VALUE"""),"2.767 €/m2")</f>
        <v>2.767 €/m2</v>
      </c>
      <c r="C203" s="1" t="str">
        <f>IFERROR(__xludf.DUMMYFUNCTION("""COMPUTED_VALUE"""),"+ 0,4 %")</f>
        <v>+ 0,4 %</v>
      </c>
      <c r="D203" s="1" t="str">
        <f>IFERROR(__xludf.DUMMYFUNCTION("""COMPUTED_VALUE"""),"- 2,7 %")</f>
        <v>- 2,7 %</v>
      </c>
      <c r="E203" s="1" t="str">
        <f>IFERROR(__xludf.DUMMYFUNCTION("""COMPUTED_VALUE"""),"- 1,7 %")</f>
        <v>- 1,7 %</v>
      </c>
    </row>
    <row r="204">
      <c r="A204" s="2">
        <f>IFERROR(__xludf.DUMMYFUNCTION("""COMPUTED_VALUE"""),40026.0)</f>
        <v>40026</v>
      </c>
      <c r="B204" s="1" t="str">
        <f>IFERROR(__xludf.DUMMYFUNCTION("""COMPUTED_VALUE"""),"2.755 €/m2")</f>
        <v>2.755 €/m2</v>
      </c>
      <c r="C204" s="1" t="str">
        <f>IFERROR(__xludf.DUMMYFUNCTION("""COMPUTED_VALUE"""),"- 3,7 %")</f>
        <v>- 3,7 %</v>
      </c>
      <c r="D204" s="1" t="str">
        <f>IFERROR(__xludf.DUMMYFUNCTION("""COMPUTED_VALUE"""),"- 3,9 %")</f>
        <v>- 3,9 %</v>
      </c>
      <c r="E204" s="1" t="str">
        <f>IFERROR(__xludf.DUMMYFUNCTION("""COMPUTED_VALUE"""),"- 5,2 %")</f>
        <v>- 5,2 %</v>
      </c>
    </row>
    <row r="205">
      <c r="A205" s="2">
        <f>IFERROR(__xludf.DUMMYFUNCTION("""COMPUTED_VALUE"""),39995.0)</f>
        <v>39995</v>
      </c>
      <c r="B205" s="1" t="str">
        <f>IFERROR(__xludf.DUMMYFUNCTION("""COMPUTED_VALUE"""),"2.861 €/m2")</f>
        <v>2.861 €/m2</v>
      </c>
      <c r="C205" s="1" t="str">
        <f>IFERROR(__xludf.DUMMYFUNCTION("""COMPUTED_VALUE"""),"+ 0,6 %")</f>
        <v>+ 0,6 %</v>
      </c>
      <c r="D205" s="1" t="str">
        <f>IFERROR(__xludf.DUMMYFUNCTION("""COMPUTED_VALUE"""),"0,0 %")</f>
        <v>0,0 %</v>
      </c>
      <c r="E205" s="1" t="str">
        <f>IFERROR(__xludf.DUMMYFUNCTION("""COMPUTED_VALUE"""),"- 1,2 %")</f>
        <v>- 1,2 %</v>
      </c>
    </row>
    <row r="206">
      <c r="A206" s="2">
        <f>IFERROR(__xludf.DUMMYFUNCTION("""COMPUTED_VALUE"""),39965.0)</f>
        <v>39965</v>
      </c>
      <c r="B206" s="1" t="str">
        <f>IFERROR(__xludf.DUMMYFUNCTION("""COMPUTED_VALUE"""),"2.843 €/m2")</f>
        <v>2.843 €/m2</v>
      </c>
      <c r="C206" s="1" t="str">
        <f>IFERROR(__xludf.DUMMYFUNCTION("""COMPUTED_VALUE"""),"- 0,8 %")</f>
        <v>- 0,8 %</v>
      </c>
      <c r="D206" s="1" t="str">
        <f>IFERROR(__xludf.DUMMYFUNCTION("""COMPUTED_VALUE"""),"- 0,1 %")</f>
        <v>- 0,1 %</v>
      </c>
      <c r="E206" s="1" t="str">
        <f>IFERROR(__xludf.DUMMYFUNCTION("""COMPUTED_VALUE"""),"- 0,1 %")</f>
        <v>- 0,1 %</v>
      </c>
    </row>
    <row r="207">
      <c r="A207" s="2">
        <f>IFERROR(__xludf.DUMMYFUNCTION("""COMPUTED_VALUE"""),39934.0)</f>
        <v>39934</v>
      </c>
      <c r="B207" s="1" t="str">
        <f>IFERROR(__xludf.DUMMYFUNCTION("""COMPUTED_VALUE"""),"2.867 €/m2")</f>
        <v>2.867 €/m2</v>
      </c>
      <c r="C207" s="1" t="str">
        <f>IFERROR(__xludf.DUMMYFUNCTION("""COMPUTED_VALUE"""),"+ 0,2 %")</f>
        <v>+ 0,2 %</v>
      </c>
      <c r="D207" s="1" t="str">
        <f>IFERROR(__xludf.DUMMYFUNCTION("""COMPUTED_VALUE"""),"+ 3,7 %")</f>
        <v>+ 3,7 %</v>
      </c>
      <c r="E207" s="1" t="str">
        <f>IFERROR(__xludf.DUMMYFUNCTION("""COMPUTED_VALUE"""),"- 3,0 %")</f>
        <v>- 3,0 %</v>
      </c>
    </row>
    <row r="208">
      <c r="A208" s="2">
        <f>IFERROR(__xludf.DUMMYFUNCTION("""COMPUTED_VALUE"""),39904.0)</f>
        <v>39904</v>
      </c>
      <c r="B208" s="1" t="str">
        <f>IFERROR(__xludf.DUMMYFUNCTION("""COMPUTED_VALUE"""),"2.860 €/m2")</f>
        <v>2.860 €/m2</v>
      </c>
      <c r="C208" s="1" t="str">
        <f>IFERROR(__xludf.DUMMYFUNCTION("""COMPUTED_VALUE"""),"+ 0,5 %")</f>
        <v>+ 0,5 %</v>
      </c>
      <c r="D208" s="1" t="str">
        <f>IFERROR(__xludf.DUMMYFUNCTION("""COMPUTED_VALUE"""),"+ 8,8 %")</f>
        <v>+ 8,8 %</v>
      </c>
      <c r="E208" s="1" t="str">
        <f>IFERROR(__xludf.DUMMYFUNCTION("""COMPUTED_VALUE"""),"n.d.")</f>
        <v>n.d.</v>
      </c>
    </row>
    <row r="209">
      <c r="A209" s="2">
        <f>IFERROR(__xludf.DUMMYFUNCTION("""COMPUTED_VALUE"""),39873.0)</f>
        <v>39873</v>
      </c>
      <c r="B209" s="1" t="str">
        <f>IFERROR(__xludf.DUMMYFUNCTION("""COMPUTED_VALUE"""),"2.846 €/m2")</f>
        <v>2.846 €/m2</v>
      </c>
      <c r="C209" s="1" t="str">
        <f>IFERROR(__xludf.DUMMYFUNCTION("""COMPUTED_VALUE"""),"+ 2,9 %")</f>
        <v>+ 2,9 %</v>
      </c>
      <c r="D209" s="1" t="str">
        <f>IFERROR(__xludf.DUMMYFUNCTION("""COMPUTED_VALUE"""),"+ 3,0 %")</f>
        <v>+ 3,0 %</v>
      </c>
      <c r="E209" s="1" t="str">
        <f>IFERROR(__xludf.DUMMYFUNCTION("""COMPUTED_VALUE"""),"n.d.")</f>
        <v>n.d.</v>
      </c>
    </row>
    <row r="210">
      <c r="A210" s="2">
        <f>IFERROR(__xludf.DUMMYFUNCTION("""COMPUTED_VALUE"""),39845.0)</f>
        <v>39845</v>
      </c>
      <c r="B210" s="1" t="str">
        <f>IFERROR(__xludf.DUMMYFUNCTION("""COMPUTED_VALUE"""),"2.765 €/m2")</f>
        <v>2.765 €/m2</v>
      </c>
      <c r="C210" s="1" t="str">
        <f>IFERROR(__xludf.DUMMYFUNCTION("""COMPUTED_VALUE"""),"+ 5,2 %")</f>
        <v>+ 5,2 %</v>
      </c>
      <c r="D210" s="1" t="str">
        <f>IFERROR(__xludf.DUMMYFUNCTION("""COMPUTED_VALUE"""),"- 1,8 %")</f>
        <v>- 1,8 %</v>
      </c>
      <c r="E210" s="1" t="str">
        <f>IFERROR(__xludf.DUMMYFUNCTION("""COMPUTED_VALUE"""),"n.d.")</f>
        <v>n.d.</v>
      </c>
    </row>
    <row r="211">
      <c r="A211" s="2">
        <f>IFERROR(__xludf.DUMMYFUNCTION("""COMPUTED_VALUE"""),39814.0)</f>
        <v>39814</v>
      </c>
      <c r="B211" s="1" t="str">
        <f>IFERROR(__xludf.DUMMYFUNCTION("""COMPUTED_VALUE"""),"2.628 €/m2")</f>
        <v>2.628 €/m2</v>
      </c>
      <c r="C211" s="1" t="str">
        <f>IFERROR(__xludf.DUMMYFUNCTION("""COMPUTED_VALUE"""),"- 4,9 %")</f>
        <v>- 4,9 %</v>
      </c>
      <c r="D211" s="1" t="str">
        <f>IFERROR(__xludf.DUMMYFUNCTION("""COMPUTED_VALUE"""),"- 7,3 %")</f>
        <v>- 7,3 %</v>
      </c>
      <c r="E211" s="1" t="str">
        <f>IFERROR(__xludf.DUMMYFUNCTION("""COMPUTED_VALUE"""),"n.d.")</f>
        <v>n.d.</v>
      </c>
    </row>
    <row r="212">
      <c r="A212" s="2">
        <f>IFERROR(__xludf.DUMMYFUNCTION("""COMPUTED_VALUE"""),39783.0)</f>
        <v>39783</v>
      </c>
      <c r="B212" s="1" t="str">
        <f>IFERROR(__xludf.DUMMYFUNCTION("""COMPUTED_VALUE"""),"2.764 €/m2")</f>
        <v>2.764 €/m2</v>
      </c>
      <c r="C212" s="1" t="str">
        <f>IFERROR(__xludf.DUMMYFUNCTION("""COMPUTED_VALUE"""),"- 1,9 %")</f>
        <v>- 1,9 %</v>
      </c>
      <c r="D212" s="1" t="str">
        <f>IFERROR(__xludf.DUMMYFUNCTION("""COMPUTED_VALUE"""),"- 1,8 %")</f>
        <v>- 1,8 %</v>
      </c>
      <c r="E212" s="1" t="str">
        <f>IFERROR(__xludf.DUMMYFUNCTION("""COMPUTED_VALUE"""),"n.d.")</f>
        <v>n.d.</v>
      </c>
    </row>
    <row r="213">
      <c r="A213" s="2">
        <f>IFERROR(__xludf.DUMMYFUNCTION("""COMPUTED_VALUE"""),39753.0)</f>
        <v>39753</v>
      </c>
      <c r="B213" s="1" t="str">
        <f>IFERROR(__xludf.DUMMYFUNCTION("""COMPUTED_VALUE"""),"2.816 €/m2")</f>
        <v>2.816 €/m2</v>
      </c>
      <c r="C213" s="1" t="str">
        <f>IFERROR(__xludf.DUMMYFUNCTION("""COMPUTED_VALUE"""),"- 0,7 %")</f>
        <v>- 0,7 %</v>
      </c>
      <c r="D213" s="1" t="str">
        <f>IFERROR(__xludf.DUMMYFUNCTION("""COMPUTED_VALUE"""),"- 3,1 %")</f>
        <v>- 3,1 %</v>
      </c>
      <c r="E213" s="1" t="str">
        <f>IFERROR(__xludf.DUMMYFUNCTION("""COMPUTED_VALUE"""),"n.d.")</f>
        <v>n.d.</v>
      </c>
    </row>
    <row r="214">
      <c r="A214" s="2">
        <f>IFERROR(__xludf.DUMMYFUNCTION("""COMPUTED_VALUE"""),39722.0)</f>
        <v>39722</v>
      </c>
      <c r="B214" s="1" t="str">
        <f>IFERROR(__xludf.DUMMYFUNCTION("""COMPUTED_VALUE"""),"2.836 €/m2")</f>
        <v>2.836 €/m2</v>
      </c>
      <c r="C214" s="1" t="str">
        <f>IFERROR(__xludf.DUMMYFUNCTION("""COMPUTED_VALUE"""),"+ 0,7 %")</f>
        <v>+ 0,7 %</v>
      </c>
      <c r="D214" s="1" t="str">
        <f>IFERROR(__xludf.DUMMYFUNCTION("""COMPUTED_VALUE"""),"- 2,0 %")</f>
        <v>- 2,0 %</v>
      </c>
      <c r="E214" s="1" t="str">
        <f>IFERROR(__xludf.DUMMYFUNCTION("""COMPUTED_VALUE"""),"n.d.")</f>
        <v>n.d.</v>
      </c>
    </row>
    <row r="215">
      <c r="A215" s="2">
        <f>IFERROR(__xludf.DUMMYFUNCTION("""COMPUTED_VALUE"""),39692.0)</f>
        <v>39692</v>
      </c>
      <c r="B215" s="1" t="str">
        <f>IFERROR(__xludf.DUMMYFUNCTION("""COMPUTED_VALUE"""),"2.816 €/m2")</f>
        <v>2.816 €/m2</v>
      </c>
      <c r="C215" s="1" t="str">
        <f>IFERROR(__xludf.DUMMYFUNCTION("""COMPUTED_VALUE"""),"- 3,1 %")</f>
        <v>- 3,1 %</v>
      </c>
      <c r="D215" s="1" t="str">
        <f>IFERROR(__xludf.DUMMYFUNCTION("""COMPUTED_VALUE"""),"- 1,1 %")</f>
        <v>- 1,1 %</v>
      </c>
      <c r="E215" s="1" t="str">
        <f>IFERROR(__xludf.DUMMYFUNCTION("""COMPUTED_VALUE"""),"n.d.")</f>
        <v>n.d.</v>
      </c>
    </row>
    <row r="216">
      <c r="A216" s="2">
        <f>IFERROR(__xludf.DUMMYFUNCTION("""COMPUTED_VALUE"""),39661.0)</f>
        <v>39661</v>
      </c>
      <c r="B216" s="1" t="str">
        <f>IFERROR(__xludf.DUMMYFUNCTION("""COMPUTED_VALUE"""),"2.906 €/m2")</f>
        <v>2.906 €/m2</v>
      </c>
      <c r="C216" s="1" t="str">
        <f>IFERROR(__xludf.DUMMYFUNCTION("""COMPUTED_VALUE"""),"+ 0,4 %")</f>
        <v>+ 0,4 %</v>
      </c>
      <c r="D216" s="1" t="str">
        <f>IFERROR(__xludf.DUMMYFUNCTION("""COMPUTED_VALUE"""),"- 1,6 %")</f>
        <v>- 1,6 %</v>
      </c>
      <c r="E216" s="1" t="str">
        <f>IFERROR(__xludf.DUMMYFUNCTION("""COMPUTED_VALUE"""),"n.d.")</f>
        <v>n.d.</v>
      </c>
    </row>
    <row r="217">
      <c r="A217" s="2">
        <f>IFERROR(__xludf.DUMMYFUNCTION("""COMPUTED_VALUE"""),39630.0)</f>
        <v>39630</v>
      </c>
      <c r="B217" s="1" t="str">
        <f>IFERROR(__xludf.DUMMYFUNCTION("""COMPUTED_VALUE"""),"2.894 €/m2")</f>
        <v>2.894 €/m2</v>
      </c>
      <c r="C217" s="1" t="str">
        <f>IFERROR(__xludf.DUMMYFUNCTION("""COMPUTED_VALUE"""),"+ 1,7 %")</f>
        <v>+ 1,7 %</v>
      </c>
      <c r="D217" s="1" t="str">
        <f>IFERROR(__xludf.DUMMYFUNCTION("""COMPUTED_VALUE"""),"n.d.")</f>
        <v>n.d.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IFERROR(__xludf.DUMMYFUNCTION("""COMPUTED_VALUE"""),"2.846 €/m2")</f>
        <v>2.846 €/m2</v>
      </c>
      <c r="C218" s="1" t="str">
        <f>IFERROR(__xludf.DUMMYFUNCTION("""COMPUTED_VALUE"""),"- 3,7 %")</f>
        <v>- 3,7 %</v>
      </c>
      <c r="D218" s="1" t="str">
        <f>IFERROR(__xludf.DUMMYFUNCTION("""COMPUTED_VALUE"""),"n.d.")</f>
        <v>n.d.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IFERROR(__xludf.DUMMYFUNCTION("""COMPUTED_VALUE"""),"2.955 €/m2")</f>
        <v>2.955 €/m2</v>
      </c>
      <c r="C219" s="1" t="str">
        <f>IFERROR(__xludf.DUMMYFUNCTION("""COMPUTED_VALUE"""),"n.d.")</f>
        <v>n.d.</v>
      </c>
      <c r="D219" s="1" t="str">
        <f>IFERROR(__xludf.DUMMYFUNCTION("""COMPUTED_VALUE"""),"n.d.")</f>
        <v>n.d.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IFERROR(__xludf.DUMMYFUNCTION("""COMPUTED_VALUE"""),"n.d.")</f>
        <v>n.d.</v>
      </c>
      <c r="C220" s="1" t="str">
        <f>IFERROR(__xludf.DUMMYFUNCTION("""COMPUTED_VALUE"""),"n.d.")</f>
        <v>n.d.</v>
      </c>
      <c r="D220" s="1" t="str">
        <f>IFERROR(__xludf.DUMMYFUNCTION("""COMPUTED_VALUE"""),"n.d.")</f>
        <v>n.d.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IFERROR(__xludf.DUMMYFUNCTION("""COMPUTED_VALUE"""),"n.d.")</f>
        <v>n.d.</v>
      </c>
      <c r="C221" s="1" t="str">
        <f>IFERROR(__xludf.DUMMYFUNCTION("""COMPUTED_VALUE"""),"n.d.")</f>
        <v>n.d.</v>
      </c>
      <c r="D221" s="1" t="str">
        <f>IFERROR(__xludf.DUMMYFUNCTION("""COMPUTED_VALUE"""),"n.d.")</f>
        <v>n.d.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IFERROR(__xludf.DUMMYFUNCTION("""COMPUTED_VALUE"""),"n.d.")</f>
        <v>n.d.</v>
      </c>
      <c r="C222" s="1" t="str">
        <f>IFERROR(__xludf.DUMMYFUNCTION("""COMPUTED_VALUE"""),"n.d.")</f>
        <v>n.d.</v>
      </c>
      <c r="D222" s="1" t="str">
        <f>IFERROR(__xludf.DUMMYFUNCTION("""COMPUTED_VALUE"""),"n.d.")</f>
        <v>n.d.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IFERROR(__xludf.DUMMYFUNCTION("""COMPUTED_VALUE"""),"n.d.")</f>
        <v>n.d.</v>
      </c>
      <c r="C223" s="1" t="str">
        <f>IFERROR(__xludf.DUMMYFUNCTION("""COMPUTED_VALUE"""),"n.d.")</f>
        <v>n.d.</v>
      </c>
      <c r="D223" s="1" t="str">
        <f>IFERROR(__xludf.DUMMYFUNCTION("""COMPUTED_VALUE"""),"n.d.")</f>
        <v>n.d.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IFERROR(__xludf.DUMMYFUNCTION("""COMPUTED_VALUE"""),"n.d.")</f>
        <v>n.d.</v>
      </c>
      <c r="C224" s="1" t="str">
        <f>IFERROR(__xludf.DUMMYFUNCTION("""COMPUTED_VALUE"""),"n.d.")</f>
        <v>n.d.</v>
      </c>
      <c r="D224" s="1" t="str">
        <f>IFERROR(__xludf.DUMMYFUNCTION("""COMPUTED_VALUE"""),"n.d.")</f>
        <v>n.d.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IFERROR(__xludf.DUMMYFUNCTION("""COMPUTED_VALUE"""),"n.d.")</f>
        <v>n.d.</v>
      </c>
      <c r="C225" s="1" t="str">
        <f>IFERROR(__xludf.DUMMYFUNCTION("""COMPUTED_VALUE"""),"n.d.")</f>
        <v>n.d.</v>
      </c>
      <c r="D225" s="1" t="str">
        <f>IFERROR(__xludf.DUMMYFUNCTION("""COMPUTED_VALUE"""),"n.d.")</f>
        <v>n.d.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IFERROR(__xludf.DUMMYFUNCTION("""COMPUTED_VALUE"""),"n.d.")</f>
        <v>n.d.</v>
      </c>
      <c r="C226" s="1" t="str">
        <f>IFERROR(__xludf.DUMMYFUNCTION("""COMPUTED_VALUE"""),"n.d.")</f>
        <v>n.d.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IFERROR(__xludf.DUMMYFUNCTION("""COMPUTED_VALUE"""),"n.d.")</f>
        <v>n.d.</v>
      </c>
      <c r="C227" s="1" t="str">
        <f>IFERROR(__xludf.DUMMYFUNCTION("""COMPUTED_VALUE"""),"n.d.")</f>
        <v>n.d.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IFERROR(__xludf.DUMMYFUNCTION("""COMPUTED_VALUE"""),"n.d.")</f>
        <v>n.d.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IFERROR(__xludf.DUMMYFUNCTION("IMPORTHTML(""https://www.idealista.com/sala-de-prensa/informes-precio-vivienda/venta/madrid-comunidad/madrid-provincia/madrid/villaverde/historico/"", ""table"", 1)"),"Mes")</f>
        <v>Mes</v>
      </c>
      <c r="B1" s="1" t="str">
        <f>IFERROR(__xludf.DUMMYFUNCTION("""COMPUTED_VALUE"""),"Precio m2")</f>
        <v>Precio m2</v>
      </c>
      <c r="C1" s="1" t="str">
        <f>IFERROR(__xludf.DUMMYFUNCTION("""COMPUTED_VALUE"""),"Variación mensual")</f>
        <v>Variación mensual</v>
      </c>
      <c r="D1" s="1" t="str">
        <f>IFERROR(__xludf.DUMMYFUNCTION("""COMPUTED_VALUE"""),"Variación trimestral")</f>
        <v>Variación trimestral</v>
      </c>
      <c r="E1" s="1" t="str">
        <f>IFERROR(__xludf.DUMMYFUNCTION("""COMPUTED_VALUE"""),"Variación anual")</f>
        <v>Variación anual</v>
      </c>
    </row>
    <row r="2">
      <c r="A2" s="2">
        <f>IFERROR(__xludf.DUMMYFUNCTION("""COMPUTED_VALUE"""),46174.0)</f>
        <v>46174</v>
      </c>
      <c r="B2" s="1" t="str">
        <f>IFERROR(__xludf.DUMMYFUNCTION("""COMPUTED_VALUE"""),"3.210 €/m2")</f>
        <v>3.210 €/m2</v>
      </c>
      <c r="C2" s="1" t="str">
        <f>IFERROR(__xludf.DUMMYFUNCTION("""COMPUTED_VALUE"""),"+ 2,5 %")</f>
        <v>+ 2,5 %</v>
      </c>
      <c r="D2" s="1" t="str">
        <f>IFERROR(__xludf.DUMMYFUNCTION("""COMPUTED_VALUE"""),"+ 9,4 %")</f>
        <v>+ 9,4 %</v>
      </c>
      <c r="E2" s="1" t="str">
        <f>IFERROR(__xludf.DUMMYFUNCTION("""COMPUTED_VALUE"""),"+ 25,6 %")</f>
        <v>+ 25,6 %</v>
      </c>
    </row>
    <row r="3">
      <c r="A3" s="2">
        <f>IFERROR(__xludf.DUMMYFUNCTION("""COMPUTED_VALUE"""),46143.0)</f>
        <v>46143</v>
      </c>
      <c r="B3" s="1" t="str">
        <f>IFERROR(__xludf.DUMMYFUNCTION("""COMPUTED_VALUE"""),"3.132 €/m2")</f>
        <v>3.132 €/m2</v>
      </c>
      <c r="C3" s="1" t="str">
        <f>IFERROR(__xludf.DUMMYFUNCTION("""COMPUTED_VALUE"""),"+ 4,3 %")</f>
        <v>+ 4,3 %</v>
      </c>
      <c r="D3" s="1" t="str">
        <f>IFERROR(__xludf.DUMMYFUNCTION("""COMPUTED_VALUE"""),"+ 8,0 %")</f>
        <v>+ 8,0 %</v>
      </c>
      <c r="E3" s="1" t="str">
        <f>IFERROR(__xludf.DUMMYFUNCTION("""COMPUTED_VALUE"""),"+ 27,4 %")</f>
        <v>+ 27,4 %</v>
      </c>
    </row>
    <row r="4">
      <c r="A4" s="2">
        <f>IFERROR(__xludf.DUMMYFUNCTION("""COMPUTED_VALUE"""),46113.0)</f>
        <v>46113</v>
      </c>
      <c r="B4" s="1" t="str">
        <f>IFERROR(__xludf.DUMMYFUNCTION("""COMPUTED_VALUE"""),"3.002 €/m2")</f>
        <v>3.002 €/m2</v>
      </c>
      <c r="C4" s="1" t="str">
        <f>IFERROR(__xludf.DUMMYFUNCTION("""COMPUTED_VALUE"""),"+ 2,3 %")</f>
        <v>+ 2,3 %</v>
      </c>
      <c r="D4" s="1" t="str">
        <f>IFERROR(__xludf.DUMMYFUNCTION("""COMPUTED_VALUE"""),"+ 6,3 %")</f>
        <v>+ 6,3 %</v>
      </c>
      <c r="E4" s="1" t="str">
        <f>IFERROR(__xludf.DUMMYFUNCTION("""COMPUTED_VALUE"""),"+ 27,1 %")</f>
        <v>+ 27,1 %</v>
      </c>
    </row>
    <row r="5">
      <c r="A5" s="2">
        <f>IFERROR(__xludf.DUMMYFUNCTION("""COMPUTED_VALUE"""),46082.0)</f>
        <v>46082</v>
      </c>
      <c r="B5" s="1" t="str">
        <f>IFERROR(__xludf.DUMMYFUNCTION("""COMPUTED_VALUE"""),"2.934 €/m2")</f>
        <v>2.934 €/m2</v>
      </c>
      <c r="C5" s="1" t="str">
        <f>IFERROR(__xludf.DUMMYFUNCTION("""COMPUTED_VALUE"""),"+ 1,2 %")</f>
        <v>+ 1,2 %</v>
      </c>
      <c r="D5" s="1" t="str">
        <f>IFERROR(__xludf.DUMMYFUNCTION("""COMPUTED_VALUE"""),"+ 6,5 %")</f>
        <v>+ 6,5 %</v>
      </c>
      <c r="E5" s="1" t="str">
        <f>IFERROR(__xludf.DUMMYFUNCTION("""COMPUTED_VALUE"""),"+ 27,9 %")</f>
        <v>+ 27,9 %</v>
      </c>
    </row>
    <row r="6">
      <c r="A6" s="2">
        <f>IFERROR(__xludf.DUMMYFUNCTION("""COMPUTED_VALUE"""),46054.0)</f>
        <v>46054</v>
      </c>
      <c r="B6" s="1" t="str">
        <f>IFERROR(__xludf.DUMMYFUNCTION("""COMPUTED_VALUE"""),"2.899 €/m2")</f>
        <v>2.899 €/m2</v>
      </c>
      <c r="C6" s="1" t="str">
        <f>IFERROR(__xludf.DUMMYFUNCTION("""COMPUTED_VALUE"""),"+ 2,7 %")</f>
        <v>+ 2,7 %</v>
      </c>
      <c r="D6" s="1" t="str">
        <f>IFERROR(__xludf.DUMMYFUNCTION("""COMPUTED_VALUE"""),"+ 5,4 %")</f>
        <v>+ 5,4 %</v>
      </c>
      <c r="E6" s="1" t="str">
        <f>IFERROR(__xludf.DUMMYFUNCTION("""COMPUTED_VALUE"""),"+ 28,6 %")</f>
        <v>+ 28,6 %</v>
      </c>
    </row>
    <row r="7">
      <c r="A7" s="2">
        <f>IFERROR(__xludf.DUMMYFUNCTION("""COMPUTED_VALUE"""),46023.0)</f>
        <v>46023</v>
      </c>
      <c r="B7" s="1" t="str">
        <f>IFERROR(__xludf.DUMMYFUNCTION("""COMPUTED_VALUE"""),"2.823 €/m2")</f>
        <v>2.823 €/m2</v>
      </c>
      <c r="C7" s="1" t="str">
        <f>IFERROR(__xludf.DUMMYFUNCTION("""COMPUTED_VALUE"""),"+ 2,5 %")</f>
        <v>+ 2,5 %</v>
      </c>
      <c r="D7" s="1" t="str">
        <f>IFERROR(__xludf.DUMMYFUNCTION("""COMPUTED_VALUE"""),"+ 4,2 %")</f>
        <v>+ 4,2 %</v>
      </c>
      <c r="E7" s="1" t="str">
        <f>IFERROR(__xludf.DUMMYFUNCTION("""COMPUTED_VALUE"""),"+ 27,9 %")</f>
        <v>+ 27,9 %</v>
      </c>
    </row>
    <row r="8">
      <c r="A8" s="2">
        <f>IFERROR(__xludf.DUMMYFUNCTION("""COMPUTED_VALUE"""),45992.0)</f>
        <v>45992</v>
      </c>
      <c r="B8" s="1" t="str">
        <f>IFERROR(__xludf.DUMMYFUNCTION("""COMPUTED_VALUE"""),"2.754 €/m2")</f>
        <v>2.754 €/m2</v>
      </c>
      <c r="C8" s="1" t="str">
        <f>IFERROR(__xludf.DUMMYFUNCTION("""COMPUTED_VALUE"""),"+ 0,1 %")</f>
        <v>+ 0,1 %</v>
      </c>
      <c r="D8" s="1" t="str">
        <f>IFERROR(__xludf.DUMMYFUNCTION("""COMPUTED_VALUE"""),"+ 4,5 %")</f>
        <v>+ 4,5 %</v>
      </c>
      <c r="E8" s="1" t="str">
        <f>IFERROR(__xludf.DUMMYFUNCTION("""COMPUTED_VALUE"""),"+ 22,3 %")</f>
        <v>+ 22,3 %</v>
      </c>
    </row>
    <row r="9">
      <c r="A9" s="2">
        <f>IFERROR(__xludf.DUMMYFUNCTION("""COMPUTED_VALUE"""),45962.0)</f>
        <v>45962</v>
      </c>
      <c r="B9" s="1" t="str">
        <f>IFERROR(__xludf.DUMMYFUNCTION("""COMPUTED_VALUE"""),"2.750 €/m2")</f>
        <v>2.750 €/m2</v>
      </c>
      <c r="C9" s="1" t="str">
        <f>IFERROR(__xludf.DUMMYFUNCTION("""COMPUTED_VALUE"""),"+ 1,5 %")</f>
        <v>+ 1,5 %</v>
      </c>
      <c r="D9" s="1" t="str">
        <f>IFERROR(__xludf.DUMMYFUNCTION("""COMPUTED_VALUE"""),"+ 4,6 %")</f>
        <v>+ 4,6 %</v>
      </c>
      <c r="E9" s="1" t="str">
        <f>IFERROR(__xludf.DUMMYFUNCTION("""COMPUTED_VALUE"""),"+ 24,8 %")</f>
        <v>+ 24,8 %</v>
      </c>
    </row>
    <row r="10">
      <c r="A10" s="2">
        <f>IFERROR(__xludf.DUMMYFUNCTION("""COMPUTED_VALUE"""),45931.0)</f>
        <v>45931</v>
      </c>
      <c r="B10" s="1" t="str">
        <f>IFERROR(__xludf.DUMMYFUNCTION("""COMPUTED_VALUE"""),"2.709 €/m2")</f>
        <v>2.709 €/m2</v>
      </c>
      <c r="C10" s="1" t="str">
        <f>IFERROR(__xludf.DUMMYFUNCTION("""COMPUTED_VALUE"""),"+ 2,7 %")</f>
        <v>+ 2,7 %</v>
      </c>
      <c r="D10" s="1" t="str">
        <f>IFERROR(__xludf.DUMMYFUNCTION("""COMPUTED_VALUE"""),"+ 2,1 %")</f>
        <v>+ 2,1 %</v>
      </c>
      <c r="E10" s="1" t="str">
        <f>IFERROR(__xludf.DUMMYFUNCTION("""COMPUTED_VALUE"""),"+ 25,0 %")</f>
        <v>+ 25,0 %</v>
      </c>
    </row>
    <row r="11">
      <c r="A11" s="2">
        <f>IFERROR(__xludf.DUMMYFUNCTION("""COMPUTED_VALUE"""),45901.0)</f>
        <v>45901</v>
      </c>
      <c r="B11" s="1" t="str">
        <f>IFERROR(__xludf.DUMMYFUNCTION("""COMPUTED_VALUE"""),"2.637 €/m2")</f>
        <v>2.637 €/m2</v>
      </c>
      <c r="C11" s="1" t="str">
        <f>IFERROR(__xludf.DUMMYFUNCTION("""COMPUTED_VALUE"""),"+ 0,3 %")</f>
        <v>+ 0,3 %</v>
      </c>
      <c r="D11" s="1" t="str">
        <f>IFERROR(__xludf.DUMMYFUNCTION("""COMPUTED_VALUE"""),"+ 3,2 %")</f>
        <v>+ 3,2 %</v>
      </c>
      <c r="E11" s="1" t="str">
        <f>IFERROR(__xludf.DUMMYFUNCTION("""COMPUTED_VALUE"""),"+ 24,2 %")</f>
        <v>+ 24,2 %</v>
      </c>
    </row>
    <row r="12">
      <c r="A12" s="2">
        <f>IFERROR(__xludf.DUMMYFUNCTION("""COMPUTED_VALUE"""),45870.0)</f>
        <v>45870</v>
      </c>
      <c r="B12" s="1" t="str">
        <f>IFERROR(__xludf.DUMMYFUNCTION("""COMPUTED_VALUE"""),"2.630 €/m2")</f>
        <v>2.630 €/m2</v>
      </c>
      <c r="C12" s="1" t="str">
        <f>IFERROR(__xludf.DUMMYFUNCTION("""COMPUTED_VALUE"""),"- 0,8 %")</f>
        <v>- 0,8 %</v>
      </c>
      <c r="D12" s="1" t="str">
        <f>IFERROR(__xludf.DUMMYFUNCTION("""COMPUTED_VALUE"""),"+ 7,0 %")</f>
        <v>+ 7,0 %</v>
      </c>
      <c r="E12" s="1" t="str">
        <f>IFERROR(__xludf.DUMMYFUNCTION("""COMPUTED_VALUE"""),"+ 23,8 %")</f>
        <v>+ 23,8 %</v>
      </c>
    </row>
    <row r="13">
      <c r="A13" s="2">
        <f>IFERROR(__xludf.DUMMYFUNCTION("""COMPUTED_VALUE"""),45839.0)</f>
        <v>45839</v>
      </c>
      <c r="B13" s="1" t="str">
        <f>IFERROR(__xludf.DUMMYFUNCTION("""COMPUTED_VALUE"""),"2.652 €/m2")</f>
        <v>2.652 €/m2</v>
      </c>
      <c r="C13" s="1" t="str">
        <f>IFERROR(__xludf.DUMMYFUNCTION("""COMPUTED_VALUE"""),"+ 3,8 %")</f>
        <v>+ 3,8 %</v>
      </c>
      <c r="D13" s="1" t="str">
        <f>IFERROR(__xludf.DUMMYFUNCTION("""COMPUTED_VALUE"""),"+ 12,3 %")</f>
        <v>+ 12,3 %</v>
      </c>
      <c r="E13" s="1" t="str">
        <f>IFERROR(__xludf.DUMMYFUNCTION("""COMPUTED_VALUE"""),"+ 26,9 %")</f>
        <v>+ 26,9 %</v>
      </c>
    </row>
    <row r="14">
      <c r="A14" s="2">
        <f>IFERROR(__xludf.DUMMYFUNCTION("""COMPUTED_VALUE"""),45809.0)</f>
        <v>45809</v>
      </c>
      <c r="B14" s="1" t="str">
        <f>IFERROR(__xludf.DUMMYFUNCTION("""COMPUTED_VALUE"""),"2.555 €/m2")</f>
        <v>2.555 €/m2</v>
      </c>
      <c r="C14" s="1" t="str">
        <f>IFERROR(__xludf.DUMMYFUNCTION("""COMPUTED_VALUE"""),"+ 3,9 %")</f>
        <v>+ 3,9 %</v>
      </c>
      <c r="D14" s="1" t="str">
        <f>IFERROR(__xludf.DUMMYFUNCTION("""COMPUTED_VALUE"""),"+ 11,4 %")</f>
        <v>+ 11,4 %</v>
      </c>
      <c r="E14" s="1" t="str">
        <f>IFERROR(__xludf.DUMMYFUNCTION("""COMPUTED_VALUE"""),"+ 23,4 %")</f>
        <v>+ 23,4 %</v>
      </c>
    </row>
    <row r="15">
      <c r="A15" s="2">
        <f>IFERROR(__xludf.DUMMYFUNCTION("""COMPUTED_VALUE"""),45778.0)</f>
        <v>45778</v>
      </c>
      <c r="B15" s="1" t="str">
        <f>IFERROR(__xludf.DUMMYFUNCTION("""COMPUTED_VALUE"""),"2.459 €/m2")</f>
        <v>2.459 €/m2</v>
      </c>
      <c r="C15" s="1" t="str">
        <f>IFERROR(__xludf.DUMMYFUNCTION("""COMPUTED_VALUE"""),"+ 4,1 %")</f>
        <v>+ 4,1 %</v>
      </c>
      <c r="D15" s="1" t="str">
        <f>IFERROR(__xludf.DUMMYFUNCTION("""COMPUTED_VALUE"""),"+ 9,1 %")</f>
        <v>+ 9,1 %</v>
      </c>
      <c r="E15" s="1" t="str">
        <f>IFERROR(__xludf.DUMMYFUNCTION("""COMPUTED_VALUE"""),"+ 18,4 %")</f>
        <v>+ 18,4 %</v>
      </c>
    </row>
    <row r="16">
      <c r="A16" s="2">
        <f>IFERROR(__xludf.DUMMYFUNCTION("""COMPUTED_VALUE"""),45748.0)</f>
        <v>45748</v>
      </c>
      <c r="B16" s="1" t="str">
        <f>IFERROR(__xludf.DUMMYFUNCTION("""COMPUTED_VALUE"""),"2.362 €/m2")</f>
        <v>2.362 €/m2</v>
      </c>
      <c r="C16" s="1" t="str">
        <f>IFERROR(__xludf.DUMMYFUNCTION("""COMPUTED_VALUE"""),"+ 3,0 %")</f>
        <v>+ 3,0 %</v>
      </c>
      <c r="D16" s="1" t="str">
        <f>IFERROR(__xludf.DUMMYFUNCTION("""COMPUTED_VALUE"""),"+ 7,0 %")</f>
        <v>+ 7,0 %</v>
      </c>
      <c r="E16" s="1" t="str">
        <f>IFERROR(__xludf.DUMMYFUNCTION("""COMPUTED_VALUE"""),"+ 15,5 %")</f>
        <v>+ 15,5 %</v>
      </c>
    </row>
    <row r="17">
      <c r="A17" s="2">
        <f>IFERROR(__xludf.DUMMYFUNCTION("""COMPUTED_VALUE"""),45717.0)</f>
        <v>45717</v>
      </c>
      <c r="B17" s="1" t="str">
        <f>IFERROR(__xludf.DUMMYFUNCTION("""COMPUTED_VALUE"""),"2.294 €/m2")</f>
        <v>2.294 €/m2</v>
      </c>
      <c r="C17" s="1" t="str">
        <f>IFERROR(__xludf.DUMMYFUNCTION("""COMPUTED_VALUE"""),"+ 1,8 %")</f>
        <v>+ 1,8 %</v>
      </c>
      <c r="D17" s="1" t="str">
        <f>IFERROR(__xludf.DUMMYFUNCTION("""COMPUTED_VALUE"""),"+ 1,9 %")</f>
        <v>+ 1,9 %</v>
      </c>
      <c r="E17" s="1" t="str">
        <f>IFERROR(__xludf.DUMMYFUNCTION("""COMPUTED_VALUE"""),"+ 15,4 %")</f>
        <v>+ 15,4 %</v>
      </c>
    </row>
    <row r="18">
      <c r="A18" s="2">
        <f>IFERROR(__xludf.DUMMYFUNCTION("""COMPUTED_VALUE"""),45689.0)</f>
        <v>45689</v>
      </c>
      <c r="B18" s="1" t="str">
        <f>IFERROR(__xludf.DUMMYFUNCTION("""COMPUTED_VALUE"""),"2.254 €/m2")</f>
        <v>2.254 €/m2</v>
      </c>
      <c r="C18" s="1" t="str">
        <f>IFERROR(__xludf.DUMMYFUNCTION("""COMPUTED_VALUE"""),"+ 2,1 %")</f>
        <v>+ 2,1 %</v>
      </c>
      <c r="D18" s="1" t="str">
        <f>IFERROR(__xludf.DUMMYFUNCTION("""COMPUTED_VALUE"""),"+ 2,3 %")</f>
        <v>+ 2,3 %</v>
      </c>
      <c r="E18" s="1" t="str">
        <f>IFERROR(__xludf.DUMMYFUNCTION("""COMPUTED_VALUE"""),"+ 14,0 %")</f>
        <v>+ 14,0 %</v>
      </c>
    </row>
    <row r="19">
      <c r="A19" s="2">
        <f>IFERROR(__xludf.DUMMYFUNCTION("""COMPUTED_VALUE"""),45658.0)</f>
        <v>45658</v>
      </c>
      <c r="B19" s="1" t="str">
        <f>IFERROR(__xludf.DUMMYFUNCTION("""COMPUTED_VALUE"""),"2.207 €/m2")</f>
        <v>2.207 €/m2</v>
      </c>
      <c r="C19" s="1" t="str">
        <f>IFERROR(__xludf.DUMMYFUNCTION("""COMPUTED_VALUE"""),"- 2,0 %")</f>
        <v>- 2,0 %</v>
      </c>
      <c r="D19" s="1" t="str">
        <f>IFERROR(__xludf.DUMMYFUNCTION("""COMPUTED_VALUE"""),"+ 1,9 %")</f>
        <v>+ 1,9 %</v>
      </c>
      <c r="E19" s="1" t="str">
        <f>IFERROR(__xludf.DUMMYFUNCTION("""COMPUTED_VALUE"""),"+ 11,4 %")</f>
        <v>+ 11,4 %</v>
      </c>
    </row>
    <row r="20">
      <c r="A20" s="2">
        <f>IFERROR(__xludf.DUMMYFUNCTION("""COMPUTED_VALUE"""),45627.0)</f>
        <v>45627</v>
      </c>
      <c r="B20" s="1" t="str">
        <f>IFERROR(__xludf.DUMMYFUNCTION("""COMPUTED_VALUE"""),"2.252 €/m2")</f>
        <v>2.252 €/m2</v>
      </c>
      <c r="C20" s="1" t="str">
        <f>IFERROR(__xludf.DUMMYFUNCTION("""COMPUTED_VALUE"""),"+ 2,2 %")</f>
        <v>+ 2,2 %</v>
      </c>
      <c r="D20" s="1" t="str">
        <f>IFERROR(__xludf.DUMMYFUNCTION("""COMPUTED_VALUE"""),"+ 6,1 %")</f>
        <v>+ 6,1 %</v>
      </c>
      <c r="E20" s="1" t="str">
        <f>IFERROR(__xludf.DUMMYFUNCTION("""COMPUTED_VALUE"""),"+ 14,7 %")</f>
        <v>+ 14,7 %</v>
      </c>
    </row>
    <row r="21">
      <c r="A21" s="2">
        <f>IFERROR(__xludf.DUMMYFUNCTION("""COMPUTED_VALUE"""),45597.0)</f>
        <v>45597</v>
      </c>
      <c r="B21" s="1" t="str">
        <f>IFERROR(__xludf.DUMMYFUNCTION("""COMPUTED_VALUE"""),"2.204 €/m2")</f>
        <v>2.204 €/m2</v>
      </c>
      <c r="C21" s="1" t="str">
        <f>IFERROR(__xludf.DUMMYFUNCTION("""COMPUTED_VALUE"""),"+ 1,7 %")</f>
        <v>+ 1,7 %</v>
      </c>
      <c r="D21" s="1" t="str">
        <f>IFERROR(__xludf.DUMMYFUNCTION("""COMPUTED_VALUE"""),"+ 3,7 %")</f>
        <v>+ 3,7 %</v>
      </c>
      <c r="E21" s="1" t="str">
        <f>IFERROR(__xludf.DUMMYFUNCTION("""COMPUTED_VALUE"""),"+ 13,8 %")</f>
        <v>+ 13,8 %</v>
      </c>
    </row>
    <row r="22">
      <c r="A22" s="2">
        <f>IFERROR(__xludf.DUMMYFUNCTION("""COMPUTED_VALUE"""),45566.0)</f>
        <v>45566</v>
      </c>
      <c r="B22" s="1" t="str">
        <f>IFERROR(__xludf.DUMMYFUNCTION("""COMPUTED_VALUE"""),"2.167 €/m2")</f>
        <v>2.167 €/m2</v>
      </c>
      <c r="C22" s="1" t="str">
        <f>IFERROR(__xludf.DUMMYFUNCTION("""COMPUTED_VALUE"""),"+ 2,1 %")</f>
        <v>+ 2,1 %</v>
      </c>
      <c r="D22" s="1" t="str">
        <f>IFERROR(__xludf.DUMMYFUNCTION("""COMPUTED_VALUE"""),"+ 3,7 %")</f>
        <v>+ 3,7 %</v>
      </c>
      <c r="E22" s="1" t="str">
        <f>IFERROR(__xludf.DUMMYFUNCTION("""COMPUTED_VALUE"""),"+ 10,5 %")</f>
        <v>+ 10,5 %</v>
      </c>
    </row>
    <row r="23">
      <c r="A23" s="2">
        <f>IFERROR(__xludf.DUMMYFUNCTION("""COMPUTED_VALUE"""),45536.0)</f>
        <v>45536</v>
      </c>
      <c r="B23" s="1" t="str">
        <f>IFERROR(__xludf.DUMMYFUNCTION("""COMPUTED_VALUE"""),"2.122 €/m2")</f>
        <v>2.122 €/m2</v>
      </c>
      <c r="C23" s="1" t="str">
        <f>IFERROR(__xludf.DUMMYFUNCTION("""COMPUTED_VALUE"""),"- 0,1 %")</f>
        <v>- 0,1 %</v>
      </c>
      <c r="D23" s="1" t="str">
        <f>IFERROR(__xludf.DUMMYFUNCTION("""COMPUTED_VALUE"""),"+ 2,5 %")</f>
        <v>+ 2,5 %</v>
      </c>
      <c r="E23" s="1" t="str">
        <f>IFERROR(__xludf.DUMMYFUNCTION("""COMPUTED_VALUE"""),"+ 8,6 %")</f>
        <v>+ 8,6 %</v>
      </c>
    </row>
    <row r="24">
      <c r="A24" s="2">
        <f>IFERROR(__xludf.DUMMYFUNCTION("""COMPUTED_VALUE"""),45505.0)</f>
        <v>45505</v>
      </c>
      <c r="B24" s="1" t="str">
        <f>IFERROR(__xludf.DUMMYFUNCTION("""COMPUTED_VALUE"""),"2.125 €/m2")</f>
        <v>2.125 €/m2</v>
      </c>
      <c r="C24" s="1" t="str">
        <f>IFERROR(__xludf.DUMMYFUNCTION("""COMPUTED_VALUE"""),"+ 1,7 %")</f>
        <v>+ 1,7 %</v>
      </c>
      <c r="D24" s="1" t="str">
        <f>IFERROR(__xludf.DUMMYFUNCTION("""COMPUTED_VALUE"""),"+ 2,3 %")</f>
        <v>+ 2,3 %</v>
      </c>
      <c r="E24" s="1" t="str">
        <f>IFERROR(__xludf.DUMMYFUNCTION("""COMPUTED_VALUE"""),"+ 8,8 %")</f>
        <v>+ 8,8 %</v>
      </c>
    </row>
    <row r="25">
      <c r="A25" s="2">
        <f>IFERROR(__xludf.DUMMYFUNCTION("""COMPUTED_VALUE"""),45474.0)</f>
        <v>45474</v>
      </c>
      <c r="B25" s="1" t="str">
        <f>IFERROR(__xludf.DUMMYFUNCTION("""COMPUTED_VALUE"""),"2.090 €/m2")</f>
        <v>2.090 €/m2</v>
      </c>
      <c r="C25" s="1" t="str">
        <f>IFERROR(__xludf.DUMMYFUNCTION("""COMPUTED_VALUE"""),"+ 1,0 %")</f>
        <v>+ 1,0 %</v>
      </c>
      <c r="D25" s="1" t="str">
        <f>IFERROR(__xludf.DUMMYFUNCTION("""COMPUTED_VALUE"""),"+ 2,2 %")</f>
        <v>+ 2,2 %</v>
      </c>
      <c r="E25" s="1" t="str">
        <f>IFERROR(__xludf.DUMMYFUNCTION("""COMPUTED_VALUE"""),"+ 7,4 %")</f>
        <v>+ 7,4 %</v>
      </c>
    </row>
    <row r="26">
      <c r="A26" s="2">
        <f>IFERROR(__xludf.DUMMYFUNCTION("""COMPUTED_VALUE"""),45444.0)</f>
        <v>45444</v>
      </c>
      <c r="B26" s="1" t="str">
        <f>IFERROR(__xludf.DUMMYFUNCTION("""COMPUTED_VALUE"""),"2.070 €/m2")</f>
        <v>2.070 €/m2</v>
      </c>
      <c r="C26" s="1" t="str">
        <f>IFERROR(__xludf.DUMMYFUNCTION("""COMPUTED_VALUE"""),"- 0,3 %")</f>
        <v>- 0,3 %</v>
      </c>
      <c r="D26" s="1" t="str">
        <f>IFERROR(__xludf.DUMMYFUNCTION("""COMPUTED_VALUE"""),"+ 4,2 %")</f>
        <v>+ 4,2 %</v>
      </c>
      <c r="E26" s="1" t="str">
        <f>IFERROR(__xludf.DUMMYFUNCTION("""COMPUTED_VALUE"""),"+ 7,5 %")</f>
        <v>+ 7,5 %</v>
      </c>
    </row>
    <row r="27">
      <c r="A27" s="2">
        <f>IFERROR(__xludf.DUMMYFUNCTION("""COMPUTED_VALUE"""),45413.0)</f>
        <v>45413</v>
      </c>
      <c r="B27" s="1" t="str">
        <f>IFERROR(__xludf.DUMMYFUNCTION("""COMPUTED_VALUE"""),"2.077 €/m2")</f>
        <v>2.077 €/m2</v>
      </c>
      <c r="C27" s="1" t="str">
        <f>IFERROR(__xludf.DUMMYFUNCTION("""COMPUTED_VALUE"""),"+ 1,5 %")</f>
        <v>+ 1,5 %</v>
      </c>
      <c r="D27" s="1" t="str">
        <f>IFERROR(__xludf.DUMMYFUNCTION("""COMPUTED_VALUE"""),"+ 5,1 %")</f>
        <v>+ 5,1 %</v>
      </c>
      <c r="E27" s="1" t="str">
        <f>IFERROR(__xludf.DUMMYFUNCTION("""COMPUTED_VALUE"""),"+ 8,6 %")</f>
        <v>+ 8,6 %</v>
      </c>
    </row>
    <row r="28">
      <c r="A28" s="2">
        <f>IFERROR(__xludf.DUMMYFUNCTION("""COMPUTED_VALUE"""),45383.0)</f>
        <v>45383</v>
      </c>
      <c r="B28" s="1" t="str">
        <f>IFERROR(__xludf.DUMMYFUNCTION("""COMPUTED_VALUE"""),"2.046 €/m2")</f>
        <v>2.046 €/m2</v>
      </c>
      <c r="C28" s="1" t="str">
        <f>IFERROR(__xludf.DUMMYFUNCTION("""COMPUTED_VALUE"""),"+ 2,9 %")</f>
        <v>+ 2,9 %</v>
      </c>
      <c r="D28" s="1" t="str">
        <f>IFERROR(__xludf.DUMMYFUNCTION("""COMPUTED_VALUE"""),"+ 3,2 %")</f>
        <v>+ 3,2 %</v>
      </c>
      <c r="E28" s="1" t="str">
        <f>IFERROR(__xludf.DUMMYFUNCTION("""COMPUTED_VALUE"""),"+ 8,5 %")</f>
        <v>+ 8,5 %</v>
      </c>
    </row>
    <row r="29">
      <c r="A29" s="2">
        <f>IFERROR(__xludf.DUMMYFUNCTION("""COMPUTED_VALUE"""),45352.0)</f>
        <v>45352</v>
      </c>
      <c r="B29" s="1" t="str">
        <f>IFERROR(__xludf.DUMMYFUNCTION("""COMPUTED_VALUE"""),"1.988 €/m2")</f>
        <v>1.988 €/m2</v>
      </c>
      <c r="C29" s="1" t="str">
        <f>IFERROR(__xludf.DUMMYFUNCTION("""COMPUTED_VALUE"""),"+ 0,5 %")</f>
        <v>+ 0,5 %</v>
      </c>
      <c r="D29" s="1" t="str">
        <f>IFERROR(__xludf.DUMMYFUNCTION("""COMPUTED_VALUE"""),"+ 1,2 %")</f>
        <v>+ 1,2 %</v>
      </c>
      <c r="E29" s="1" t="str">
        <f>IFERROR(__xludf.DUMMYFUNCTION("""COMPUTED_VALUE"""),"+ 6,7 %")</f>
        <v>+ 6,7 %</v>
      </c>
    </row>
    <row r="30">
      <c r="A30" s="2">
        <f>IFERROR(__xludf.DUMMYFUNCTION("""COMPUTED_VALUE"""),45323.0)</f>
        <v>45323</v>
      </c>
      <c r="B30" s="1" t="str">
        <f>IFERROR(__xludf.DUMMYFUNCTION("""COMPUTED_VALUE"""),"1.977 €/m2")</f>
        <v>1.977 €/m2</v>
      </c>
      <c r="C30" s="1" t="str">
        <f>IFERROR(__xludf.DUMMYFUNCTION("""COMPUTED_VALUE"""),"- 0,2 %")</f>
        <v>- 0,2 %</v>
      </c>
      <c r="D30" s="1" t="str">
        <f>IFERROR(__xludf.DUMMYFUNCTION("""COMPUTED_VALUE"""),"+ 2,1 %")</f>
        <v>+ 2,1 %</v>
      </c>
      <c r="E30" s="1" t="str">
        <f>IFERROR(__xludf.DUMMYFUNCTION("""COMPUTED_VALUE"""),"+ 5,8 %")</f>
        <v>+ 5,8 %</v>
      </c>
    </row>
    <row r="31">
      <c r="A31" s="2">
        <f>IFERROR(__xludf.DUMMYFUNCTION("""COMPUTED_VALUE"""),45292.0)</f>
        <v>45292</v>
      </c>
      <c r="B31" s="1" t="str">
        <f>IFERROR(__xludf.DUMMYFUNCTION("""COMPUTED_VALUE"""),"1.982 €/m2")</f>
        <v>1.982 €/m2</v>
      </c>
      <c r="C31" s="1" t="str">
        <f>IFERROR(__xludf.DUMMYFUNCTION("""COMPUTED_VALUE"""),"+ 1,0 %")</f>
        <v>+ 1,0 %</v>
      </c>
      <c r="D31" s="1" t="str">
        <f>IFERROR(__xludf.DUMMYFUNCTION("""COMPUTED_VALUE"""),"+ 1,1 %")</f>
        <v>+ 1,1 %</v>
      </c>
      <c r="E31" s="1" t="str">
        <f>IFERROR(__xludf.DUMMYFUNCTION("""COMPUTED_VALUE"""),"+ 6,8 %")</f>
        <v>+ 6,8 %</v>
      </c>
    </row>
    <row r="32">
      <c r="A32" s="2">
        <f>IFERROR(__xludf.DUMMYFUNCTION("""COMPUTED_VALUE"""),45261.0)</f>
        <v>45261</v>
      </c>
      <c r="B32" s="1" t="str">
        <f>IFERROR(__xludf.DUMMYFUNCTION("""COMPUTED_VALUE"""),"1.963 €/m2")</f>
        <v>1.963 €/m2</v>
      </c>
      <c r="C32" s="1" t="str">
        <f>IFERROR(__xludf.DUMMYFUNCTION("""COMPUTED_VALUE"""),"+ 1,4 %")</f>
        <v>+ 1,4 %</v>
      </c>
      <c r="D32" s="1" t="str">
        <f>IFERROR(__xludf.DUMMYFUNCTION("""COMPUTED_VALUE"""),"+ 0,5 %")</f>
        <v>+ 0,5 %</v>
      </c>
      <c r="E32" s="1" t="str">
        <f>IFERROR(__xludf.DUMMYFUNCTION("""COMPUTED_VALUE"""),"+ 6,3 %")</f>
        <v>+ 6,3 %</v>
      </c>
    </row>
    <row r="33">
      <c r="A33" s="2">
        <f>IFERROR(__xludf.DUMMYFUNCTION("""COMPUTED_VALUE"""),45231.0)</f>
        <v>45231</v>
      </c>
      <c r="B33" s="1" t="str">
        <f>IFERROR(__xludf.DUMMYFUNCTION("""COMPUTED_VALUE"""),"1.937 €/m2")</f>
        <v>1.937 €/m2</v>
      </c>
      <c r="C33" s="1" t="str">
        <f>IFERROR(__xludf.DUMMYFUNCTION("""COMPUTED_VALUE"""),"- 1,2 %")</f>
        <v>- 1,2 %</v>
      </c>
      <c r="D33" s="1" t="str">
        <f>IFERROR(__xludf.DUMMYFUNCTION("""COMPUTED_VALUE"""),"- 0,8 %")</f>
        <v>- 0,8 %</v>
      </c>
      <c r="E33" s="1" t="str">
        <f>IFERROR(__xludf.DUMMYFUNCTION("""COMPUTED_VALUE"""),"+ 5,1 %")</f>
        <v>+ 5,1 %</v>
      </c>
    </row>
    <row r="34">
      <c r="A34" s="2">
        <f>IFERROR(__xludf.DUMMYFUNCTION("""COMPUTED_VALUE"""),45200.0)</f>
        <v>45200</v>
      </c>
      <c r="B34" s="1" t="str">
        <f>IFERROR(__xludf.DUMMYFUNCTION("""COMPUTED_VALUE"""),"1.961 €/m2")</f>
        <v>1.961 €/m2</v>
      </c>
      <c r="C34" s="1" t="str">
        <f>IFERROR(__xludf.DUMMYFUNCTION("""COMPUTED_VALUE"""),"+ 0,3 %")</f>
        <v>+ 0,3 %</v>
      </c>
      <c r="D34" s="1" t="str">
        <f>IFERROR(__xludf.DUMMYFUNCTION("""COMPUTED_VALUE"""),"+ 0,7 %")</f>
        <v>+ 0,7 %</v>
      </c>
      <c r="E34" s="1" t="str">
        <f>IFERROR(__xludf.DUMMYFUNCTION("""COMPUTED_VALUE"""),"+ 7,0 %")</f>
        <v>+ 7,0 %</v>
      </c>
    </row>
    <row r="35">
      <c r="A35" s="2">
        <f>IFERROR(__xludf.DUMMYFUNCTION("""COMPUTED_VALUE"""),45170.0)</f>
        <v>45170</v>
      </c>
      <c r="B35" s="1" t="str">
        <f>IFERROR(__xludf.DUMMYFUNCTION("""COMPUTED_VALUE"""),"1.954 €/m2")</f>
        <v>1.954 €/m2</v>
      </c>
      <c r="C35" s="1" t="str">
        <f>IFERROR(__xludf.DUMMYFUNCTION("""COMPUTED_VALUE"""),"0,0 %")</f>
        <v>0,0 %</v>
      </c>
      <c r="D35" s="1" t="str">
        <f>IFERROR(__xludf.DUMMYFUNCTION("""COMPUTED_VALUE"""),"+ 1,5 %")</f>
        <v>+ 1,5 %</v>
      </c>
      <c r="E35" s="1" t="str">
        <f>IFERROR(__xludf.DUMMYFUNCTION("""COMPUTED_VALUE"""),"+ 6,9 %")</f>
        <v>+ 6,9 %</v>
      </c>
    </row>
    <row r="36">
      <c r="A36" s="2">
        <f>IFERROR(__xludf.DUMMYFUNCTION("""COMPUTED_VALUE"""),45139.0)</f>
        <v>45139</v>
      </c>
      <c r="B36" s="1" t="str">
        <f>IFERROR(__xludf.DUMMYFUNCTION("""COMPUTED_VALUE"""),"1.953 €/m2")</f>
        <v>1.953 €/m2</v>
      </c>
      <c r="C36" s="1" t="str">
        <f>IFERROR(__xludf.DUMMYFUNCTION("""COMPUTED_VALUE"""),"+ 0,3 %")</f>
        <v>+ 0,3 %</v>
      </c>
      <c r="D36" s="1" t="str">
        <f>IFERROR(__xludf.DUMMYFUNCTION("""COMPUTED_VALUE"""),"+ 2,2 %")</f>
        <v>+ 2,2 %</v>
      </c>
      <c r="E36" s="1" t="str">
        <f>IFERROR(__xludf.DUMMYFUNCTION("""COMPUTED_VALUE"""),"+ 5,8 %")</f>
        <v>+ 5,8 %</v>
      </c>
    </row>
    <row r="37">
      <c r="A37" s="2">
        <f>IFERROR(__xludf.DUMMYFUNCTION("""COMPUTED_VALUE"""),45108.0)</f>
        <v>45108</v>
      </c>
      <c r="B37" s="1" t="str">
        <f>IFERROR(__xludf.DUMMYFUNCTION("""COMPUTED_VALUE"""),"1.947 €/m2")</f>
        <v>1.947 €/m2</v>
      </c>
      <c r="C37" s="1" t="str">
        <f>IFERROR(__xludf.DUMMYFUNCTION("""COMPUTED_VALUE"""),"+ 1,1 %")</f>
        <v>+ 1,1 %</v>
      </c>
      <c r="D37" s="1" t="str">
        <f>IFERROR(__xludf.DUMMYFUNCTION("""COMPUTED_VALUE"""),"+ 3,3 %")</f>
        <v>+ 3,3 %</v>
      </c>
      <c r="E37" s="1" t="str">
        <f>IFERROR(__xludf.DUMMYFUNCTION("""COMPUTED_VALUE"""),"+ 6,3 %")</f>
        <v>+ 6,3 %</v>
      </c>
    </row>
    <row r="38">
      <c r="A38" s="2">
        <f>IFERROR(__xludf.DUMMYFUNCTION("""COMPUTED_VALUE"""),45078.0)</f>
        <v>45078</v>
      </c>
      <c r="B38" s="1" t="str">
        <f>IFERROR(__xludf.DUMMYFUNCTION("""COMPUTED_VALUE"""),"1.926 €/m2")</f>
        <v>1.926 €/m2</v>
      </c>
      <c r="C38" s="1" t="str">
        <f>IFERROR(__xludf.DUMMYFUNCTION("""COMPUTED_VALUE"""),"+ 0,7 %")</f>
        <v>+ 0,7 %</v>
      </c>
      <c r="D38" s="1" t="str">
        <f>IFERROR(__xludf.DUMMYFUNCTION("""COMPUTED_VALUE"""),"+ 3,4 %")</f>
        <v>+ 3,4 %</v>
      </c>
      <c r="E38" s="1" t="str">
        <f>IFERROR(__xludf.DUMMYFUNCTION("""COMPUTED_VALUE"""),"+ 7,1 %")</f>
        <v>+ 7,1 %</v>
      </c>
    </row>
    <row r="39">
      <c r="A39" s="2">
        <f>IFERROR(__xludf.DUMMYFUNCTION("""COMPUTED_VALUE"""),45047.0)</f>
        <v>45047</v>
      </c>
      <c r="B39" s="1" t="str">
        <f>IFERROR(__xludf.DUMMYFUNCTION("""COMPUTED_VALUE"""),"1.912 €/m2")</f>
        <v>1.912 €/m2</v>
      </c>
      <c r="C39" s="1" t="str">
        <f>IFERROR(__xludf.DUMMYFUNCTION("""COMPUTED_VALUE"""),"+ 1,4 %")</f>
        <v>+ 1,4 %</v>
      </c>
      <c r="D39" s="1" t="str">
        <f>IFERROR(__xludf.DUMMYFUNCTION("""COMPUTED_VALUE"""),"+ 2,3 %")</f>
        <v>+ 2,3 %</v>
      </c>
      <c r="E39" s="1" t="str">
        <f>IFERROR(__xludf.DUMMYFUNCTION("""COMPUTED_VALUE"""),"+ 8,3 %")</f>
        <v>+ 8,3 %</v>
      </c>
    </row>
    <row r="40">
      <c r="A40" s="2">
        <f>IFERROR(__xludf.DUMMYFUNCTION("""COMPUTED_VALUE"""),45017.0)</f>
        <v>45017</v>
      </c>
      <c r="B40" s="1" t="str">
        <f>IFERROR(__xludf.DUMMYFUNCTION("""COMPUTED_VALUE"""),"1.885 €/m2")</f>
        <v>1.885 €/m2</v>
      </c>
      <c r="C40" s="1" t="str">
        <f>IFERROR(__xludf.DUMMYFUNCTION("""COMPUTED_VALUE"""),"+ 1,2 %")</f>
        <v>+ 1,2 %</v>
      </c>
      <c r="D40" s="1" t="str">
        <f>IFERROR(__xludf.DUMMYFUNCTION("""COMPUTED_VALUE"""),"+ 1,6 %")</f>
        <v>+ 1,6 %</v>
      </c>
      <c r="E40" s="1" t="str">
        <f>IFERROR(__xludf.DUMMYFUNCTION("""COMPUTED_VALUE"""),"+ 8,2 %")</f>
        <v>+ 8,2 %</v>
      </c>
    </row>
    <row r="41">
      <c r="A41" s="2">
        <f>IFERROR(__xludf.DUMMYFUNCTION("""COMPUTED_VALUE"""),44986.0)</f>
        <v>44986</v>
      </c>
      <c r="B41" s="1" t="str">
        <f>IFERROR(__xludf.DUMMYFUNCTION("""COMPUTED_VALUE"""),"1.862 €/m2")</f>
        <v>1.862 €/m2</v>
      </c>
      <c r="C41" s="1" t="str">
        <f>IFERROR(__xludf.DUMMYFUNCTION("""COMPUTED_VALUE"""),"- 0,3 %")</f>
        <v>- 0,3 %</v>
      </c>
      <c r="D41" s="1" t="str">
        <f>IFERROR(__xludf.DUMMYFUNCTION("""COMPUTED_VALUE"""),"+ 0,8 %")</f>
        <v>+ 0,8 %</v>
      </c>
      <c r="E41" s="1" t="str">
        <f>IFERROR(__xludf.DUMMYFUNCTION("""COMPUTED_VALUE"""),"+ 7,8 %")</f>
        <v>+ 7,8 %</v>
      </c>
    </row>
    <row r="42">
      <c r="A42" s="2">
        <f>IFERROR(__xludf.DUMMYFUNCTION("""COMPUTED_VALUE"""),44958.0)</f>
        <v>44958</v>
      </c>
      <c r="B42" s="1" t="str">
        <f>IFERROR(__xludf.DUMMYFUNCTION("""COMPUTED_VALUE"""),"1.869 €/m2")</f>
        <v>1.869 €/m2</v>
      </c>
      <c r="C42" s="1" t="str">
        <f>IFERROR(__xludf.DUMMYFUNCTION("""COMPUTED_VALUE"""),"+ 0,7 %")</f>
        <v>+ 0,7 %</v>
      </c>
      <c r="D42" s="1" t="str">
        <f>IFERROR(__xludf.DUMMYFUNCTION("""COMPUTED_VALUE"""),"+ 1,4 %")</f>
        <v>+ 1,4 %</v>
      </c>
      <c r="E42" s="1" t="str">
        <f>IFERROR(__xludf.DUMMYFUNCTION("""COMPUTED_VALUE"""),"+ 9,1 %")</f>
        <v>+ 9,1 %</v>
      </c>
    </row>
    <row r="43">
      <c r="A43" s="2">
        <f>IFERROR(__xludf.DUMMYFUNCTION("""COMPUTED_VALUE"""),44927.0)</f>
        <v>44927</v>
      </c>
      <c r="B43" s="1" t="str">
        <f>IFERROR(__xludf.DUMMYFUNCTION("""COMPUTED_VALUE"""),"1.856 €/m2")</f>
        <v>1.856 €/m2</v>
      </c>
      <c r="C43" s="1" t="str">
        <f>IFERROR(__xludf.DUMMYFUNCTION("""COMPUTED_VALUE"""),"+ 0,5 %")</f>
        <v>+ 0,5 %</v>
      </c>
      <c r="D43" s="1" t="str">
        <f>IFERROR(__xludf.DUMMYFUNCTION("""COMPUTED_VALUE"""),"+ 1,3 %")</f>
        <v>+ 1,3 %</v>
      </c>
      <c r="E43" s="1" t="str">
        <f>IFERROR(__xludf.DUMMYFUNCTION("""COMPUTED_VALUE"""),"+ 9,3 %")</f>
        <v>+ 9,3 %</v>
      </c>
    </row>
    <row r="44">
      <c r="A44" s="2">
        <f>IFERROR(__xludf.DUMMYFUNCTION("""COMPUTED_VALUE"""),44896.0)</f>
        <v>44896</v>
      </c>
      <c r="B44" s="1" t="str">
        <f>IFERROR(__xludf.DUMMYFUNCTION("""COMPUTED_VALUE"""),"1.847 €/m2")</f>
        <v>1.847 €/m2</v>
      </c>
      <c r="C44" s="1" t="str">
        <f>IFERROR(__xludf.DUMMYFUNCTION("""COMPUTED_VALUE"""),"+ 0,2 %")</f>
        <v>+ 0,2 %</v>
      </c>
      <c r="D44" s="1" t="str">
        <f>IFERROR(__xludf.DUMMYFUNCTION("""COMPUTED_VALUE"""),"+ 1,0 %")</f>
        <v>+ 1,0 %</v>
      </c>
      <c r="E44" s="1" t="str">
        <f>IFERROR(__xludf.DUMMYFUNCTION("""COMPUTED_VALUE"""),"+ 8,7 %")</f>
        <v>+ 8,7 %</v>
      </c>
    </row>
    <row r="45">
      <c r="A45" s="2">
        <f>IFERROR(__xludf.DUMMYFUNCTION("""COMPUTED_VALUE"""),44866.0)</f>
        <v>44866</v>
      </c>
      <c r="B45" s="1" t="str">
        <f>IFERROR(__xludf.DUMMYFUNCTION("""COMPUTED_VALUE"""),"1.843 €/m2")</f>
        <v>1.843 €/m2</v>
      </c>
      <c r="C45" s="1" t="str">
        <f>IFERROR(__xludf.DUMMYFUNCTION("""COMPUTED_VALUE"""),"+ 0,6 %")</f>
        <v>+ 0,6 %</v>
      </c>
      <c r="D45" s="1" t="str">
        <f>IFERROR(__xludf.DUMMYFUNCTION("""COMPUTED_VALUE"""),"- 0,2 %")</f>
        <v>- 0,2 %</v>
      </c>
      <c r="E45" s="1" t="str">
        <f>IFERROR(__xludf.DUMMYFUNCTION("""COMPUTED_VALUE"""),"+ 8,1 %")</f>
        <v>+ 8,1 %</v>
      </c>
    </row>
    <row r="46">
      <c r="A46" s="2">
        <f>IFERROR(__xludf.DUMMYFUNCTION("""COMPUTED_VALUE"""),44835.0)</f>
        <v>44835</v>
      </c>
      <c r="B46" s="1" t="str">
        <f>IFERROR(__xludf.DUMMYFUNCTION("""COMPUTED_VALUE"""),"1.832 €/m2")</f>
        <v>1.832 €/m2</v>
      </c>
      <c r="C46" s="1" t="str">
        <f>IFERROR(__xludf.DUMMYFUNCTION("""COMPUTED_VALUE"""),"+ 0,3 %")</f>
        <v>+ 0,3 %</v>
      </c>
      <c r="D46" s="1" t="str">
        <f>IFERROR(__xludf.DUMMYFUNCTION("""COMPUTED_VALUE"""),"0,0 %")</f>
        <v>0,0 %</v>
      </c>
      <c r="E46" s="1" t="str">
        <f>IFERROR(__xludf.DUMMYFUNCTION("""COMPUTED_VALUE"""),"+ 7,7 %")</f>
        <v>+ 7,7 %</v>
      </c>
    </row>
    <row r="47">
      <c r="A47" s="2">
        <f>IFERROR(__xludf.DUMMYFUNCTION("""COMPUTED_VALUE"""),44805.0)</f>
        <v>44805</v>
      </c>
      <c r="B47" s="1" t="str">
        <f>IFERROR(__xludf.DUMMYFUNCTION("""COMPUTED_VALUE"""),"1.828 €/m2")</f>
        <v>1.828 €/m2</v>
      </c>
      <c r="C47" s="1" t="str">
        <f>IFERROR(__xludf.DUMMYFUNCTION("""COMPUTED_VALUE"""),"- 1,0 %")</f>
        <v>- 1,0 %</v>
      </c>
      <c r="D47" s="1" t="str">
        <f>IFERROR(__xludf.DUMMYFUNCTION("""COMPUTED_VALUE"""),"+ 1,7 %")</f>
        <v>+ 1,7 %</v>
      </c>
      <c r="E47" s="1" t="str">
        <f>IFERROR(__xludf.DUMMYFUNCTION("""COMPUTED_VALUE"""),"+ 7,2 %")</f>
        <v>+ 7,2 %</v>
      </c>
    </row>
    <row r="48">
      <c r="A48" s="2">
        <f>IFERROR(__xludf.DUMMYFUNCTION("""COMPUTED_VALUE"""),44774.0)</f>
        <v>44774</v>
      </c>
      <c r="B48" s="1" t="str">
        <f>IFERROR(__xludf.DUMMYFUNCTION("""COMPUTED_VALUE"""),"1.847 €/m2")</f>
        <v>1.847 €/m2</v>
      </c>
      <c r="C48" s="1" t="str">
        <f>IFERROR(__xludf.DUMMYFUNCTION("""COMPUTED_VALUE"""),"+ 0,8 %")</f>
        <v>+ 0,8 %</v>
      </c>
      <c r="D48" s="1" t="str">
        <f>IFERROR(__xludf.DUMMYFUNCTION("""COMPUTED_VALUE"""),"+ 4,6 %")</f>
        <v>+ 4,6 %</v>
      </c>
      <c r="E48" s="1" t="str">
        <f>IFERROR(__xludf.DUMMYFUNCTION("""COMPUTED_VALUE"""),"+ 7,8 %")</f>
        <v>+ 7,8 %</v>
      </c>
    </row>
    <row r="49">
      <c r="A49" s="2">
        <f>IFERROR(__xludf.DUMMYFUNCTION("""COMPUTED_VALUE"""),44743.0)</f>
        <v>44743</v>
      </c>
      <c r="B49" s="1" t="str">
        <f>IFERROR(__xludf.DUMMYFUNCTION("""COMPUTED_VALUE"""),"1.832 €/m2")</f>
        <v>1.832 €/m2</v>
      </c>
      <c r="C49" s="1" t="str">
        <f>IFERROR(__xludf.DUMMYFUNCTION("""COMPUTED_VALUE"""),"+ 1,9 %")</f>
        <v>+ 1,9 %</v>
      </c>
      <c r="D49" s="1" t="str">
        <f>IFERROR(__xludf.DUMMYFUNCTION("""COMPUTED_VALUE"""),"+ 5,1 %")</f>
        <v>+ 5,1 %</v>
      </c>
      <c r="E49" s="1" t="str">
        <f>IFERROR(__xludf.DUMMYFUNCTION("""COMPUTED_VALUE"""),"+ 6,1 %")</f>
        <v>+ 6,1 %</v>
      </c>
    </row>
    <row r="50">
      <c r="A50" s="2">
        <f>IFERROR(__xludf.DUMMYFUNCTION("""COMPUTED_VALUE"""),44713.0)</f>
        <v>44713</v>
      </c>
      <c r="B50" s="1" t="str">
        <f>IFERROR(__xludf.DUMMYFUNCTION("""COMPUTED_VALUE"""),"1.798 €/m2")</f>
        <v>1.798 €/m2</v>
      </c>
      <c r="C50" s="1" t="str">
        <f>IFERROR(__xludf.DUMMYFUNCTION("""COMPUTED_VALUE"""),"+ 1,8 %")</f>
        <v>+ 1,8 %</v>
      </c>
      <c r="D50" s="1" t="str">
        <f>IFERROR(__xludf.DUMMYFUNCTION("""COMPUTED_VALUE"""),"+ 4,0 %")</f>
        <v>+ 4,0 %</v>
      </c>
      <c r="E50" s="1" t="str">
        <f>IFERROR(__xludf.DUMMYFUNCTION("""COMPUTED_VALUE"""),"+ 4,0 %")</f>
        <v>+ 4,0 %</v>
      </c>
    </row>
    <row r="51">
      <c r="A51" s="2">
        <f>IFERROR(__xludf.DUMMYFUNCTION("""COMPUTED_VALUE"""),44682.0)</f>
        <v>44682</v>
      </c>
      <c r="B51" s="1" t="str">
        <f>IFERROR(__xludf.DUMMYFUNCTION("""COMPUTED_VALUE"""),"1.766 €/m2")</f>
        <v>1.766 €/m2</v>
      </c>
      <c r="C51" s="1" t="str">
        <f>IFERROR(__xludf.DUMMYFUNCTION("""COMPUTED_VALUE"""),"+ 1,3 %")</f>
        <v>+ 1,3 %</v>
      </c>
      <c r="D51" s="1" t="str">
        <f>IFERROR(__xludf.DUMMYFUNCTION("""COMPUTED_VALUE"""),"+ 3,1 %")</f>
        <v>+ 3,1 %</v>
      </c>
      <c r="E51" s="1" t="str">
        <f>IFERROR(__xludf.DUMMYFUNCTION("""COMPUTED_VALUE"""),"+ 2,3 %")</f>
        <v>+ 2,3 %</v>
      </c>
    </row>
    <row r="52">
      <c r="A52" s="2">
        <f>IFERROR(__xludf.DUMMYFUNCTION("""COMPUTED_VALUE"""),44652.0)</f>
        <v>44652</v>
      </c>
      <c r="B52" s="1" t="str">
        <f>IFERROR(__xludf.DUMMYFUNCTION("""COMPUTED_VALUE"""),"1.742 €/m2")</f>
        <v>1.742 €/m2</v>
      </c>
      <c r="C52" s="1" t="str">
        <f>IFERROR(__xludf.DUMMYFUNCTION("""COMPUTED_VALUE"""),"+ 0,8 %")</f>
        <v>+ 0,8 %</v>
      </c>
      <c r="D52" s="1" t="str">
        <f>IFERROR(__xludf.DUMMYFUNCTION("""COMPUTED_VALUE"""),"+ 2,6 %")</f>
        <v>+ 2,6 %</v>
      </c>
      <c r="E52" s="1" t="str">
        <f>IFERROR(__xludf.DUMMYFUNCTION("""COMPUTED_VALUE"""),"+ 2,2 %")</f>
        <v>+ 2,2 %</v>
      </c>
    </row>
    <row r="53">
      <c r="A53" s="2">
        <f>IFERROR(__xludf.DUMMYFUNCTION("""COMPUTED_VALUE"""),44621.0)</f>
        <v>44621</v>
      </c>
      <c r="B53" s="1" t="str">
        <f>IFERROR(__xludf.DUMMYFUNCTION("""COMPUTED_VALUE"""),"1.728 €/m2")</f>
        <v>1.728 €/m2</v>
      </c>
      <c r="C53" s="1" t="str">
        <f>IFERROR(__xludf.DUMMYFUNCTION("""COMPUTED_VALUE"""),"+ 0,9 %")</f>
        <v>+ 0,9 %</v>
      </c>
      <c r="D53" s="1" t="str">
        <f>IFERROR(__xludf.DUMMYFUNCTION("""COMPUTED_VALUE"""),"+ 1,7 %")</f>
        <v>+ 1,7 %</v>
      </c>
      <c r="E53" s="1" t="str">
        <f>IFERROR(__xludf.DUMMYFUNCTION("""COMPUTED_VALUE"""),"- 0,8 %")</f>
        <v>- 0,8 %</v>
      </c>
    </row>
    <row r="54">
      <c r="A54" s="2">
        <f>IFERROR(__xludf.DUMMYFUNCTION("""COMPUTED_VALUE"""),44593.0)</f>
        <v>44593</v>
      </c>
      <c r="B54" s="1" t="str">
        <f>IFERROR(__xludf.DUMMYFUNCTION("""COMPUTED_VALUE"""),"1.713 €/m2")</f>
        <v>1.713 €/m2</v>
      </c>
      <c r="C54" s="1" t="str">
        <f>IFERROR(__xludf.DUMMYFUNCTION("""COMPUTED_VALUE"""),"+ 0,9 %")</f>
        <v>+ 0,9 %</v>
      </c>
      <c r="D54" s="1" t="str">
        <f>IFERROR(__xludf.DUMMYFUNCTION("""COMPUTED_VALUE"""),"+ 0,5 %")</f>
        <v>+ 0,5 %</v>
      </c>
      <c r="E54" s="1" t="str">
        <f>IFERROR(__xludf.DUMMYFUNCTION("""COMPUTED_VALUE"""),"- 1,4 %")</f>
        <v>- 1,4 %</v>
      </c>
    </row>
    <row r="55">
      <c r="A55" s="2">
        <f>IFERROR(__xludf.DUMMYFUNCTION("""COMPUTED_VALUE"""),44562.0)</f>
        <v>44562</v>
      </c>
      <c r="B55" s="1" t="str">
        <f>IFERROR(__xludf.DUMMYFUNCTION("""COMPUTED_VALUE"""),"1.698 €/m2")</f>
        <v>1.698 €/m2</v>
      </c>
      <c r="C55" s="1" t="str">
        <f>IFERROR(__xludf.DUMMYFUNCTION("""COMPUTED_VALUE"""),"- 0,1 %")</f>
        <v>- 0,1 %</v>
      </c>
      <c r="D55" s="1" t="str">
        <f>IFERROR(__xludf.DUMMYFUNCTION("""COMPUTED_VALUE"""),"- 0,2 %")</f>
        <v>- 0,2 %</v>
      </c>
      <c r="E55" s="1" t="str">
        <f>IFERROR(__xludf.DUMMYFUNCTION("""COMPUTED_VALUE"""),"- 0,5 %")</f>
        <v>- 0,5 %</v>
      </c>
    </row>
    <row r="56">
      <c r="A56" s="2">
        <f>IFERROR(__xludf.DUMMYFUNCTION("""COMPUTED_VALUE"""),44531.0)</f>
        <v>44531</v>
      </c>
      <c r="B56" s="1" t="str">
        <f>IFERROR(__xludf.DUMMYFUNCTION("""COMPUTED_VALUE"""),"1.699 €/m2")</f>
        <v>1.699 €/m2</v>
      </c>
      <c r="C56" s="1" t="str">
        <f>IFERROR(__xludf.DUMMYFUNCTION("""COMPUTED_VALUE"""),"- 0,3 %")</f>
        <v>- 0,3 %</v>
      </c>
      <c r="D56" s="1" t="str">
        <f>IFERROR(__xludf.DUMMYFUNCTION("""COMPUTED_VALUE"""),"- 0,3 %")</f>
        <v>- 0,3 %</v>
      </c>
      <c r="E56" s="1" t="str">
        <f>IFERROR(__xludf.DUMMYFUNCTION("""COMPUTED_VALUE"""),"- 1,1 %")</f>
        <v>- 1,1 %</v>
      </c>
    </row>
    <row r="57">
      <c r="A57" s="2">
        <f>IFERROR(__xludf.DUMMYFUNCTION("""COMPUTED_VALUE"""),44501.0)</f>
        <v>44501</v>
      </c>
      <c r="B57" s="1" t="str">
        <f>IFERROR(__xludf.DUMMYFUNCTION("""COMPUTED_VALUE"""),"1.705 €/m2")</f>
        <v>1.705 €/m2</v>
      </c>
      <c r="C57" s="1" t="str">
        <f>IFERROR(__xludf.DUMMYFUNCTION("""COMPUTED_VALUE"""),"+ 0,2 %")</f>
        <v>+ 0,2 %</v>
      </c>
      <c r="D57" s="1" t="str">
        <f>IFERROR(__xludf.DUMMYFUNCTION("""COMPUTED_VALUE"""),"- 0,5 %")</f>
        <v>- 0,5 %</v>
      </c>
      <c r="E57" s="1" t="str">
        <f>IFERROR(__xludf.DUMMYFUNCTION("""COMPUTED_VALUE"""),"- 2,3 %")</f>
        <v>- 2,3 %</v>
      </c>
    </row>
    <row r="58">
      <c r="A58" s="2">
        <f>IFERROR(__xludf.DUMMYFUNCTION("""COMPUTED_VALUE"""),44470.0)</f>
        <v>44470</v>
      </c>
      <c r="B58" s="1" t="str">
        <f>IFERROR(__xludf.DUMMYFUNCTION("""COMPUTED_VALUE"""),"1.701 €/m2")</f>
        <v>1.701 €/m2</v>
      </c>
      <c r="C58" s="1" t="str">
        <f>IFERROR(__xludf.DUMMYFUNCTION("""COMPUTED_VALUE"""),"- 0,2 %")</f>
        <v>- 0,2 %</v>
      </c>
      <c r="D58" s="1" t="str">
        <f>IFERROR(__xludf.DUMMYFUNCTION("""COMPUTED_VALUE"""),"- 1,5 %")</f>
        <v>- 1,5 %</v>
      </c>
      <c r="E58" s="1" t="str">
        <f>IFERROR(__xludf.DUMMYFUNCTION("""COMPUTED_VALUE"""),"- 2,8 %")</f>
        <v>- 2,8 %</v>
      </c>
    </row>
    <row r="59">
      <c r="A59" s="2">
        <f>IFERROR(__xludf.DUMMYFUNCTION("""COMPUTED_VALUE"""),44440.0)</f>
        <v>44440</v>
      </c>
      <c r="B59" s="1" t="str">
        <f>IFERROR(__xludf.DUMMYFUNCTION("""COMPUTED_VALUE"""),"1.705 €/m2")</f>
        <v>1.705 €/m2</v>
      </c>
      <c r="C59" s="1" t="str">
        <f>IFERROR(__xludf.DUMMYFUNCTION("""COMPUTED_VALUE"""),"- 0,5 %")</f>
        <v>- 0,5 %</v>
      </c>
      <c r="D59" s="1" t="str">
        <f>IFERROR(__xludf.DUMMYFUNCTION("""COMPUTED_VALUE"""),"- 1,3 %")</f>
        <v>- 1,3 %</v>
      </c>
      <c r="E59" s="1" t="str">
        <f>IFERROR(__xludf.DUMMYFUNCTION("""COMPUTED_VALUE"""),"- 2,5 %")</f>
        <v>- 2,5 %</v>
      </c>
    </row>
    <row r="60">
      <c r="A60" s="2">
        <f>IFERROR(__xludf.DUMMYFUNCTION("""COMPUTED_VALUE"""),44409.0)</f>
        <v>44409</v>
      </c>
      <c r="B60" s="1" t="str">
        <f>IFERROR(__xludf.DUMMYFUNCTION("""COMPUTED_VALUE"""),"1.714 €/m2")</f>
        <v>1.714 €/m2</v>
      </c>
      <c r="C60" s="1" t="str">
        <f>IFERROR(__xludf.DUMMYFUNCTION("""COMPUTED_VALUE"""),"- 0,8 %")</f>
        <v>- 0,8 %</v>
      </c>
      <c r="D60" s="1" t="str">
        <f>IFERROR(__xludf.DUMMYFUNCTION("""COMPUTED_VALUE"""),"- 0,7 %")</f>
        <v>- 0,7 %</v>
      </c>
      <c r="E60" s="1" t="str">
        <f>IFERROR(__xludf.DUMMYFUNCTION("""COMPUTED_VALUE"""),"- 1,7 %")</f>
        <v>- 1,7 %</v>
      </c>
    </row>
    <row r="61">
      <c r="A61" s="2">
        <f>IFERROR(__xludf.DUMMYFUNCTION("""COMPUTED_VALUE"""),44378.0)</f>
        <v>44378</v>
      </c>
      <c r="B61" s="1" t="str">
        <f>IFERROR(__xludf.DUMMYFUNCTION("""COMPUTED_VALUE"""),"1.727 €/m2")</f>
        <v>1.727 €/m2</v>
      </c>
      <c r="C61" s="1" t="str">
        <f>IFERROR(__xludf.DUMMYFUNCTION("""COMPUTED_VALUE"""),"0,0 %")</f>
        <v>0,0 %</v>
      </c>
      <c r="D61" s="1" t="str">
        <f>IFERROR(__xludf.DUMMYFUNCTION("""COMPUTED_VALUE"""),"+ 1,3 %")</f>
        <v>+ 1,3 %</v>
      </c>
      <c r="E61" s="1" t="str">
        <f>IFERROR(__xludf.DUMMYFUNCTION("""COMPUTED_VALUE"""),"- 1,3 %")</f>
        <v>- 1,3 %</v>
      </c>
    </row>
    <row r="62">
      <c r="A62" s="2">
        <f>IFERROR(__xludf.DUMMYFUNCTION("""COMPUTED_VALUE"""),44348.0)</f>
        <v>44348</v>
      </c>
      <c r="B62" s="1" t="str">
        <f>IFERROR(__xludf.DUMMYFUNCTION("""COMPUTED_VALUE"""),"1.728 €/m2")</f>
        <v>1.728 €/m2</v>
      </c>
      <c r="C62" s="1" t="str">
        <f>IFERROR(__xludf.DUMMYFUNCTION("""COMPUTED_VALUE"""),"+ 0,1 %")</f>
        <v>+ 0,1 %</v>
      </c>
      <c r="D62" s="1" t="str">
        <f>IFERROR(__xludf.DUMMYFUNCTION("""COMPUTED_VALUE"""),"- 0,8 %")</f>
        <v>- 0,8 %</v>
      </c>
      <c r="E62" s="1" t="str">
        <f>IFERROR(__xludf.DUMMYFUNCTION("""COMPUTED_VALUE"""),"- 1,6 %")</f>
        <v>- 1,6 %</v>
      </c>
    </row>
    <row r="63">
      <c r="A63" s="2">
        <f>IFERROR(__xludf.DUMMYFUNCTION("""COMPUTED_VALUE"""),44317.0)</f>
        <v>44317</v>
      </c>
      <c r="B63" s="1" t="str">
        <f>IFERROR(__xludf.DUMMYFUNCTION("""COMPUTED_VALUE"""),"1.726 €/m2")</f>
        <v>1.726 €/m2</v>
      </c>
      <c r="C63" s="1" t="str">
        <f>IFERROR(__xludf.DUMMYFUNCTION("""COMPUTED_VALUE"""),"+ 1,3 %")</f>
        <v>+ 1,3 %</v>
      </c>
      <c r="D63" s="1" t="str">
        <f>IFERROR(__xludf.DUMMYFUNCTION("""COMPUTED_VALUE"""),"- 0,7 %")</f>
        <v>- 0,7 %</v>
      </c>
      <c r="E63" s="1" t="str">
        <f>IFERROR(__xludf.DUMMYFUNCTION("""COMPUTED_VALUE"""),"- 2,3 %")</f>
        <v>- 2,3 %</v>
      </c>
    </row>
    <row r="64">
      <c r="A64" s="2">
        <f>IFERROR(__xludf.DUMMYFUNCTION("""COMPUTED_VALUE"""),44287.0)</f>
        <v>44287</v>
      </c>
      <c r="B64" s="1" t="str">
        <f>IFERROR(__xludf.DUMMYFUNCTION("""COMPUTED_VALUE"""),"1.705 €/m2")</f>
        <v>1.705 €/m2</v>
      </c>
      <c r="C64" s="1" t="str">
        <f>IFERROR(__xludf.DUMMYFUNCTION("""COMPUTED_VALUE"""),"- 2,2 %")</f>
        <v>- 2,2 %</v>
      </c>
      <c r="D64" s="1" t="str">
        <f>IFERROR(__xludf.DUMMYFUNCTION("""COMPUTED_VALUE"""),"- 0,1 %")</f>
        <v>- 0,1 %</v>
      </c>
      <c r="E64" s="1" t="str">
        <f>IFERROR(__xludf.DUMMYFUNCTION("""COMPUTED_VALUE"""),"- 2,6 %")</f>
        <v>- 2,6 %</v>
      </c>
    </row>
    <row r="65">
      <c r="A65" s="2">
        <f>IFERROR(__xludf.DUMMYFUNCTION("""COMPUTED_VALUE"""),44256.0)</f>
        <v>44256</v>
      </c>
      <c r="B65" s="1" t="str">
        <f>IFERROR(__xludf.DUMMYFUNCTION("""COMPUTED_VALUE"""),"1.742 €/m2")</f>
        <v>1.742 €/m2</v>
      </c>
      <c r="C65" s="1" t="str">
        <f>IFERROR(__xludf.DUMMYFUNCTION("""COMPUTED_VALUE"""),"+ 0,2 %")</f>
        <v>+ 0,2 %</v>
      </c>
      <c r="D65" s="1" t="str">
        <f>IFERROR(__xludf.DUMMYFUNCTION("""COMPUTED_VALUE"""),"+ 1,4 %")</f>
        <v>+ 1,4 %</v>
      </c>
      <c r="E65" s="1" t="str">
        <f>IFERROR(__xludf.DUMMYFUNCTION("""COMPUTED_VALUE"""),"- 0,9 %")</f>
        <v>- 0,9 %</v>
      </c>
    </row>
    <row r="66">
      <c r="A66" s="2">
        <f>IFERROR(__xludf.DUMMYFUNCTION("""COMPUTED_VALUE"""),44228.0)</f>
        <v>44228</v>
      </c>
      <c r="B66" s="1" t="str">
        <f>IFERROR(__xludf.DUMMYFUNCTION("""COMPUTED_VALUE"""),"1.738 €/m2")</f>
        <v>1.738 €/m2</v>
      </c>
      <c r="C66" s="1" t="str">
        <f>IFERROR(__xludf.DUMMYFUNCTION("""COMPUTED_VALUE"""),"+ 1,8 %")</f>
        <v>+ 1,8 %</v>
      </c>
      <c r="D66" s="1" t="str">
        <f>IFERROR(__xludf.DUMMYFUNCTION("""COMPUTED_VALUE"""),"- 0,4 %")</f>
        <v>- 0,4 %</v>
      </c>
      <c r="E66" s="1" t="str">
        <f>IFERROR(__xludf.DUMMYFUNCTION("""COMPUTED_VALUE"""),"- 1,6 %")</f>
        <v>- 1,6 %</v>
      </c>
    </row>
    <row r="67">
      <c r="A67" s="2">
        <f>IFERROR(__xludf.DUMMYFUNCTION("""COMPUTED_VALUE"""),44197.0)</f>
        <v>44197</v>
      </c>
      <c r="B67" s="1" t="str">
        <f>IFERROR(__xludf.DUMMYFUNCTION("""COMPUTED_VALUE"""),"1.707 €/m2")</f>
        <v>1.707 €/m2</v>
      </c>
      <c r="C67" s="1" t="str">
        <f>IFERROR(__xludf.DUMMYFUNCTION("""COMPUTED_VALUE"""),"- 0,6 %")</f>
        <v>- 0,6 %</v>
      </c>
      <c r="D67" s="1" t="str">
        <f>IFERROR(__xludf.DUMMYFUNCTION("""COMPUTED_VALUE"""),"- 2,4 %")</f>
        <v>- 2,4 %</v>
      </c>
      <c r="E67" s="1" t="str">
        <f>IFERROR(__xludf.DUMMYFUNCTION("""COMPUTED_VALUE"""),"- 3,9 %")</f>
        <v>- 3,9 %</v>
      </c>
    </row>
    <row r="68">
      <c r="A68" s="2">
        <f>IFERROR(__xludf.DUMMYFUNCTION("""COMPUTED_VALUE"""),44166.0)</f>
        <v>44166</v>
      </c>
      <c r="B68" s="1" t="str">
        <f>IFERROR(__xludf.DUMMYFUNCTION("""COMPUTED_VALUE"""),"1.718 €/m2")</f>
        <v>1.718 €/m2</v>
      </c>
      <c r="C68" s="1" t="str">
        <f>IFERROR(__xludf.DUMMYFUNCTION("""COMPUTED_VALUE"""),"- 1,5 %")</f>
        <v>- 1,5 %</v>
      </c>
      <c r="D68" s="1" t="str">
        <f>IFERROR(__xludf.DUMMYFUNCTION("""COMPUTED_VALUE"""),"- 1,8 %")</f>
        <v>- 1,8 %</v>
      </c>
      <c r="E68" s="1" t="str">
        <f>IFERROR(__xludf.DUMMYFUNCTION("""COMPUTED_VALUE"""),"- 2,7 %")</f>
        <v>- 2,7 %</v>
      </c>
    </row>
    <row r="69">
      <c r="A69" s="2">
        <f>IFERROR(__xludf.DUMMYFUNCTION("""COMPUTED_VALUE"""),44136.0)</f>
        <v>44136</v>
      </c>
      <c r="B69" s="1" t="str">
        <f>IFERROR(__xludf.DUMMYFUNCTION("""COMPUTED_VALUE"""),"1.745 €/m2")</f>
        <v>1.745 €/m2</v>
      </c>
      <c r="C69" s="1" t="str">
        <f>IFERROR(__xludf.DUMMYFUNCTION("""COMPUTED_VALUE"""),"- 0,3 %")</f>
        <v>- 0,3 %</v>
      </c>
      <c r="D69" s="1" t="str">
        <f>IFERROR(__xludf.DUMMYFUNCTION("""COMPUTED_VALUE"""),"+ 0,1 %")</f>
        <v>+ 0,1 %</v>
      </c>
      <c r="E69" s="1" t="str">
        <f>IFERROR(__xludf.DUMMYFUNCTION("""COMPUTED_VALUE"""),"+ 0,5 %")</f>
        <v>+ 0,5 %</v>
      </c>
    </row>
    <row r="70">
      <c r="A70" s="2">
        <f>IFERROR(__xludf.DUMMYFUNCTION("""COMPUTED_VALUE"""),44105.0)</f>
        <v>44105</v>
      </c>
      <c r="B70" s="1" t="str">
        <f>IFERROR(__xludf.DUMMYFUNCTION("""COMPUTED_VALUE"""),"1.750 €/m2")</f>
        <v>1.750 €/m2</v>
      </c>
      <c r="C70" s="1" t="str">
        <f>IFERROR(__xludf.DUMMYFUNCTION("""COMPUTED_VALUE"""),"+ 0,1 %")</f>
        <v>+ 0,1 %</v>
      </c>
      <c r="D70" s="1" t="str">
        <f>IFERROR(__xludf.DUMMYFUNCTION("""COMPUTED_VALUE"""),"0,0 %")</f>
        <v>0,0 %</v>
      </c>
      <c r="E70" s="1" t="str">
        <f>IFERROR(__xludf.DUMMYFUNCTION("""COMPUTED_VALUE"""),"0,0 %")</f>
        <v>0,0 %</v>
      </c>
    </row>
    <row r="71">
      <c r="A71" s="2">
        <f>IFERROR(__xludf.DUMMYFUNCTION("""COMPUTED_VALUE"""),44075.0)</f>
        <v>44075</v>
      </c>
      <c r="B71" s="1" t="str">
        <f>IFERROR(__xludf.DUMMYFUNCTION("""COMPUTED_VALUE"""),"1.749 €/m2")</f>
        <v>1.749 €/m2</v>
      </c>
      <c r="C71" s="1" t="str">
        <f>IFERROR(__xludf.DUMMYFUNCTION("""COMPUTED_VALUE"""),"+ 0,3 %")</f>
        <v>+ 0,3 %</v>
      </c>
      <c r="D71" s="1" t="str">
        <f>IFERROR(__xludf.DUMMYFUNCTION("""COMPUTED_VALUE"""),"- 0,4 %")</f>
        <v>- 0,4 %</v>
      </c>
      <c r="E71" s="1" t="str">
        <f>IFERROR(__xludf.DUMMYFUNCTION("""COMPUTED_VALUE"""),"0,0 %")</f>
        <v>0,0 %</v>
      </c>
    </row>
    <row r="72">
      <c r="A72" s="2">
        <f>IFERROR(__xludf.DUMMYFUNCTION("""COMPUTED_VALUE"""),44044.0)</f>
        <v>44044</v>
      </c>
      <c r="B72" s="1" t="str">
        <f>IFERROR(__xludf.DUMMYFUNCTION("""COMPUTED_VALUE"""),"1.744 €/m2")</f>
        <v>1.744 €/m2</v>
      </c>
      <c r="C72" s="1" t="str">
        <f>IFERROR(__xludf.DUMMYFUNCTION("""COMPUTED_VALUE"""),"- 0,4 %")</f>
        <v>- 0,4 %</v>
      </c>
      <c r="D72" s="1" t="str">
        <f>IFERROR(__xludf.DUMMYFUNCTION("""COMPUTED_VALUE"""),"- 1,3 %")</f>
        <v>- 1,3 %</v>
      </c>
      <c r="E72" s="1" t="str">
        <f>IFERROR(__xludf.DUMMYFUNCTION("""COMPUTED_VALUE"""),"+ 0,5 %")</f>
        <v>+ 0,5 %</v>
      </c>
    </row>
    <row r="73">
      <c r="A73" s="2">
        <f>IFERROR(__xludf.DUMMYFUNCTION("""COMPUTED_VALUE"""),44013.0)</f>
        <v>44013</v>
      </c>
      <c r="B73" s="1" t="str">
        <f>IFERROR(__xludf.DUMMYFUNCTION("""COMPUTED_VALUE"""),"1.751 €/m2")</f>
        <v>1.751 €/m2</v>
      </c>
      <c r="C73" s="1" t="str">
        <f>IFERROR(__xludf.DUMMYFUNCTION("""COMPUTED_VALUE"""),"- 0,3 %")</f>
        <v>- 0,3 %</v>
      </c>
      <c r="D73" s="1" t="str">
        <f>IFERROR(__xludf.DUMMYFUNCTION("""COMPUTED_VALUE"""),"0,0 %")</f>
        <v>0,0 %</v>
      </c>
      <c r="E73" s="1" t="str">
        <f>IFERROR(__xludf.DUMMYFUNCTION("""COMPUTED_VALUE"""),"+ 0,4 %")</f>
        <v>+ 0,4 %</v>
      </c>
    </row>
    <row r="74">
      <c r="A74" s="2">
        <f>IFERROR(__xludf.DUMMYFUNCTION("""COMPUTED_VALUE"""),43983.0)</f>
        <v>43983</v>
      </c>
      <c r="B74" s="1" t="str">
        <f>IFERROR(__xludf.DUMMYFUNCTION("""COMPUTED_VALUE"""),"1.756 €/m2")</f>
        <v>1.756 €/m2</v>
      </c>
      <c r="C74" s="1" t="str">
        <f>IFERROR(__xludf.DUMMYFUNCTION("""COMPUTED_VALUE"""),"- 0,6 %")</f>
        <v>- 0,6 %</v>
      </c>
      <c r="D74" s="1" t="str">
        <f>IFERROR(__xludf.DUMMYFUNCTION("""COMPUTED_VALUE"""),"- 0,1 %")</f>
        <v>- 0,1 %</v>
      </c>
      <c r="E74" s="1" t="str">
        <f>IFERROR(__xludf.DUMMYFUNCTION("""COMPUTED_VALUE"""),"+ 1,0 %")</f>
        <v>+ 1,0 %</v>
      </c>
    </row>
    <row r="75">
      <c r="A75" s="2">
        <f>IFERROR(__xludf.DUMMYFUNCTION("""COMPUTED_VALUE"""),43952.0)</f>
        <v>43952</v>
      </c>
      <c r="B75" s="1" t="str">
        <f>IFERROR(__xludf.DUMMYFUNCTION("""COMPUTED_VALUE"""),"1.767 €/m2")</f>
        <v>1.767 €/m2</v>
      </c>
      <c r="C75" s="1" t="str">
        <f>IFERROR(__xludf.DUMMYFUNCTION("""COMPUTED_VALUE"""),"+ 0,9 %")</f>
        <v>+ 0,9 %</v>
      </c>
      <c r="D75" s="1" t="str">
        <f>IFERROR(__xludf.DUMMYFUNCTION("""COMPUTED_VALUE"""),"+ 0,1 %")</f>
        <v>+ 0,1 %</v>
      </c>
      <c r="E75" s="1" t="str">
        <f>IFERROR(__xludf.DUMMYFUNCTION("""COMPUTED_VALUE"""),"+ 0,4 %")</f>
        <v>+ 0,4 %</v>
      </c>
    </row>
    <row r="76">
      <c r="A76" s="2">
        <f>IFERROR(__xludf.DUMMYFUNCTION("""COMPUTED_VALUE"""),43922.0)</f>
        <v>43922</v>
      </c>
      <c r="B76" s="1" t="str">
        <f>IFERROR(__xludf.DUMMYFUNCTION("""COMPUTED_VALUE"""),"1.751 €/m2")</f>
        <v>1.751 €/m2</v>
      </c>
      <c r="C76" s="1" t="str">
        <f>IFERROR(__xludf.DUMMYFUNCTION("""COMPUTED_VALUE"""),"- 0,4 %")</f>
        <v>- 0,4 %</v>
      </c>
      <c r="D76" s="1" t="str">
        <f>IFERROR(__xludf.DUMMYFUNCTION("""COMPUTED_VALUE"""),"- 1,5 %")</f>
        <v>- 1,5 %</v>
      </c>
      <c r="E76" s="1" t="str">
        <f>IFERROR(__xludf.DUMMYFUNCTION("""COMPUTED_VALUE"""),"+ 0,1 %")</f>
        <v>+ 0,1 %</v>
      </c>
    </row>
    <row r="77">
      <c r="A77" s="2">
        <f>IFERROR(__xludf.DUMMYFUNCTION("""COMPUTED_VALUE"""),43891.0)</f>
        <v>43891</v>
      </c>
      <c r="B77" s="1" t="str">
        <f>IFERROR(__xludf.DUMMYFUNCTION("""COMPUTED_VALUE"""),"1.758 €/m2")</f>
        <v>1.758 €/m2</v>
      </c>
      <c r="C77" s="1" t="str">
        <f>IFERROR(__xludf.DUMMYFUNCTION("""COMPUTED_VALUE"""),"- 0,4 %")</f>
        <v>- 0,4 %</v>
      </c>
      <c r="D77" s="1" t="str">
        <f>IFERROR(__xludf.DUMMYFUNCTION("""COMPUTED_VALUE"""),"- 0,4 %")</f>
        <v>- 0,4 %</v>
      </c>
      <c r="E77" s="1" t="str">
        <f>IFERROR(__xludf.DUMMYFUNCTION("""COMPUTED_VALUE"""),"+ 2,0 %")</f>
        <v>+ 2,0 %</v>
      </c>
    </row>
    <row r="78">
      <c r="A78" s="2">
        <f>IFERROR(__xludf.DUMMYFUNCTION("""COMPUTED_VALUE"""),43862.0)</f>
        <v>43862</v>
      </c>
      <c r="B78" s="1" t="str">
        <f>IFERROR(__xludf.DUMMYFUNCTION("""COMPUTED_VALUE"""),"1.766 €/m2")</f>
        <v>1.766 €/m2</v>
      </c>
      <c r="C78" s="1" t="str">
        <f>IFERROR(__xludf.DUMMYFUNCTION("""COMPUTED_VALUE"""),"- 0,6 %")</f>
        <v>- 0,6 %</v>
      </c>
      <c r="D78" s="1" t="str">
        <f>IFERROR(__xludf.DUMMYFUNCTION("""COMPUTED_VALUE"""),"+ 1,7 %")</f>
        <v>+ 1,7 %</v>
      </c>
      <c r="E78" s="1" t="str">
        <f>IFERROR(__xludf.DUMMYFUNCTION("""COMPUTED_VALUE"""),"+ 3,2 %")</f>
        <v>+ 3,2 %</v>
      </c>
    </row>
    <row r="79">
      <c r="A79" s="2">
        <f>IFERROR(__xludf.DUMMYFUNCTION("""COMPUTED_VALUE"""),43831.0)</f>
        <v>43831</v>
      </c>
      <c r="B79" s="1" t="str">
        <f>IFERROR(__xludf.DUMMYFUNCTION("""COMPUTED_VALUE"""),"1.777 €/m2")</f>
        <v>1.777 €/m2</v>
      </c>
      <c r="C79" s="1" t="str">
        <f>IFERROR(__xludf.DUMMYFUNCTION("""COMPUTED_VALUE"""),"+ 0,7 %")</f>
        <v>+ 0,7 %</v>
      </c>
      <c r="D79" s="1" t="str">
        <f>IFERROR(__xludf.DUMMYFUNCTION("""COMPUTED_VALUE"""),"+ 1,5 %")</f>
        <v>+ 1,5 %</v>
      </c>
      <c r="E79" s="1" t="str">
        <f>IFERROR(__xludf.DUMMYFUNCTION("""COMPUTED_VALUE"""),"+ 4,3 %")</f>
        <v>+ 4,3 %</v>
      </c>
    </row>
    <row r="80">
      <c r="A80" s="2">
        <f>IFERROR(__xludf.DUMMYFUNCTION("""COMPUTED_VALUE"""),43800.0)</f>
        <v>43800</v>
      </c>
      <c r="B80" s="1" t="str">
        <f>IFERROR(__xludf.DUMMYFUNCTION("""COMPUTED_VALUE"""),"1.765 €/m2")</f>
        <v>1.765 €/m2</v>
      </c>
      <c r="C80" s="1" t="str">
        <f>IFERROR(__xludf.DUMMYFUNCTION("""COMPUTED_VALUE"""),"+ 1,7 %")</f>
        <v>+ 1,7 %</v>
      </c>
      <c r="D80" s="1" t="str">
        <f>IFERROR(__xludf.DUMMYFUNCTION("""COMPUTED_VALUE"""),"+ 1,0 %")</f>
        <v>+ 1,0 %</v>
      </c>
      <c r="E80" s="1" t="str">
        <f>IFERROR(__xludf.DUMMYFUNCTION("""COMPUTED_VALUE"""),"+ 6,2 %")</f>
        <v>+ 6,2 %</v>
      </c>
    </row>
    <row r="81">
      <c r="A81" s="2">
        <f>IFERROR(__xludf.DUMMYFUNCTION("""COMPUTED_VALUE"""),43770.0)</f>
        <v>43770</v>
      </c>
      <c r="B81" s="1" t="str">
        <f>IFERROR(__xludf.DUMMYFUNCTION("""COMPUTED_VALUE"""),"1.736 €/m2")</f>
        <v>1.736 €/m2</v>
      </c>
      <c r="C81" s="1" t="str">
        <f>IFERROR(__xludf.DUMMYFUNCTION("""COMPUTED_VALUE"""),"- 0,8 %")</f>
        <v>- 0,8 %</v>
      </c>
      <c r="D81" s="1" t="str">
        <f>IFERROR(__xludf.DUMMYFUNCTION("""COMPUTED_VALUE"""),"+ 0,1 %")</f>
        <v>+ 0,1 %</v>
      </c>
      <c r="E81" s="1" t="str">
        <f>IFERROR(__xludf.DUMMYFUNCTION("""COMPUTED_VALUE"""),"+ 4,6 %")</f>
        <v>+ 4,6 %</v>
      </c>
    </row>
    <row r="82">
      <c r="A82" s="2">
        <f>IFERROR(__xludf.DUMMYFUNCTION("""COMPUTED_VALUE"""),43739.0)</f>
        <v>43739</v>
      </c>
      <c r="B82" s="1" t="str">
        <f>IFERROR(__xludf.DUMMYFUNCTION("""COMPUTED_VALUE"""),"1.750 €/m2")</f>
        <v>1.750 €/m2</v>
      </c>
      <c r="C82" s="1" t="str">
        <f>IFERROR(__xludf.DUMMYFUNCTION("""COMPUTED_VALUE"""),"+ 0,1 %")</f>
        <v>+ 0,1 %</v>
      </c>
      <c r="D82" s="1" t="str">
        <f>IFERROR(__xludf.DUMMYFUNCTION("""COMPUTED_VALUE"""),"+ 0,4 %")</f>
        <v>+ 0,4 %</v>
      </c>
      <c r="E82" s="1" t="str">
        <f>IFERROR(__xludf.DUMMYFUNCTION("""COMPUTED_VALUE"""),"+ 5,7 %")</f>
        <v>+ 5,7 %</v>
      </c>
    </row>
    <row r="83">
      <c r="A83" s="2">
        <f>IFERROR(__xludf.DUMMYFUNCTION("""COMPUTED_VALUE"""),43709.0)</f>
        <v>43709</v>
      </c>
      <c r="B83" s="1" t="str">
        <f>IFERROR(__xludf.DUMMYFUNCTION("""COMPUTED_VALUE"""),"1.748 €/m2")</f>
        <v>1.748 €/m2</v>
      </c>
      <c r="C83" s="1" t="str">
        <f>IFERROR(__xludf.DUMMYFUNCTION("""COMPUTED_VALUE"""),"+ 0,7 %")</f>
        <v>+ 0,7 %</v>
      </c>
      <c r="D83" s="1" t="str">
        <f>IFERROR(__xludf.DUMMYFUNCTION("""COMPUTED_VALUE"""),"+ 0,5 %")</f>
        <v>+ 0,5 %</v>
      </c>
      <c r="E83" s="1" t="str">
        <f>IFERROR(__xludf.DUMMYFUNCTION("""COMPUTED_VALUE"""),"+ 3,8 %")</f>
        <v>+ 3,8 %</v>
      </c>
    </row>
    <row r="84">
      <c r="A84" s="2">
        <f>IFERROR(__xludf.DUMMYFUNCTION("""COMPUTED_VALUE"""),43678.0)</f>
        <v>43678</v>
      </c>
      <c r="B84" s="1" t="str">
        <f>IFERROR(__xludf.DUMMYFUNCTION("""COMPUTED_VALUE"""),"1.735 €/m2")</f>
        <v>1.735 €/m2</v>
      </c>
      <c r="C84" s="1" t="str">
        <f>IFERROR(__xludf.DUMMYFUNCTION("""COMPUTED_VALUE"""),"- 0,5 %")</f>
        <v>- 0,5 %</v>
      </c>
      <c r="D84" s="1" t="str">
        <f>IFERROR(__xludf.DUMMYFUNCTION("""COMPUTED_VALUE"""),"- 1,4 %")</f>
        <v>- 1,4 %</v>
      </c>
      <c r="E84" s="1" t="str">
        <f>IFERROR(__xludf.DUMMYFUNCTION("""COMPUTED_VALUE"""),"+ 3,8 %")</f>
        <v>+ 3,8 %</v>
      </c>
    </row>
    <row r="85">
      <c r="A85" s="2">
        <f>IFERROR(__xludf.DUMMYFUNCTION("""COMPUTED_VALUE"""),43647.0)</f>
        <v>43647</v>
      </c>
      <c r="B85" s="1" t="str">
        <f>IFERROR(__xludf.DUMMYFUNCTION("""COMPUTED_VALUE"""),"1.744 €/m2")</f>
        <v>1.744 €/m2</v>
      </c>
      <c r="C85" s="1" t="str">
        <f>IFERROR(__xludf.DUMMYFUNCTION("""COMPUTED_VALUE"""),"+ 0,3 %")</f>
        <v>+ 0,3 %</v>
      </c>
      <c r="D85" s="1" t="str">
        <f>IFERROR(__xludf.DUMMYFUNCTION("""COMPUTED_VALUE"""),"- 0,3 %")</f>
        <v>- 0,3 %</v>
      </c>
      <c r="E85" s="1" t="str">
        <f>IFERROR(__xludf.DUMMYFUNCTION("""COMPUTED_VALUE"""),"+ 4,8 %")</f>
        <v>+ 4,8 %</v>
      </c>
    </row>
    <row r="86">
      <c r="A86" s="2">
        <f>IFERROR(__xludf.DUMMYFUNCTION("""COMPUTED_VALUE"""),43617.0)</f>
        <v>43617</v>
      </c>
      <c r="B86" s="1" t="str">
        <f>IFERROR(__xludf.DUMMYFUNCTION("""COMPUTED_VALUE"""),"1.739 €/m2")</f>
        <v>1.739 €/m2</v>
      </c>
      <c r="C86" s="1" t="str">
        <f>IFERROR(__xludf.DUMMYFUNCTION("""COMPUTED_VALUE"""),"- 1,2 %")</f>
        <v>- 1,2 %</v>
      </c>
      <c r="D86" s="1" t="str">
        <f>IFERROR(__xludf.DUMMYFUNCTION("""COMPUTED_VALUE"""),"+ 0,8 %")</f>
        <v>+ 0,8 %</v>
      </c>
      <c r="E86" s="1" t="str">
        <f>IFERROR(__xludf.DUMMYFUNCTION("""COMPUTED_VALUE"""),"+ 5,9 %")</f>
        <v>+ 5,9 %</v>
      </c>
    </row>
    <row r="87">
      <c r="A87" s="2">
        <f>IFERROR(__xludf.DUMMYFUNCTION("""COMPUTED_VALUE"""),43586.0)</f>
        <v>43586</v>
      </c>
      <c r="B87" s="1" t="str">
        <f>IFERROR(__xludf.DUMMYFUNCTION("""COMPUTED_VALUE"""),"1.760 €/m2")</f>
        <v>1.760 €/m2</v>
      </c>
      <c r="C87" s="1" t="str">
        <f>IFERROR(__xludf.DUMMYFUNCTION("""COMPUTED_VALUE"""),"+ 0,6 %")</f>
        <v>+ 0,6 %</v>
      </c>
      <c r="D87" s="1" t="str">
        <f>IFERROR(__xludf.DUMMYFUNCTION("""COMPUTED_VALUE"""),"+ 2,9 %")</f>
        <v>+ 2,9 %</v>
      </c>
      <c r="E87" s="1" t="str">
        <f>IFERROR(__xludf.DUMMYFUNCTION("""COMPUTED_VALUE"""),"+ 8,5 %")</f>
        <v>+ 8,5 %</v>
      </c>
    </row>
    <row r="88">
      <c r="A88" s="2">
        <f>IFERROR(__xludf.DUMMYFUNCTION("""COMPUTED_VALUE"""),43556.0)</f>
        <v>43556</v>
      </c>
      <c r="B88" s="1" t="str">
        <f>IFERROR(__xludf.DUMMYFUNCTION("""COMPUTED_VALUE"""),"1.749 €/m2")</f>
        <v>1.749 €/m2</v>
      </c>
      <c r="C88" s="1" t="str">
        <f>IFERROR(__xludf.DUMMYFUNCTION("""COMPUTED_VALUE"""),"+ 1,4 %")</f>
        <v>+ 1,4 %</v>
      </c>
      <c r="D88" s="1" t="str">
        <f>IFERROR(__xludf.DUMMYFUNCTION("""COMPUTED_VALUE"""),"+ 2,7 %")</f>
        <v>+ 2,7 %</v>
      </c>
      <c r="E88" s="1" t="str">
        <f>IFERROR(__xludf.DUMMYFUNCTION("""COMPUTED_VALUE"""),"+ 7,5 %")</f>
        <v>+ 7,5 %</v>
      </c>
    </row>
    <row r="89">
      <c r="A89" s="2">
        <f>IFERROR(__xludf.DUMMYFUNCTION("""COMPUTED_VALUE"""),43525.0)</f>
        <v>43525</v>
      </c>
      <c r="B89" s="1" t="str">
        <f>IFERROR(__xludf.DUMMYFUNCTION("""COMPUTED_VALUE"""),"1.724 €/m2")</f>
        <v>1.724 €/m2</v>
      </c>
      <c r="C89" s="1" t="str">
        <f>IFERROR(__xludf.DUMMYFUNCTION("""COMPUTED_VALUE"""),"+ 0,7 %")</f>
        <v>+ 0,7 %</v>
      </c>
      <c r="D89" s="1" t="str">
        <f>IFERROR(__xludf.DUMMYFUNCTION("""COMPUTED_VALUE"""),"+ 3,7 %")</f>
        <v>+ 3,7 %</v>
      </c>
      <c r="E89" s="1" t="str">
        <f>IFERROR(__xludf.DUMMYFUNCTION("""COMPUTED_VALUE"""),"+ 15,0 %")</f>
        <v>+ 15,0 %</v>
      </c>
    </row>
    <row r="90">
      <c r="A90" s="2">
        <f>IFERROR(__xludf.DUMMYFUNCTION("""COMPUTED_VALUE"""),43497.0)</f>
        <v>43497</v>
      </c>
      <c r="B90" s="1" t="str">
        <f>IFERROR(__xludf.DUMMYFUNCTION("""COMPUTED_VALUE"""),"1.711 €/m2")</f>
        <v>1.711 €/m2</v>
      </c>
      <c r="C90" s="1" t="str">
        <f>IFERROR(__xludf.DUMMYFUNCTION("""COMPUTED_VALUE"""),"+ 0,5 %")</f>
        <v>+ 0,5 %</v>
      </c>
      <c r="D90" s="1" t="str">
        <f>IFERROR(__xludf.DUMMYFUNCTION("""COMPUTED_VALUE"""),"+ 3,1 %")</f>
        <v>+ 3,1 %</v>
      </c>
      <c r="E90" s="1" t="str">
        <f>IFERROR(__xludf.DUMMYFUNCTION("""COMPUTED_VALUE"""),"+ 14,8 %")</f>
        <v>+ 14,8 %</v>
      </c>
    </row>
    <row r="91">
      <c r="A91" s="2">
        <f>IFERROR(__xludf.DUMMYFUNCTION("""COMPUTED_VALUE"""),43466.0)</f>
        <v>43466</v>
      </c>
      <c r="B91" s="1" t="str">
        <f>IFERROR(__xludf.DUMMYFUNCTION("""COMPUTED_VALUE"""),"1.703 €/m2")</f>
        <v>1.703 €/m2</v>
      </c>
      <c r="C91" s="1" t="str">
        <f>IFERROR(__xludf.DUMMYFUNCTION("""COMPUTED_VALUE"""),"+ 2,5 %")</f>
        <v>+ 2,5 %</v>
      </c>
      <c r="D91" s="1" t="str">
        <f>IFERROR(__xludf.DUMMYFUNCTION("""COMPUTED_VALUE"""),"+ 2,9 %")</f>
        <v>+ 2,9 %</v>
      </c>
      <c r="E91" s="1" t="str">
        <f>IFERROR(__xludf.DUMMYFUNCTION("""COMPUTED_VALUE"""),"+ 17,3 %")</f>
        <v>+ 17,3 %</v>
      </c>
    </row>
    <row r="92">
      <c r="A92" s="2">
        <f>IFERROR(__xludf.DUMMYFUNCTION("""COMPUTED_VALUE"""),43435.0)</f>
        <v>43435</v>
      </c>
      <c r="B92" s="1" t="str">
        <f>IFERROR(__xludf.DUMMYFUNCTION("""COMPUTED_VALUE"""),"1.662 €/m2")</f>
        <v>1.662 €/m2</v>
      </c>
      <c r="C92" s="1" t="str">
        <f>IFERROR(__xludf.DUMMYFUNCTION("""COMPUTED_VALUE"""),"+ 0,1 %")</f>
        <v>+ 0,1 %</v>
      </c>
      <c r="D92" s="1" t="str">
        <f>IFERROR(__xludf.DUMMYFUNCTION("""COMPUTED_VALUE"""),"- 1,4 %")</f>
        <v>- 1,4 %</v>
      </c>
      <c r="E92" s="1" t="str">
        <f>IFERROR(__xludf.DUMMYFUNCTION("""COMPUTED_VALUE"""),"+ 17,2 %")</f>
        <v>+ 17,2 %</v>
      </c>
    </row>
    <row r="93">
      <c r="A93" s="2">
        <f>IFERROR(__xludf.DUMMYFUNCTION("""COMPUTED_VALUE"""),43405.0)</f>
        <v>43405</v>
      </c>
      <c r="B93" s="1" t="str">
        <f>IFERROR(__xludf.DUMMYFUNCTION("""COMPUTED_VALUE"""),"1.660 €/m2")</f>
        <v>1.660 €/m2</v>
      </c>
      <c r="C93" s="1" t="str">
        <f>IFERROR(__xludf.DUMMYFUNCTION("""COMPUTED_VALUE"""),"+ 0,3 %")</f>
        <v>+ 0,3 %</v>
      </c>
      <c r="D93" s="1" t="str">
        <f>IFERROR(__xludf.DUMMYFUNCTION("""COMPUTED_VALUE"""),"- 0,7 %")</f>
        <v>- 0,7 %</v>
      </c>
      <c r="E93" s="1" t="str">
        <f>IFERROR(__xludf.DUMMYFUNCTION("""COMPUTED_VALUE"""),"+ 14,4 %")</f>
        <v>+ 14,4 %</v>
      </c>
    </row>
    <row r="94">
      <c r="A94" s="2">
        <f>IFERROR(__xludf.DUMMYFUNCTION("""COMPUTED_VALUE"""),43374.0)</f>
        <v>43374</v>
      </c>
      <c r="B94" s="1" t="str">
        <f>IFERROR(__xludf.DUMMYFUNCTION("""COMPUTED_VALUE"""),"1.656 €/m2")</f>
        <v>1.656 €/m2</v>
      </c>
      <c r="C94" s="1" t="str">
        <f>IFERROR(__xludf.DUMMYFUNCTION("""COMPUTED_VALUE"""),"- 1,7 %")</f>
        <v>- 1,7 %</v>
      </c>
      <c r="D94" s="1" t="str">
        <f>IFERROR(__xludf.DUMMYFUNCTION("""COMPUTED_VALUE"""),"- 0,5 %")</f>
        <v>- 0,5 %</v>
      </c>
      <c r="E94" s="1" t="str">
        <f>IFERROR(__xludf.DUMMYFUNCTION("""COMPUTED_VALUE"""),"+ 12,8 %")</f>
        <v>+ 12,8 %</v>
      </c>
    </row>
    <row r="95">
      <c r="A95" s="2">
        <f>IFERROR(__xludf.DUMMYFUNCTION("""COMPUTED_VALUE"""),43344.0)</f>
        <v>43344</v>
      </c>
      <c r="B95" s="1" t="str">
        <f>IFERROR(__xludf.DUMMYFUNCTION("""COMPUTED_VALUE"""),"1.685 €/m2")</f>
        <v>1.685 €/m2</v>
      </c>
      <c r="C95" s="1" t="str">
        <f>IFERROR(__xludf.DUMMYFUNCTION("""COMPUTED_VALUE"""),"+ 0,8 %")</f>
        <v>+ 0,8 %</v>
      </c>
      <c r="D95" s="1" t="str">
        <f>IFERROR(__xludf.DUMMYFUNCTION("""COMPUTED_VALUE"""),"+ 2,6 %")</f>
        <v>+ 2,6 %</v>
      </c>
      <c r="E95" s="1" t="str">
        <f>IFERROR(__xludf.DUMMYFUNCTION("""COMPUTED_VALUE"""),"+ 15,3 %")</f>
        <v>+ 15,3 %</v>
      </c>
    </row>
    <row r="96">
      <c r="A96" s="2">
        <f>IFERROR(__xludf.DUMMYFUNCTION("""COMPUTED_VALUE"""),43313.0)</f>
        <v>43313</v>
      </c>
      <c r="B96" s="1" t="str">
        <f>IFERROR(__xludf.DUMMYFUNCTION("""COMPUTED_VALUE"""),"1.672 €/m2")</f>
        <v>1.672 €/m2</v>
      </c>
      <c r="C96" s="1" t="str">
        <f>IFERROR(__xludf.DUMMYFUNCTION("""COMPUTED_VALUE"""),"+ 0,5 %")</f>
        <v>+ 0,5 %</v>
      </c>
      <c r="D96" s="1" t="str">
        <f>IFERROR(__xludf.DUMMYFUNCTION("""COMPUTED_VALUE"""),"+ 3,1 %")</f>
        <v>+ 3,1 %</v>
      </c>
      <c r="E96" s="1" t="str">
        <f>IFERROR(__xludf.DUMMYFUNCTION("""COMPUTED_VALUE"""),"+ 13,1 %")</f>
        <v>+ 13,1 %</v>
      </c>
    </row>
    <row r="97">
      <c r="A97" s="2">
        <f>IFERROR(__xludf.DUMMYFUNCTION("""COMPUTED_VALUE"""),43282.0)</f>
        <v>43282</v>
      </c>
      <c r="B97" s="1" t="str">
        <f>IFERROR(__xludf.DUMMYFUNCTION("""COMPUTED_VALUE"""),"1.663 €/m2")</f>
        <v>1.663 €/m2</v>
      </c>
      <c r="C97" s="1" t="str">
        <f>IFERROR(__xludf.DUMMYFUNCTION("""COMPUTED_VALUE"""),"+ 1,3 %")</f>
        <v>+ 1,3 %</v>
      </c>
      <c r="D97" s="1" t="str">
        <f>IFERROR(__xludf.DUMMYFUNCTION("""COMPUTED_VALUE"""),"+ 2,3 %")</f>
        <v>+ 2,3 %</v>
      </c>
      <c r="E97" s="1" t="str">
        <f>IFERROR(__xludf.DUMMYFUNCTION("""COMPUTED_VALUE"""),"+ 12,9 %")</f>
        <v>+ 12,9 %</v>
      </c>
    </row>
    <row r="98">
      <c r="A98" s="2">
        <f>IFERROR(__xludf.DUMMYFUNCTION("""COMPUTED_VALUE"""),43252.0)</f>
        <v>43252</v>
      </c>
      <c r="B98" s="1" t="str">
        <f>IFERROR(__xludf.DUMMYFUNCTION("""COMPUTED_VALUE"""),"1.642 €/m2")</f>
        <v>1.642 €/m2</v>
      </c>
      <c r="C98" s="1" t="str">
        <f>IFERROR(__xludf.DUMMYFUNCTION("""COMPUTED_VALUE"""),"+ 1,2 %")</f>
        <v>+ 1,2 %</v>
      </c>
      <c r="D98" s="1" t="str">
        <f>IFERROR(__xludf.DUMMYFUNCTION("""COMPUTED_VALUE"""),"+ 9,5 %")</f>
        <v>+ 9,5 %</v>
      </c>
      <c r="E98" s="1" t="str">
        <f>IFERROR(__xludf.DUMMYFUNCTION("""COMPUTED_VALUE"""),"+ 13,2 %")</f>
        <v>+ 13,2 %</v>
      </c>
    </row>
    <row r="99">
      <c r="A99" s="2">
        <f>IFERROR(__xludf.DUMMYFUNCTION("""COMPUTED_VALUE"""),43221.0)</f>
        <v>43221</v>
      </c>
      <c r="B99" s="1" t="str">
        <f>IFERROR(__xludf.DUMMYFUNCTION("""COMPUTED_VALUE"""),"1.622 €/m2")</f>
        <v>1.622 €/m2</v>
      </c>
      <c r="C99" s="1" t="str">
        <f>IFERROR(__xludf.DUMMYFUNCTION("""COMPUTED_VALUE"""),"- 0,3 %")</f>
        <v>- 0,3 %</v>
      </c>
      <c r="D99" s="1" t="str">
        <f>IFERROR(__xludf.DUMMYFUNCTION("""COMPUTED_VALUE"""),"+ 8,8 %")</f>
        <v>+ 8,8 %</v>
      </c>
      <c r="E99" s="1" t="str">
        <f>IFERROR(__xludf.DUMMYFUNCTION("""COMPUTED_VALUE"""),"+ 12,3 %")</f>
        <v>+ 12,3 %</v>
      </c>
    </row>
    <row r="100">
      <c r="A100" s="2">
        <f>IFERROR(__xludf.DUMMYFUNCTION("""COMPUTED_VALUE"""),43191.0)</f>
        <v>43191</v>
      </c>
      <c r="B100" s="1" t="str">
        <f>IFERROR(__xludf.DUMMYFUNCTION("""COMPUTED_VALUE"""),"1.626 €/m2")</f>
        <v>1.626 €/m2</v>
      </c>
      <c r="C100" s="1" t="str">
        <f>IFERROR(__xludf.DUMMYFUNCTION("""COMPUTED_VALUE"""),"+ 8,5 %")</f>
        <v>+ 8,5 %</v>
      </c>
      <c r="D100" s="1" t="str">
        <f>IFERROR(__xludf.DUMMYFUNCTION("""COMPUTED_VALUE"""),"+ 12,0 %")</f>
        <v>+ 12,0 %</v>
      </c>
      <c r="E100" s="1" t="str">
        <f>IFERROR(__xludf.DUMMYFUNCTION("""COMPUTED_VALUE"""),"+ 10,9 %")</f>
        <v>+ 10,9 %</v>
      </c>
    </row>
    <row r="101">
      <c r="A101" s="2">
        <f>IFERROR(__xludf.DUMMYFUNCTION("""COMPUTED_VALUE"""),43160.0)</f>
        <v>43160</v>
      </c>
      <c r="B101" s="1" t="str">
        <f>IFERROR(__xludf.DUMMYFUNCTION("""COMPUTED_VALUE"""),"1.499 €/m2")</f>
        <v>1.499 €/m2</v>
      </c>
      <c r="C101" s="1" t="str">
        <f>IFERROR(__xludf.DUMMYFUNCTION("""COMPUTED_VALUE"""),"+ 0,5 %")</f>
        <v>+ 0,5 %</v>
      </c>
      <c r="D101" s="1" t="str">
        <f>IFERROR(__xludf.DUMMYFUNCTION("""COMPUTED_VALUE"""),"+ 5,8 %")</f>
        <v>+ 5,8 %</v>
      </c>
      <c r="E101" s="1" t="str">
        <f>IFERROR(__xludf.DUMMYFUNCTION("""COMPUTED_VALUE"""),"+ 2,6 %")</f>
        <v>+ 2,6 %</v>
      </c>
    </row>
    <row r="102">
      <c r="A102" s="2">
        <f>IFERROR(__xludf.DUMMYFUNCTION("""COMPUTED_VALUE"""),43132.0)</f>
        <v>43132</v>
      </c>
      <c r="B102" s="1" t="str">
        <f>IFERROR(__xludf.DUMMYFUNCTION("""COMPUTED_VALUE"""),"1.491 €/m2")</f>
        <v>1.491 €/m2</v>
      </c>
      <c r="C102" s="1" t="str">
        <f>IFERROR(__xludf.DUMMYFUNCTION("""COMPUTED_VALUE"""),"+ 2,7 %")</f>
        <v>+ 2,7 %</v>
      </c>
      <c r="D102" s="1" t="str">
        <f>IFERROR(__xludf.DUMMYFUNCTION("""COMPUTED_VALUE"""),"+ 2,7 %")</f>
        <v>+ 2,7 %</v>
      </c>
      <c r="E102" s="1" t="str">
        <f>IFERROR(__xludf.DUMMYFUNCTION("""COMPUTED_VALUE"""),"+ 2,0 %")</f>
        <v>+ 2,0 %</v>
      </c>
    </row>
    <row r="103">
      <c r="A103" s="2">
        <f>IFERROR(__xludf.DUMMYFUNCTION("""COMPUTED_VALUE"""),43101.0)</f>
        <v>43101</v>
      </c>
      <c r="B103" s="1" t="str">
        <f>IFERROR(__xludf.DUMMYFUNCTION("""COMPUTED_VALUE"""),"1.452 €/m2")</f>
        <v>1.452 €/m2</v>
      </c>
      <c r="C103" s="1" t="str">
        <f>IFERROR(__xludf.DUMMYFUNCTION("""COMPUTED_VALUE"""),"+ 2,4 %")</f>
        <v>+ 2,4 %</v>
      </c>
      <c r="D103" s="1" t="str">
        <f>IFERROR(__xludf.DUMMYFUNCTION("""COMPUTED_VALUE"""),"- 1,1 %")</f>
        <v>- 1,1 %</v>
      </c>
      <c r="E103" s="1" t="str">
        <f>IFERROR(__xludf.DUMMYFUNCTION("""COMPUTED_VALUE"""),"- 0,5 %")</f>
        <v>- 0,5 %</v>
      </c>
    </row>
    <row r="104">
      <c r="A104" s="2">
        <f>IFERROR(__xludf.DUMMYFUNCTION("""COMPUTED_VALUE"""),43070.0)</f>
        <v>43070</v>
      </c>
      <c r="B104" s="1" t="str">
        <f>IFERROR(__xludf.DUMMYFUNCTION("""COMPUTED_VALUE"""),"1.417 €/m2")</f>
        <v>1.417 €/m2</v>
      </c>
      <c r="C104" s="1" t="str">
        <f>IFERROR(__xludf.DUMMYFUNCTION("""COMPUTED_VALUE"""),"- 2,3 %")</f>
        <v>- 2,3 %</v>
      </c>
      <c r="D104" s="1" t="str">
        <f>IFERROR(__xludf.DUMMYFUNCTION("""COMPUTED_VALUE"""),"- 3,0 %")</f>
        <v>- 3,0 %</v>
      </c>
      <c r="E104" s="1" t="str">
        <f>IFERROR(__xludf.DUMMYFUNCTION("""COMPUTED_VALUE"""),"- 4,6 %")</f>
        <v>- 4,6 %</v>
      </c>
    </row>
    <row r="105">
      <c r="A105" s="2">
        <f>IFERROR(__xludf.DUMMYFUNCTION("""COMPUTED_VALUE"""),43040.0)</f>
        <v>43040</v>
      </c>
      <c r="B105" s="1" t="str">
        <f>IFERROR(__xludf.DUMMYFUNCTION("""COMPUTED_VALUE"""),"1.451 €/m2")</f>
        <v>1.451 €/m2</v>
      </c>
      <c r="C105" s="1" t="str">
        <f>IFERROR(__xludf.DUMMYFUNCTION("""COMPUTED_VALUE"""),"- 1,1 %")</f>
        <v>- 1,1 %</v>
      </c>
      <c r="D105" s="1" t="str">
        <f>IFERROR(__xludf.DUMMYFUNCTION("""COMPUTED_VALUE"""),"- 1,9 %")</f>
        <v>- 1,9 %</v>
      </c>
      <c r="E105" s="1" t="str">
        <f>IFERROR(__xludf.DUMMYFUNCTION("""COMPUTED_VALUE"""),"+ 1,8 %")</f>
        <v>+ 1,8 %</v>
      </c>
    </row>
    <row r="106">
      <c r="A106" s="2">
        <f>IFERROR(__xludf.DUMMYFUNCTION("""COMPUTED_VALUE"""),43009.0)</f>
        <v>43009</v>
      </c>
      <c r="B106" s="1" t="str">
        <f>IFERROR(__xludf.DUMMYFUNCTION("""COMPUTED_VALUE"""),"1.468 €/m2")</f>
        <v>1.468 €/m2</v>
      </c>
      <c r="C106" s="1" t="str">
        <f>IFERROR(__xludf.DUMMYFUNCTION("""COMPUTED_VALUE"""),"+ 0,4 %")</f>
        <v>+ 0,4 %</v>
      </c>
      <c r="D106" s="1" t="str">
        <f>IFERROR(__xludf.DUMMYFUNCTION("""COMPUTED_VALUE"""),"- 0,3 %")</f>
        <v>- 0,3 %</v>
      </c>
      <c r="E106" s="1" t="str">
        <f>IFERROR(__xludf.DUMMYFUNCTION("""COMPUTED_VALUE"""),"+ 5,9 %")</f>
        <v>+ 5,9 %</v>
      </c>
    </row>
    <row r="107">
      <c r="A107" s="2">
        <f>IFERROR(__xludf.DUMMYFUNCTION("""COMPUTED_VALUE"""),42979.0)</f>
        <v>42979</v>
      </c>
      <c r="B107" s="1" t="str">
        <f>IFERROR(__xludf.DUMMYFUNCTION("""COMPUTED_VALUE"""),"1.461 €/m2")</f>
        <v>1.461 €/m2</v>
      </c>
      <c r="C107" s="1" t="str">
        <f>IFERROR(__xludf.DUMMYFUNCTION("""COMPUTED_VALUE"""),"- 1,2 %")</f>
        <v>- 1,2 %</v>
      </c>
      <c r="D107" s="1" t="str">
        <f>IFERROR(__xludf.DUMMYFUNCTION("""COMPUTED_VALUE"""),"+ 0,7 %")</f>
        <v>+ 0,7 %</v>
      </c>
      <c r="E107" s="1" t="str">
        <f>IFERROR(__xludf.DUMMYFUNCTION("""COMPUTED_VALUE"""),"+ 4,4 %")</f>
        <v>+ 4,4 %</v>
      </c>
    </row>
    <row r="108">
      <c r="A108" s="2">
        <f>IFERROR(__xludf.DUMMYFUNCTION("""COMPUTED_VALUE"""),42948.0)</f>
        <v>42948</v>
      </c>
      <c r="B108" s="1" t="str">
        <f>IFERROR(__xludf.DUMMYFUNCTION("""COMPUTED_VALUE"""),"1.479 €/m2")</f>
        <v>1.479 €/m2</v>
      </c>
      <c r="C108" s="1" t="str">
        <f>IFERROR(__xludf.DUMMYFUNCTION("""COMPUTED_VALUE"""),"+ 0,4 %")</f>
        <v>+ 0,4 %</v>
      </c>
      <c r="D108" s="1" t="str">
        <f>IFERROR(__xludf.DUMMYFUNCTION("""COMPUTED_VALUE"""),"+ 2,4 %")</f>
        <v>+ 2,4 %</v>
      </c>
      <c r="E108" s="1" t="str">
        <f>IFERROR(__xludf.DUMMYFUNCTION("""COMPUTED_VALUE"""),"+ 5,7 %")</f>
        <v>+ 5,7 %</v>
      </c>
    </row>
    <row r="109">
      <c r="A109" s="2">
        <f>IFERROR(__xludf.DUMMYFUNCTION("""COMPUTED_VALUE"""),42917.0)</f>
        <v>42917</v>
      </c>
      <c r="B109" s="1" t="str">
        <f>IFERROR(__xludf.DUMMYFUNCTION("""COMPUTED_VALUE"""),"1.473 €/m2")</f>
        <v>1.473 €/m2</v>
      </c>
      <c r="C109" s="1" t="str">
        <f>IFERROR(__xludf.DUMMYFUNCTION("""COMPUTED_VALUE"""),"+ 1,5 %")</f>
        <v>+ 1,5 %</v>
      </c>
      <c r="D109" s="1" t="str">
        <f>IFERROR(__xludf.DUMMYFUNCTION("""COMPUTED_VALUE"""),"+ 0,4 %")</f>
        <v>+ 0,4 %</v>
      </c>
      <c r="E109" s="1" t="str">
        <f>IFERROR(__xludf.DUMMYFUNCTION("""COMPUTED_VALUE"""),"+ 5,8 %")</f>
        <v>+ 5,8 %</v>
      </c>
    </row>
    <row r="110">
      <c r="A110" s="2">
        <f>IFERROR(__xludf.DUMMYFUNCTION("""COMPUTED_VALUE"""),42887.0)</f>
        <v>42887</v>
      </c>
      <c r="B110" s="1" t="str">
        <f>IFERROR(__xludf.DUMMYFUNCTION("""COMPUTED_VALUE"""),"1.451 €/m2")</f>
        <v>1.451 €/m2</v>
      </c>
      <c r="C110" s="1" t="str">
        <f>IFERROR(__xludf.DUMMYFUNCTION("""COMPUTED_VALUE"""),"+ 0,4 %")</f>
        <v>+ 0,4 %</v>
      </c>
      <c r="D110" s="1" t="str">
        <f>IFERROR(__xludf.DUMMYFUNCTION("""COMPUTED_VALUE"""),"- 0,7 %")</f>
        <v>- 0,7 %</v>
      </c>
      <c r="E110" s="1" t="str">
        <f>IFERROR(__xludf.DUMMYFUNCTION("""COMPUTED_VALUE"""),"+ 5,5 %")</f>
        <v>+ 5,5 %</v>
      </c>
    </row>
    <row r="111">
      <c r="A111" s="2">
        <f>IFERROR(__xludf.DUMMYFUNCTION("""COMPUTED_VALUE"""),42856.0)</f>
        <v>42856</v>
      </c>
      <c r="B111" s="1" t="str">
        <f>IFERROR(__xludf.DUMMYFUNCTION("""COMPUTED_VALUE"""),"1.445 €/m2")</f>
        <v>1.445 €/m2</v>
      </c>
      <c r="C111" s="1" t="str">
        <f>IFERROR(__xludf.DUMMYFUNCTION("""COMPUTED_VALUE"""),"- 1,5 %")</f>
        <v>- 1,5 %</v>
      </c>
      <c r="D111" s="1" t="str">
        <f>IFERROR(__xludf.DUMMYFUNCTION("""COMPUTED_VALUE"""),"- 1,1 %")</f>
        <v>- 1,1 %</v>
      </c>
      <c r="E111" s="1" t="str">
        <f>IFERROR(__xludf.DUMMYFUNCTION("""COMPUTED_VALUE"""),"+ 4,5 %")</f>
        <v>+ 4,5 %</v>
      </c>
    </row>
    <row r="112">
      <c r="A112" s="2">
        <f>IFERROR(__xludf.DUMMYFUNCTION("""COMPUTED_VALUE"""),42826.0)</f>
        <v>42826</v>
      </c>
      <c r="B112" s="1" t="str">
        <f>IFERROR(__xludf.DUMMYFUNCTION("""COMPUTED_VALUE"""),"1.466 €/m2")</f>
        <v>1.466 €/m2</v>
      </c>
      <c r="C112" s="1" t="str">
        <f>IFERROR(__xludf.DUMMYFUNCTION("""COMPUTED_VALUE"""),"+ 0,4 %")</f>
        <v>+ 0,4 %</v>
      </c>
      <c r="D112" s="1" t="str">
        <f>IFERROR(__xludf.DUMMYFUNCTION("""COMPUTED_VALUE"""),"+ 0,5 %")</f>
        <v>+ 0,5 %</v>
      </c>
      <c r="E112" s="1" t="str">
        <f>IFERROR(__xludf.DUMMYFUNCTION("""COMPUTED_VALUE"""),"+ 7,3 %")</f>
        <v>+ 7,3 %</v>
      </c>
    </row>
    <row r="113">
      <c r="A113" s="2">
        <f>IFERROR(__xludf.DUMMYFUNCTION("""COMPUTED_VALUE"""),42795.0)</f>
        <v>42795</v>
      </c>
      <c r="B113" s="1" t="str">
        <f>IFERROR(__xludf.DUMMYFUNCTION("""COMPUTED_VALUE"""),"1.461 €/m2")</f>
        <v>1.461 €/m2</v>
      </c>
      <c r="C113" s="1" t="str">
        <f>IFERROR(__xludf.DUMMYFUNCTION("""COMPUTED_VALUE"""),"0,0 %")</f>
        <v>0,0 %</v>
      </c>
      <c r="D113" s="1" t="str">
        <f>IFERROR(__xludf.DUMMYFUNCTION("""COMPUTED_VALUE"""),"- 1,7 %")</f>
        <v>- 1,7 %</v>
      </c>
      <c r="E113" s="1" t="str">
        <f>IFERROR(__xludf.DUMMYFUNCTION("""COMPUTED_VALUE"""),"+ 9,6 %")</f>
        <v>+ 9,6 %</v>
      </c>
    </row>
    <row r="114">
      <c r="A114" s="2">
        <f>IFERROR(__xludf.DUMMYFUNCTION("""COMPUTED_VALUE"""),42767.0)</f>
        <v>42767</v>
      </c>
      <c r="B114" s="1" t="str">
        <f>IFERROR(__xludf.DUMMYFUNCTION("""COMPUTED_VALUE"""),"1.461 €/m2")</f>
        <v>1.461 €/m2</v>
      </c>
      <c r="C114" s="1" t="str">
        <f>IFERROR(__xludf.DUMMYFUNCTION("""COMPUTED_VALUE"""),"+ 0,2 %")</f>
        <v>+ 0,2 %</v>
      </c>
      <c r="D114" s="1" t="str">
        <f>IFERROR(__xludf.DUMMYFUNCTION("""COMPUTED_VALUE"""),"+ 2,5 %")</f>
        <v>+ 2,5 %</v>
      </c>
      <c r="E114" s="1" t="str">
        <f>IFERROR(__xludf.DUMMYFUNCTION("""COMPUTED_VALUE"""),"+ 7,9 %")</f>
        <v>+ 7,9 %</v>
      </c>
    </row>
    <row r="115">
      <c r="A115" s="2">
        <f>IFERROR(__xludf.DUMMYFUNCTION("""COMPUTED_VALUE"""),42736.0)</f>
        <v>42736</v>
      </c>
      <c r="B115" s="1" t="str">
        <f>IFERROR(__xludf.DUMMYFUNCTION("""COMPUTED_VALUE"""),"1.459 €/m2")</f>
        <v>1.459 €/m2</v>
      </c>
      <c r="C115" s="1" t="str">
        <f>IFERROR(__xludf.DUMMYFUNCTION("""COMPUTED_VALUE"""),"- 1,9 %")</f>
        <v>- 1,9 %</v>
      </c>
      <c r="D115" s="1" t="str">
        <f>IFERROR(__xludf.DUMMYFUNCTION("""COMPUTED_VALUE"""),"+ 5,3 %")</f>
        <v>+ 5,3 %</v>
      </c>
      <c r="E115" s="1" t="str">
        <f>IFERROR(__xludf.DUMMYFUNCTION("""COMPUTED_VALUE"""),"+ 7,8 %")</f>
        <v>+ 7,8 %</v>
      </c>
    </row>
    <row r="116">
      <c r="A116" s="2">
        <f>IFERROR(__xludf.DUMMYFUNCTION("""COMPUTED_VALUE"""),42705.0)</f>
        <v>42705</v>
      </c>
      <c r="B116" s="1" t="str">
        <f>IFERROR(__xludf.DUMMYFUNCTION("""COMPUTED_VALUE"""),"1.486 €/m2")</f>
        <v>1.486 €/m2</v>
      </c>
      <c r="C116" s="1" t="str">
        <f>IFERROR(__xludf.DUMMYFUNCTION("""COMPUTED_VALUE"""),"+ 4,3 %")</f>
        <v>+ 4,3 %</v>
      </c>
      <c r="D116" s="1" t="str">
        <f>IFERROR(__xludf.DUMMYFUNCTION("""COMPUTED_VALUE"""),"+ 6,2 %")</f>
        <v>+ 6,2 %</v>
      </c>
      <c r="E116" s="1" t="str">
        <f>IFERROR(__xludf.DUMMYFUNCTION("""COMPUTED_VALUE"""),"+ 9,6 %")</f>
        <v>+ 9,6 %</v>
      </c>
    </row>
    <row r="117">
      <c r="A117" s="2">
        <f>IFERROR(__xludf.DUMMYFUNCTION("""COMPUTED_VALUE"""),42675.0)</f>
        <v>42675</v>
      </c>
      <c r="B117" s="1" t="str">
        <f>IFERROR(__xludf.DUMMYFUNCTION("""COMPUTED_VALUE"""),"1.426 €/m2")</f>
        <v>1.426 €/m2</v>
      </c>
      <c r="C117" s="1" t="str">
        <f>IFERROR(__xludf.DUMMYFUNCTION("""COMPUTED_VALUE"""),"+ 2,9 %")</f>
        <v>+ 2,9 %</v>
      </c>
      <c r="D117" s="1" t="str">
        <f>IFERROR(__xludf.DUMMYFUNCTION("""COMPUTED_VALUE"""),"+ 1,9 %")</f>
        <v>+ 1,9 %</v>
      </c>
      <c r="E117" s="1" t="str">
        <f>IFERROR(__xludf.DUMMYFUNCTION("""COMPUTED_VALUE"""),"+ 2,8 %")</f>
        <v>+ 2,8 %</v>
      </c>
    </row>
    <row r="118">
      <c r="A118" s="2">
        <f>IFERROR(__xludf.DUMMYFUNCTION("""COMPUTED_VALUE"""),42644.0)</f>
        <v>42644</v>
      </c>
      <c r="B118" s="1" t="str">
        <f>IFERROR(__xludf.DUMMYFUNCTION("""COMPUTED_VALUE"""),"1.386 €/m2")</f>
        <v>1.386 €/m2</v>
      </c>
      <c r="C118" s="1" t="str">
        <f>IFERROR(__xludf.DUMMYFUNCTION("""COMPUTED_VALUE"""),"- 1,0 %")</f>
        <v>- 1,0 %</v>
      </c>
      <c r="D118" s="1" t="str">
        <f>IFERROR(__xludf.DUMMYFUNCTION("""COMPUTED_VALUE"""),"- 0,4 %")</f>
        <v>- 0,4 %</v>
      </c>
      <c r="E118" s="1" t="str">
        <f>IFERROR(__xludf.DUMMYFUNCTION("""COMPUTED_VALUE"""),"+ 0,5 %")</f>
        <v>+ 0,5 %</v>
      </c>
    </row>
    <row r="119">
      <c r="A119" s="2">
        <f>IFERROR(__xludf.DUMMYFUNCTION("""COMPUTED_VALUE"""),42614.0)</f>
        <v>42614</v>
      </c>
      <c r="B119" s="1" t="str">
        <f>IFERROR(__xludf.DUMMYFUNCTION("""COMPUTED_VALUE"""),"1.400 €/m2")</f>
        <v>1.400 €/m2</v>
      </c>
      <c r="C119" s="1" t="str">
        <f>IFERROR(__xludf.DUMMYFUNCTION("""COMPUTED_VALUE"""),"+ 0,1 %")</f>
        <v>+ 0,1 %</v>
      </c>
      <c r="D119" s="1" t="str">
        <f>IFERROR(__xludf.DUMMYFUNCTION("""COMPUTED_VALUE"""),"+ 1,8 %")</f>
        <v>+ 1,8 %</v>
      </c>
      <c r="E119" s="1" t="str">
        <f>IFERROR(__xludf.DUMMYFUNCTION("""COMPUTED_VALUE"""),"+ 4,7 %")</f>
        <v>+ 4,7 %</v>
      </c>
    </row>
    <row r="120">
      <c r="A120" s="2">
        <f>IFERROR(__xludf.DUMMYFUNCTION("""COMPUTED_VALUE"""),42583.0)</f>
        <v>42583</v>
      </c>
      <c r="B120" s="1" t="str">
        <f>IFERROR(__xludf.DUMMYFUNCTION("""COMPUTED_VALUE"""),"1.399 €/m2")</f>
        <v>1.399 €/m2</v>
      </c>
      <c r="C120" s="1" t="str">
        <f>IFERROR(__xludf.DUMMYFUNCTION("""COMPUTED_VALUE"""),"+ 0,5 %")</f>
        <v>+ 0,5 %</v>
      </c>
      <c r="D120" s="1" t="str">
        <f>IFERROR(__xludf.DUMMYFUNCTION("""COMPUTED_VALUE"""),"+ 1,2 %")</f>
        <v>+ 1,2 %</v>
      </c>
      <c r="E120" s="1" t="str">
        <f>IFERROR(__xludf.DUMMYFUNCTION("""COMPUTED_VALUE"""),"+ 3,9 %")</f>
        <v>+ 3,9 %</v>
      </c>
    </row>
    <row r="121">
      <c r="A121" s="2">
        <f>IFERROR(__xludf.DUMMYFUNCTION("""COMPUTED_VALUE"""),42552.0)</f>
        <v>42552</v>
      </c>
      <c r="B121" s="1" t="str">
        <f>IFERROR(__xludf.DUMMYFUNCTION("""COMPUTED_VALUE"""),"1.392 €/m2")</f>
        <v>1.392 €/m2</v>
      </c>
      <c r="C121" s="1" t="str">
        <f>IFERROR(__xludf.DUMMYFUNCTION("""COMPUTED_VALUE"""),"+ 1,2 %")</f>
        <v>+ 1,2 %</v>
      </c>
      <c r="D121" s="1" t="str">
        <f>IFERROR(__xludf.DUMMYFUNCTION("""COMPUTED_VALUE"""),"+ 1,9 %")</f>
        <v>+ 1,9 %</v>
      </c>
      <c r="E121" s="1" t="str">
        <f>IFERROR(__xludf.DUMMYFUNCTION("""COMPUTED_VALUE"""),"- 0,5 %")</f>
        <v>- 0,5 %</v>
      </c>
    </row>
    <row r="122">
      <c r="A122" s="2">
        <f>IFERROR(__xludf.DUMMYFUNCTION("""COMPUTED_VALUE"""),42522.0)</f>
        <v>42522</v>
      </c>
      <c r="B122" s="1" t="str">
        <f>IFERROR(__xludf.DUMMYFUNCTION("""COMPUTED_VALUE"""),"1.375 €/m2")</f>
        <v>1.375 €/m2</v>
      </c>
      <c r="C122" s="1" t="str">
        <f>IFERROR(__xludf.DUMMYFUNCTION("""COMPUTED_VALUE"""),"- 0,5 %")</f>
        <v>- 0,5 %</v>
      </c>
      <c r="D122" s="1" t="str">
        <f>IFERROR(__xludf.DUMMYFUNCTION("""COMPUTED_VALUE"""),"+ 3,2 %")</f>
        <v>+ 3,2 %</v>
      </c>
      <c r="E122" s="1" t="str">
        <f>IFERROR(__xludf.DUMMYFUNCTION("""COMPUTED_VALUE"""),"- 0,8 %")</f>
        <v>- 0,8 %</v>
      </c>
    </row>
    <row r="123">
      <c r="A123" s="2">
        <f>IFERROR(__xludf.DUMMYFUNCTION("""COMPUTED_VALUE"""),42491.0)</f>
        <v>42491</v>
      </c>
      <c r="B123" s="1" t="str">
        <f>IFERROR(__xludf.DUMMYFUNCTION("""COMPUTED_VALUE"""),"1.383 €/m2")</f>
        <v>1.383 €/m2</v>
      </c>
      <c r="C123" s="1" t="str">
        <f>IFERROR(__xludf.DUMMYFUNCTION("""COMPUTED_VALUE"""),"+ 1,2 %")</f>
        <v>+ 1,2 %</v>
      </c>
      <c r="D123" s="1" t="str">
        <f>IFERROR(__xludf.DUMMYFUNCTION("""COMPUTED_VALUE"""),"+ 2,2 %")</f>
        <v>+ 2,2 %</v>
      </c>
      <c r="E123" s="1" t="str">
        <f>IFERROR(__xludf.DUMMYFUNCTION("""COMPUTED_VALUE"""),"+ 2,9 %")</f>
        <v>+ 2,9 %</v>
      </c>
    </row>
    <row r="124">
      <c r="A124" s="2">
        <f>IFERROR(__xludf.DUMMYFUNCTION("""COMPUTED_VALUE"""),42461.0)</f>
        <v>42461</v>
      </c>
      <c r="B124" s="1" t="str">
        <f>IFERROR(__xludf.DUMMYFUNCTION("""COMPUTED_VALUE"""),"1.366 €/m2")</f>
        <v>1.366 €/m2</v>
      </c>
      <c r="C124" s="1" t="str">
        <f>IFERROR(__xludf.DUMMYFUNCTION("""COMPUTED_VALUE"""),"+ 2,5 %")</f>
        <v>+ 2,5 %</v>
      </c>
      <c r="D124" s="1" t="str">
        <f>IFERROR(__xludf.DUMMYFUNCTION("""COMPUTED_VALUE"""),"+ 1,0 %")</f>
        <v>+ 1,0 %</v>
      </c>
      <c r="E124" s="1" t="str">
        <f>IFERROR(__xludf.DUMMYFUNCTION("""COMPUTED_VALUE"""),"- 1,4 %")</f>
        <v>- 1,4 %</v>
      </c>
    </row>
    <row r="125">
      <c r="A125" s="2">
        <f>IFERROR(__xludf.DUMMYFUNCTION("""COMPUTED_VALUE"""),42430.0)</f>
        <v>42430</v>
      </c>
      <c r="B125" s="1" t="str">
        <f>IFERROR(__xludf.DUMMYFUNCTION("""COMPUTED_VALUE"""),"1.333 €/m2")</f>
        <v>1.333 €/m2</v>
      </c>
      <c r="C125" s="1" t="str">
        <f>IFERROR(__xludf.DUMMYFUNCTION("""COMPUTED_VALUE"""),"- 1,5 %")</f>
        <v>- 1,5 %</v>
      </c>
      <c r="D125" s="1" t="str">
        <f>IFERROR(__xludf.DUMMYFUNCTION("""COMPUTED_VALUE"""),"- 1,7 %")</f>
        <v>- 1,7 %</v>
      </c>
      <c r="E125" s="1" t="str">
        <f>IFERROR(__xludf.DUMMYFUNCTION("""COMPUTED_VALUE"""),"- 2,8 %")</f>
        <v>- 2,8 %</v>
      </c>
    </row>
    <row r="126">
      <c r="A126" s="2">
        <f>IFERROR(__xludf.DUMMYFUNCTION("""COMPUTED_VALUE"""),42401.0)</f>
        <v>42401</v>
      </c>
      <c r="B126" s="1" t="str">
        <f>IFERROR(__xludf.DUMMYFUNCTION("""COMPUTED_VALUE"""),"1.354 €/m2")</f>
        <v>1.354 €/m2</v>
      </c>
      <c r="C126" s="1" t="str">
        <f>IFERROR(__xludf.DUMMYFUNCTION("""COMPUTED_VALUE"""),"0,0 %")</f>
        <v>0,0 %</v>
      </c>
      <c r="D126" s="1" t="str">
        <f>IFERROR(__xludf.DUMMYFUNCTION("""COMPUTED_VALUE"""),"- 2,4 %")</f>
        <v>- 2,4 %</v>
      </c>
      <c r="E126" s="1" t="str">
        <f>IFERROR(__xludf.DUMMYFUNCTION("""COMPUTED_VALUE"""),"- 2,5 %")</f>
        <v>- 2,5 %</v>
      </c>
    </row>
    <row r="127">
      <c r="A127" s="2">
        <f>IFERROR(__xludf.DUMMYFUNCTION("""COMPUTED_VALUE"""),42370.0)</f>
        <v>42370</v>
      </c>
      <c r="B127" s="1" t="str">
        <f>IFERROR(__xludf.DUMMYFUNCTION("""COMPUTED_VALUE"""),"1.353 €/m2")</f>
        <v>1.353 €/m2</v>
      </c>
      <c r="C127" s="1" t="str">
        <f>IFERROR(__xludf.DUMMYFUNCTION("""COMPUTED_VALUE"""),"- 0,2 %")</f>
        <v>- 0,2 %</v>
      </c>
      <c r="D127" s="1" t="str">
        <f>IFERROR(__xludf.DUMMYFUNCTION("""COMPUTED_VALUE"""),"- 1,9 %")</f>
        <v>- 1,9 %</v>
      </c>
      <c r="E127" s="1" t="str">
        <f>IFERROR(__xludf.DUMMYFUNCTION("""COMPUTED_VALUE"""),"- 2,2 %")</f>
        <v>- 2,2 %</v>
      </c>
    </row>
    <row r="128">
      <c r="A128" s="2">
        <f>IFERROR(__xludf.DUMMYFUNCTION("""COMPUTED_VALUE"""),42339.0)</f>
        <v>42339</v>
      </c>
      <c r="B128" s="1" t="str">
        <f>IFERROR(__xludf.DUMMYFUNCTION("""COMPUTED_VALUE"""),"1.356 €/m2")</f>
        <v>1.356 €/m2</v>
      </c>
      <c r="C128" s="1" t="str">
        <f>IFERROR(__xludf.DUMMYFUNCTION("""COMPUTED_VALUE"""),"- 2,3 %")</f>
        <v>- 2,3 %</v>
      </c>
      <c r="D128" s="1" t="str">
        <f>IFERROR(__xludf.DUMMYFUNCTION("""COMPUTED_VALUE"""),"+ 1,5 %")</f>
        <v>+ 1,5 %</v>
      </c>
      <c r="E128" s="1" t="str">
        <f>IFERROR(__xludf.DUMMYFUNCTION("""COMPUTED_VALUE"""),"- 0,7 %")</f>
        <v>- 0,7 %</v>
      </c>
    </row>
    <row r="129">
      <c r="A129" s="2">
        <f>IFERROR(__xludf.DUMMYFUNCTION("""COMPUTED_VALUE"""),42309.0)</f>
        <v>42309</v>
      </c>
      <c r="B129" s="1" t="str">
        <f>IFERROR(__xludf.DUMMYFUNCTION("""COMPUTED_VALUE"""),"1.387 €/m2")</f>
        <v>1.387 €/m2</v>
      </c>
      <c r="C129" s="1" t="str">
        <f>IFERROR(__xludf.DUMMYFUNCTION("""COMPUTED_VALUE"""),"+ 0,6 %")</f>
        <v>+ 0,6 %</v>
      </c>
      <c r="D129" s="1" t="str">
        <f>IFERROR(__xludf.DUMMYFUNCTION("""COMPUTED_VALUE"""),"+ 3,0 %")</f>
        <v>+ 3,0 %</v>
      </c>
      <c r="E129" s="1" t="str">
        <f>IFERROR(__xludf.DUMMYFUNCTION("""COMPUTED_VALUE"""),"+ 3,3 %")</f>
        <v>+ 3,3 %</v>
      </c>
    </row>
    <row r="130">
      <c r="A130" s="2">
        <f>IFERROR(__xludf.DUMMYFUNCTION("""COMPUTED_VALUE"""),42278.0)</f>
        <v>42278</v>
      </c>
      <c r="B130" s="1" t="str">
        <f>IFERROR(__xludf.DUMMYFUNCTION("""COMPUTED_VALUE"""),"1.379 €/m2")</f>
        <v>1.379 €/m2</v>
      </c>
      <c r="C130" s="1" t="str">
        <f>IFERROR(__xludf.DUMMYFUNCTION("""COMPUTED_VALUE"""),"+ 3,2 %")</f>
        <v>+ 3,2 %</v>
      </c>
      <c r="D130" s="1" t="str">
        <f>IFERROR(__xludf.DUMMYFUNCTION("""COMPUTED_VALUE"""),"- 1,4 %")</f>
        <v>- 1,4 %</v>
      </c>
      <c r="E130" s="1" t="str">
        <f>IFERROR(__xludf.DUMMYFUNCTION("""COMPUTED_VALUE"""),"+ 10,2 %")</f>
        <v>+ 10,2 %</v>
      </c>
    </row>
    <row r="131">
      <c r="A131" s="2">
        <f>IFERROR(__xludf.DUMMYFUNCTION("""COMPUTED_VALUE"""),42248.0)</f>
        <v>42248</v>
      </c>
      <c r="B131" s="1" t="str">
        <f>IFERROR(__xludf.DUMMYFUNCTION("""COMPUTED_VALUE"""),"1.336 €/m2")</f>
        <v>1.336 €/m2</v>
      </c>
      <c r="C131" s="1" t="str">
        <f>IFERROR(__xludf.DUMMYFUNCTION("""COMPUTED_VALUE"""),"- 0,8 %")</f>
        <v>- 0,8 %</v>
      </c>
      <c r="D131" s="1" t="str">
        <f>IFERROR(__xludf.DUMMYFUNCTION("""COMPUTED_VALUE"""),"- 3,6 %")</f>
        <v>- 3,6 %</v>
      </c>
      <c r="E131" s="1" t="str">
        <f>IFERROR(__xludf.DUMMYFUNCTION("""COMPUTED_VALUE"""),"+ 6,7 %")</f>
        <v>+ 6,7 %</v>
      </c>
    </row>
    <row r="132">
      <c r="A132" s="2">
        <f>IFERROR(__xludf.DUMMYFUNCTION("""COMPUTED_VALUE"""),42217.0)</f>
        <v>42217</v>
      </c>
      <c r="B132" s="1" t="str">
        <f>IFERROR(__xludf.DUMMYFUNCTION("""COMPUTED_VALUE"""),"1.347 €/m2")</f>
        <v>1.347 €/m2</v>
      </c>
      <c r="C132" s="1" t="str">
        <f>IFERROR(__xludf.DUMMYFUNCTION("""COMPUTED_VALUE"""),"- 3,8 %")</f>
        <v>- 3,8 %</v>
      </c>
      <c r="D132" s="1" t="str">
        <f>IFERROR(__xludf.DUMMYFUNCTION("""COMPUTED_VALUE"""),"+ 0,2 %")</f>
        <v>+ 0,2 %</v>
      </c>
      <c r="E132" s="1" t="str">
        <f>IFERROR(__xludf.DUMMYFUNCTION("""COMPUTED_VALUE"""),"+ 7,7 %")</f>
        <v>+ 7,7 %</v>
      </c>
    </row>
    <row r="133">
      <c r="A133" s="2">
        <f>IFERROR(__xludf.DUMMYFUNCTION("""COMPUTED_VALUE"""),42186.0)</f>
        <v>42186</v>
      </c>
      <c r="B133" s="1" t="str">
        <f>IFERROR(__xludf.DUMMYFUNCTION("""COMPUTED_VALUE"""),"1.399 €/m2")</f>
        <v>1.399 €/m2</v>
      </c>
      <c r="C133" s="1" t="str">
        <f>IFERROR(__xludf.DUMMYFUNCTION("""COMPUTED_VALUE"""),"+ 1,0 %")</f>
        <v>+ 1,0 %</v>
      </c>
      <c r="D133" s="1" t="str">
        <f>IFERROR(__xludf.DUMMYFUNCTION("""COMPUTED_VALUE"""),"+ 1,0 %")</f>
        <v>+ 1,0 %</v>
      </c>
      <c r="E133" s="1" t="str">
        <f>IFERROR(__xludf.DUMMYFUNCTION("""COMPUTED_VALUE"""),"+ 10,7 %")</f>
        <v>+ 10,7 %</v>
      </c>
    </row>
    <row r="134">
      <c r="A134" s="2">
        <f>IFERROR(__xludf.DUMMYFUNCTION("""COMPUTED_VALUE"""),42156.0)</f>
        <v>42156</v>
      </c>
      <c r="B134" s="1" t="str">
        <f>IFERROR(__xludf.DUMMYFUNCTION("""COMPUTED_VALUE"""),"1.386 €/m2")</f>
        <v>1.386 €/m2</v>
      </c>
      <c r="C134" s="1" t="str">
        <f>IFERROR(__xludf.DUMMYFUNCTION("""COMPUTED_VALUE"""),"+ 3,1 %")</f>
        <v>+ 3,1 %</v>
      </c>
      <c r="D134" s="1" t="str">
        <f>IFERROR(__xludf.DUMMYFUNCTION("""COMPUTED_VALUE"""),"+ 1,1 %")</f>
        <v>+ 1,1 %</v>
      </c>
      <c r="E134" s="1" t="str">
        <f>IFERROR(__xludf.DUMMYFUNCTION("""COMPUTED_VALUE"""),"+ 8,3 %")</f>
        <v>+ 8,3 %</v>
      </c>
    </row>
    <row r="135">
      <c r="A135" s="2">
        <f>IFERROR(__xludf.DUMMYFUNCTION("""COMPUTED_VALUE"""),42125.0)</f>
        <v>42125</v>
      </c>
      <c r="B135" s="1" t="str">
        <f>IFERROR(__xludf.DUMMYFUNCTION("""COMPUTED_VALUE"""),"1.344 €/m2")</f>
        <v>1.344 €/m2</v>
      </c>
      <c r="C135" s="1" t="str">
        <f>IFERROR(__xludf.DUMMYFUNCTION("""COMPUTED_VALUE"""),"- 3,0 %")</f>
        <v>- 3,0 %</v>
      </c>
      <c r="D135" s="1" t="str">
        <f>IFERROR(__xludf.DUMMYFUNCTION("""COMPUTED_VALUE"""),"- 3,2 %")</f>
        <v>- 3,2 %</v>
      </c>
      <c r="E135" s="1" t="str">
        <f>IFERROR(__xludf.DUMMYFUNCTION("""COMPUTED_VALUE"""),"+ 3,2 %")</f>
        <v>+ 3,2 %</v>
      </c>
    </row>
    <row r="136">
      <c r="A136" s="2">
        <f>IFERROR(__xludf.DUMMYFUNCTION("""COMPUTED_VALUE"""),42095.0)</f>
        <v>42095</v>
      </c>
      <c r="B136" s="1" t="str">
        <f>IFERROR(__xludf.DUMMYFUNCTION("""COMPUTED_VALUE"""),"1.386 €/m2")</f>
        <v>1.386 €/m2</v>
      </c>
      <c r="C136" s="1" t="str">
        <f>IFERROR(__xludf.DUMMYFUNCTION("""COMPUTED_VALUE"""),"+ 1,0 %")</f>
        <v>+ 1,0 %</v>
      </c>
      <c r="D136" s="1" t="str">
        <f>IFERROR(__xludf.DUMMYFUNCTION("""COMPUTED_VALUE"""),"+ 0,1 %")</f>
        <v>+ 0,1 %</v>
      </c>
      <c r="E136" s="1" t="str">
        <f>IFERROR(__xludf.DUMMYFUNCTION("""COMPUTED_VALUE"""),"+ 8,5 %")</f>
        <v>+ 8,5 %</v>
      </c>
    </row>
    <row r="137">
      <c r="A137" s="2">
        <f>IFERROR(__xludf.DUMMYFUNCTION("""COMPUTED_VALUE"""),42064.0)</f>
        <v>42064</v>
      </c>
      <c r="B137" s="1" t="str">
        <f>IFERROR(__xludf.DUMMYFUNCTION("""COMPUTED_VALUE"""),"1.371 €/m2")</f>
        <v>1.371 €/m2</v>
      </c>
      <c r="C137" s="1" t="str">
        <f>IFERROR(__xludf.DUMMYFUNCTION("""COMPUTED_VALUE"""),"- 1,2 %")</f>
        <v>- 1,2 %</v>
      </c>
      <c r="D137" s="1" t="str">
        <f>IFERROR(__xludf.DUMMYFUNCTION("""COMPUTED_VALUE"""),"+ 0,4 %")</f>
        <v>+ 0,4 %</v>
      </c>
      <c r="E137" s="1" t="str">
        <f>IFERROR(__xludf.DUMMYFUNCTION("""COMPUTED_VALUE"""),"+ 7,4 %")</f>
        <v>+ 7,4 %</v>
      </c>
    </row>
    <row r="138">
      <c r="A138" s="2">
        <f>IFERROR(__xludf.DUMMYFUNCTION("""COMPUTED_VALUE"""),42036.0)</f>
        <v>42036</v>
      </c>
      <c r="B138" s="1" t="str">
        <f>IFERROR(__xludf.DUMMYFUNCTION("""COMPUTED_VALUE"""),"1.388 €/m2")</f>
        <v>1.388 €/m2</v>
      </c>
      <c r="C138" s="1" t="str">
        <f>IFERROR(__xludf.DUMMYFUNCTION("""COMPUTED_VALUE"""),"+ 0,4 %")</f>
        <v>+ 0,4 %</v>
      </c>
      <c r="D138" s="1" t="str">
        <f>IFERROR(__xludf.DUMMYFUNCTION("""COMPUTED_VALUE"""),"+ 3,4 %")</f>
        <v>+ 3,4 %</v>
      </c>
      <c r="E138" s="1" t="str">
        <f>IFERROR(__xludf.DUMMYFUNCTION("""COMPUTED_VALUE"""),"+ 4,0 %")</f>
        <v>+ 4,0 %</v>
      </c>
    </row>
    <row r="139">
      <c r="A139" s="2">
        <f>IFERROR(__xludf.DUMMYFUNCTION("""COMPUTED_VALUE"""),42005.0)</f>
        <v>42005</v>
      </c>
      <c r="B139" s="1" t="str">
        <f>IFERROR(__xludf.DUMMYFUNCTION("""COMPUTED_VALUE"""),"1.384 €/m2")</f>
        <v>1.384 €/m2</v>
      </c>
      <c r="C139" s="1" t="str">
        <f>IFERROR(__xludf.DUMMYFUNCTION("""COMPUTED_VALUE"""),"+ 1,3 %")</f>
        <v>+ 1,3 %</v>
      </c>
      <c r="D139" s="1" t="str">
        <f>IFERROR(__xludf.DUMMYFUNCTION("""COMPUTED_VALUE"""),"+ 10,5 %")</f>
        <v>+ 10,5 %</v>
      </c>
      <c r="E139" s="1" t="str">
        <f>IFERROR(__xludf.DUMMYFUNCTION("""COMPUTED_VALUE"""),"+ 1,4 %")</f>
        <v>+ 1,4 %</v>
      </c>
    </row>
    <row r="140">
      <c r="A140" s="2">
        <f>IFERROR(__xludf.DUMMYFUNCTION("""COMPUTED_VALUE"""),41974.0)</f>
        <v>41974</v>
      </c>
      <c r="B140" s="1" t="str">
        <f>IFERROR(__xludf.DUMMYFUNCTION("""COMPUTED_VALUE"""),"1.365 €/m2")</f>
        <v>1.365 €/m2</v>
      </c>
      <c r="C140" s="1" t="str">
        <f>IFERROR(__xludf.DUMMYFUNCTION("""COMPUTED_VALUE"""),"+ 1,7 %")</f>
        <v>+ 1,7 %</v>
      </c>
      <c r="D140" s="1" t="str">
        <f>IFERROR(__xludf.DUMMYFUNCTION("""COMPUTED_VALUE"""),"+ 9,0 %")</f>
        <v>+ 9,0 %</v>
      </c>
      <c r="E140" s="1" t="str">
        <f>IFERROR(__xludf.DUMMYFUNCTION("""COMPUTED_VALUE"""),"- 5,1 %")</f>
        <v>- 5,1 %</v>
      </c>
    </row>
    <row r="141">
      <c r="A141" s="2">
        <f>IFERROR(__xludf.DUMMYFUNCTION("""COMPUTED_VALUE"""),41944.0)</f>
        <v>41944</v>
      </c>
      <c r="B141" s="1" t="str">
        <f>IFERROR(__xludf.DUMMYFUNCTION("""COMPUTED_VALUE"""),"1.343 €/m2")</f>
        <v>1.343 €/m2</v>
      </c>
      <c r="C141" s="1" t="str">
        <f>IFERROR(__xludf.DUMMYFUNCTION("""COMPUTED_VALUE"""),"+ 7,2 %")</f>
        <v>+ 7,2 %</v>
      </c>
      <c r="D141" s="1" t="str">
        <f>IFERROR(__xludf.DUMMYFUNCTION("""COMPUTED_VALUE"""),"+ 7,4 %")</f>
        <v>+ 7,4 %</v>
      </c>
      <c r="E141" s="1" t="str">
        <f>IFERROR(__xludf.DUMMYFUNCTION("""COMPUTED_VALUE"""),"- 9,1 %")</f>
        <v>- 9,1 %</v>
      </c>
    </row>
    <row r="142">
      <c r="A142" s="2">
        <f>IFERROR(__xludf.DUMMYFUNCTION("""COMPUTED_VALUE"""),41913.0)</f>
        <v>41913</v>
      </c>
      <c r="B142" s="1" t="str">
        <f>IFERROR(__xludf.DUMMYFUNCTION("""COMPUTED_VALUE"""),"1.252 €/m2")</f>
        <v>1.252 €/m2</v>
      </c>
      <c r="C142" s="1" t="str">
        <f>IFERROR(__xludf.DUMMYFUNCTION("""COMPUTED_VALUE"""),"0,0 %")</f>
        <v>0,0 %</v>
      </c>
      <c r="D142" s="1" t="str">
        <f>IFERROR(__xludf.DUMMYFUNCTION("""COMPUTED_VALUE"""),"- 1,0 %")</f>
        <v>- 1,0 %</v>
      </c>
      <c r="E142" s="1" t="str">
        <f>IFERROR(__xludf.DUMMYFUNCTION("""COMPUTED_VALUE"""),"- 16,2 %")</f>
        <v>- 16,2 %</v>
      </c>
    </row>
    <row r="143">
      <c r="A143" s="2">
        <f>IFERROR(__xludf.DUMMYFUNCTION("""COMPUTED_VALUE"""),41883.0)</f>
        <v>41883</v>
      </c>
      <c r="B143" s="1" t="str">
        <f>IFERROR(__xludf.DUMMYFUNCTION("""COMPUTED_VALUE"""),"1.252 €/m2")</f>
        <v>1.252 €/m2</v>
      </c>
      <c r="C143" s="1" t="str">
        <f>IFERROR(__xludf.DUMMYFUNCTION("""COMPUTED_VALUE"""),"+ 0,2 %")</f>
        <v>+ 0,2 %</v>
      </c>
      <c r="D143" s="1" t="str">
        <f>IFERROR(__xludf.DUMMYFUNCTION("""COMPUTED_VALUE"""),"- 2,2 %")</f>
        <v>- 2,2 %</v>
      </c>
      <c r="E143" s="1" t="str">
        <f>IFERROR(__xludf.DUMMYFUNCTION("""COMPUTED_VALUE"""),"- 16,5 %")</f>
        <v>- 16,5 %</v>
      </c>
    </row>
    <row r="144">
      <c r="A144" s="2">
        <f>IFERROR(__xludf.DUMMYFUNCTION("""COMPUTED_VALUE"""),41852.0)</f>
        <v>41852</v>
      </c>
      <c r="B144" s="1" t="str">
        <f>IFERROR(__xludf.DUMMYFUNCTION("""COMPUTED_VALUE"""),"1.250 €/m2")</f>
        <v>1.250 €/m2</v>
      </c>
      <c r="C144" s="1" t="str">
        <f>IFERROR(__xludf.DUMMYFUNCTION("""COMPUTED_VALUE"""),"- 1,1 %")</f>
        <v>- 1,1 %</v>
      </c>
      <c r="D144" s="1" t="str">
        <f>IFERROR(__xludf.DUMMYFUNCTION("""COMPUTED_VALUE"""),"- 4,1 %")</f>
        <v>- 4,1 %</v>
      </c>
      <c r="E144" s="1" t="str">
        <f>IFERROR(__xludf.DUMMYFUNCTION("""COMPUTED_VALUE"""),"- 16,1 %")</f>
        <v>- 16,1 %</v>
      </c>
    </row>
    <row r="145">
      <c r="A145" s="2">
        <f>IFERROR(__xludf.DUMMYFUNCTION("""COMPUTED_VALUE"""),41821.0)</f>
        <v>41821</v>
      </c>
      <c r="B145" s="1" t="str">
        <f>IFERROR(__xludf.DUMMYFUNCTION("""COMPUTED_VALUE"""),"1.265 €/m2")</f>
        <v>1.265 €/m2</v>
      </c>
      <c r="C145" s="1" t="str">
        <f>IFERROR(__xludf.DUMMYFUNCTION("""COMPUTED_VALUE"""),"- 1,2 %")</f>
        <v>- 1,2 %</v>
      </c>
      <c r="D145" s="1" t="str">
        <f>IFERROR(__xludf.DUMMYFUNCTION("""COMPUTED_VALUE"""),"- 1,0 %")</f>
        <v>- 1,0 %</v>
      </c>
      <c r="E145" s="1" t="str">
        <f>IFERROR(__xludf.DUMMYFUNCTION("""COMPUTED_VALUE"""),"- 16,5 %")</f>
        <v>- 16,5 %</v>
      </c>
    </row>
    <row r="146">
      <c r="A146" s="2">
        <f>IFERROR(__xludf.DUMMYFUNCTION("""COMPUTED_VALUE"""),41791.0)</f>
        <v>41791</v>
      </c>
      <c r="B146" s="1" t="str">
        <f>IFERROR(__xludf.DUMMYFUNCTION("""COMPUTED_VALUE"""),"1.280 €/m2")</f>
        <v>1.280 €/m2</v>
      </c>
      <c r="C146" s="1" t="str">
        <f>IFERROR(__xludf.DUMMYFUNCTION("""COMPUTED_VALUE"""),"- 1,8 %")</f>
        <v>- 1,8 %</v>
      </c>
      <c r="D146" s="1" t="str">
        <f>IFERROR(__xludf.DUMMYFUNCTION("""COMPUTED_VALUE"""),"+ 0,3 %")</f>
        <v>+ 0,3 %</v>
      </c>
      <c r="E146" s="1" t="str">
        <f>IFERROR(__xludf.DUMMYFUNCTION("""COMPUTED_VALUE"""),"- 14,8 %")</f>
        <v>- 14,8 %</v>
      </c>
    </row>
    <row r="147">
      <c r="A147" s="2">
        <f>IFERROR(__xludf.DUMMYFUNCTION("""COMPUTED_VALUE"""),41760.0)</f>
        <v>41760</v>
      </c>
      <c r="B147" s="1" t="str">
        <f>IFERROR(__xludf.DUMMYFUNCTION("""COMPUTED_VALUE"""),"1.303 €/m2")</f>
        <v>1.303 €/m2</v>
      </c>
      <c r="C147" s="1" t="str">
        <f>IFERROR(__xludf.DUMMYFUNCTION("""COMPUTED_VALUE"""),"+ 2,1 %")</f>
        <v>+ 2,1 %</v>
      </c>
      <c r="D147" s="1" t="str">
        <f>IFERROR(__xludf.DUMMYFUNCTION("""COMPUTED_VALUE"""),"- 2,4 %")</f>
        <v>- 2,4 %</v>
      </c>
      <c r="E147" s="1" t="str">
        <f>IFERROR(__xludf.DUMMYFUNCTION("""COMPUTED_VALUE"""),"- 13,7 %")</f>
        <v>- 13,7 %</v>
      </c>
    </row>
    <row r="148">
      <c r="A148" s="2">
        <f>IFERROR(__xludf.DUMMYFUNCTION("""COMPUTED_VALUE"""),41730.0)</f>
        <v>41730</v>
      </c>
      <c r="B148" s="1" t="str">
        <f>IFERROR(__xludf.DUMMYFUNCTION("""COMPUTED_VALUE"""),"1.277 €/m2")</f>
        <v>1.277 €/m2</v>
      </c>
      <c r="C148" s="1" t="str">
        <f>IFERROR(__xludf.DUMMYFUNCTION("""COMPUTED_VALUE"""),"0,0 %")</f>
        <v>0,0 %</v>
      </c>
      <c r="D148" s="1" t="str">
        <f>IFERROR(__xludf.DUMMYFUNCTION("""COMPUTED_VALUE"""),"- 6,4 %")</f>
        <v>- 6,4 %</v>
      </c>
      <c r="E148" s="1" t="str">
        <f>IFERROR(__xludf.DUMMYFUNCTION("""COMPUTED_VALUE"""),"- 13,0 %")</f>
        <v>- 13,0 %</v>
      </c>
    </row>
    <row r="149">
      <c r="A149" s="2">
        <f>IFERROR(__xludf.DUMMYFUNCTION("""COMPUTED_VALUE"""),41699.0)</f>
        <v>41699</v>
      </c>
      <c r="B149" s="1" t="str">
        <f>IFERROR(__xludf.DUMMYFUNCTION("""COMPUTED_VALUE"""),"1.276 €/m2")</f>
        <v>1.276 €/m2</v>
      </c>
      <c r="C149" s="1" t="str">
        <f>IFERROR(__xludf.DUMMYFUNCTION("""COMPUTED_VALUE"""),"- 4,4 %")</f>
        <v>- 4,4 %</v>
      </c>
      <c r="D149" s="1" t="str">
        <f>IFERROR(__xludf.DUMMYFUNCTION("""COMPUTED_VALUE"""),"- 11,3 %")</f>
        <v>- 11,3 %</v>
      </c>
      <c r="E149" s="1" t="str">
        <f>IFERROR(__xludf.DUMMYFUNCTION("""COMPUTED_VALUE"""),"- 14,0 %")</f>
        <v>- 14,0 %</v>
      </c>
    </row>
    <row r="150">
      <c r="A150" s="2">
        <f>IFERROR(__xludf.DUMMYFUNCTION("""COMPUTED_VALUE"""),41671.0)</f>
        <v>41671</v>
      </c>
      <c r="B150" s="1" t="str">
        <f>IFERROR(__xludf.DUMMYFUNCTION("""COMPUTED_VALUE"""),"1.335 €/m2")</f>
        <v>1.335 €/m2</v>
      </c>
      <c r="C150" s="1" t="str">
        <f>IFERROR(__xludf.DUMMYFUNCTION("""COMPUTED_VALUE"""),"- 2,2 %")</f>
        <v>- 2,2 %</v>
      </c>
      <c r="D150" s="1" t="str">
        <f>IFERROR(__xludf.DUMMYFUNCTION("""COMPUTED_VALUE"""),"- 9,7 %")</f>
        <v>- 9,7 %</v>
      </c>
      <c r="E150" s="1" t="str">
        <f>IFERROR(__xludf.DUMMYFUNCTION("""COMPUTED_VALUE"""),"- 11,4 %")</f>
        <v>- 11,4 %</v>
      </c>
    </row>
    <row r="151">
      <c r="A151" s="2">
        <f>IFERROR(__xludf.DUMMYFUNCTION("""COMPUTED_VALUE"""),41640.0)</f>
        <v>41640</v>
      </c>
      <c r="B151" s="1" t="str">
        <f>IFERROR(__xludf.DUMMYFUNCTION("""COMPUTED_VALUE"""),"1.364 €/m2")</f>
        <v>1.364 €/m2</v>
      </c>
      <c r="C151" s="1" t="str">
        <f>IFERROR(__xludf.DUMMYFUNCTION("""COMPUTED_VALUE"""),"- 5,2 %")</f>
        <v>- 5,2 %</v>
      </c>
      <c r="D151" s="1" t="str">
        <f>IFERROR(__xludf.DUMMYFUNCTION("""COMPUTED_VALUE"""),"- 8,7 %")</f>
        <v>- 8,7 %</v>
      </c>
      <c r="E151" s="1" t="str">
        <f>IFERROR(__xludf.DUMMYFUNCTION("""COMPUTED_VALUE"""),"- 10,2 %")</f>
        <v>- 10,2 %</v>
      </c>
    </row>
    <row r="152">
      <c r="A152" s="2">
        <f>IFERROR(__xludf.DUMMYFUNCTION("""COMPUTED_VALUE"""),41609.0)</f>
        <v>41609</v>
      </c>
      <c r="B152" s="1" t="str">
        <f>IFERROR(__xludf.DUMMYFUNCTION("""COMPUTED_VALUE"""),"1.438 €/m2")</f>
        <v>1.438 €/m2</v>
      </c>
      <c r="C152" s="1" t="str">
        <f>IFERROR(__xludf.DUMMYFUNCTION("""COMPUTED_VALUE"""),"- 2,7 %")</f>
        <v>- 2,7 %</v>
      </c>
      <c r="D152" s="1" t="str">
        <f>IFERROR(__xludf.DUMMYFUNCTION("""COMPUTED_VALUE"""),"- 4,1 %")</f>
        <v>- 4,1 %</v>
      </c>
      <c r="E152" s="1" t="str">
        <f>IFERROR(__xludf.DUMMYFUNCTION("""COMPUTED_VALUE"""),"- 7,0 %")</f>
        <v>- 7,0 %</v>
      </c>
    </row>
    <row r="153">
      <c r="A153" s="2">
        <f>IFERROR(__xludf.DUMMYFUNCTION("""COMPUTED_VALUE"""),41579.0)</f>
        <v>41579</v>
      </c>
      <c r="B153" s="1" t="str">
        <f>IFERROR(__xludf.DUMMYFUNCTION("""COMPUTED_VALUE"""),"1.478 €/m2")</f>
        <v>1.478 €/m2</v>
      </c>
      <c r="C153" s="1" t="str">
        <f>IFERROR(__xludf.DUMMYFUNCTION("""COMPUTED_VALUE"""),"- 1,1 %")</f>
        <v>- 1,1 %</v>
      </c>
      <c r="D153" s="1" t="str">
        <f>IFERROR(__xludf.DUMMYFUNCTION("""COMPUTED_VALUE"""),"- 0,9 %")</f>
        <v>- 0,9 %</v>
      </c>
      <c r="E153" s="1" t="str">
        <f>IFERROR(__xludf.DUMMYFUNCTION("""COMPUTED_VALUE"""),"- 6,4 %")</f>
        <v>- 6,4 %</v>
      </c>
    </row>
    <row r="154">
      <c r="A154" s="2">
        <f>IFERROR(__xludf.DUMMYFUNCTION("""COMPUTED_VALUE"""),41548.0)</f>
        <v>41548</v>
      </c>
      <c r="B154" s="1" t="str">
        <f>IFERROR(__xludf.DUMMYFUNCTION("""COMPUTED_VALUE"""),"1.495 €/m2")</f>
        <v>1.495 €/m2</v>
      </c>
      <c r="C154" s="1" t="str">
        <f>IFERROR(__xludf.DUMMYFUNCTION("""COMPUTED_VALUE"""),"- 0,3 %")</f>
        <v>- 0,3 %</v>
      </c>
      <c r="D154" s="1" t="str">
        <f>IFERROR(__xludf.DUMMYFUNCTION("""COMPUTED_VALUE"""),"- 1,3 %")</f>
        <v>- 1,3 %</v>
      </c>
      <c r="E154" s="1" t="str">
        <f>IFERROR(__xludf.DUMMYFUNCTION("""COMPUTED_VALUE"""),"- 8,7 %")</f>
        <v>- 8,7 %</v>
      </c>
    </row>
    <row r="155">
      <c r="A155" s="2">
        <f>IFERROR(__xludf.DUMMYFUNCTION("""COMPUTED_VALUE"""),41518.0)</f>
        <v>41518</v>
      </c>
      <c r="B155" s="1" t="str">
        <f>IFERROR(__xludf.DUMMYFUNCTION("""COMPUTED_VALUE"""),"1.499 €/m2")</f>
        <v>1.499 €/m2</v>
      </c>
      <c r="C155" s="1" t="str">
        <f>IFERROR(__xludf.DUMMYFUNCTION("""COMPUTED_VALUE"""),"+ 0,6 %")</f>
        <v>+ 0,6 %</v>
      </c>
      <c r="D155" s="1" t="str">
        <f>IFERROR(__xludf.DUMMYFUNCTION("""COMPUTED_VALUE"""),"- 0,2 %")</f>
        <v>- 0,2 %</v>
      </c>
      <c r="E155" s="1" t="str">
        <f>IFERROR(__xludf.DUMMYFUNCTION("""COMPUTED_VALUE"""),"- 9,7 %")</f>
        <v>- 9,7 %</v>
      </c>
    </row>
    <row r="156">
      <c r="A156" s="2">
        <f>IFERROR(__xludf.DUMMYFUNCTION("""COMPUTED_VALUE"""),41487.0)</f>
        <v>41487</v>
      </c>
      <c r="B156" s="1" t="str">
        <f>IFERROR(__xludf.DUMMYFUNCTION("""COMPUTED_VALUE"""),"1.491 €/m2")</f>
        <v>1.491 €/m2</v>
      </c>
      <c r="C156" s="1" t="str">
        <f>IFERROR(__xludf.DUMMYFUNCTION("""COMPUTED_VALUE"""),"- 1,6 %")</f>
        <v>- 1,6 %</v>
      </c>
      <c r="D156" s="1" t="str">
        <f>IFERROR(__xludf.DUMMYFUNCTION("""COMPUTED_VALUE"""),"- 1,3 %")</f>
        <v>- 1,3 %</v>
      </c>
      <c r="E156" s="1" t="str">
        <f>IFERROR(__xludf.DUMMYFUNCTION("""COMPUTED_VALUE"""),"- 10,3 %")</f>
        <v>- 10,3 %</v>
      </c>
    </row>
    <row r="157">
      <c r="A157" s="2">
        <f>IFERROR(__xludf.DUMMYFUNCTION("""COMPUTED_VALUE"""),41456.0)</f>
        <v>41456</v>
      </c>
      <c r="B157" s="1" t="str">
        <f>IFERROR(__xludf.DUMMYFUNCTION("""COMPUTED_VALUE"""),"1.515 €/m2")</f>
        <v>1.515 €/m2</v>
      </c>
      <c r="C157" s="1" t="str">
        <f>IFERROR(__xludf.DUMMYFUNCTION("""COMPUTED_VALUE"""),"+ 0,8 %")</f>
        <v>+ 0,8 %</v>
      </c>
      <c r="D157" s="1" t="str">
        <f>IFERROR(__xludf.DUMMYFUNCTION("""COMPUTED_VALUE"""),"+ 3,2 %")</f>
        <v>+ 3,2 %</v>
      </c>
      <c r="E157" s="1" t="str">
        <f>IFERROR(__xludf.DUMMYFUNCTION("""COMPUTED_VALUE"""),"- 10,6 %")</f>
        <v>- 10,6 %</v>
      </c>
    </row>
    <row r="158">
      <c r="A158" s="2">
        <f>IFERROR(__xludf.DUMMYFUNCTION("""COMPUTED_VALUE"""),41426.0)</f>
        <v>41426</v>
      </c>
      <c r="B158" s="1" t="str">
        <f>IFERROR(__xludf.DUMMYFUNCTION("""COMPUTED_VALUE"""),"1.502 €/m2")</f>
        <v>1.502 €/m2</v>
      </c>
      <c r="C158" s="1" t="str">
        <f>IFERROR(__xludf.DUMMYFUNCTION("""COMPUTED_VALUE"""),"- 0,5 %")</f>
        <v>- 0,5 %</v>
      </c>
      <c r="D158" s="1" t="str">
        <f>IFERROR(__xludf.DUMMYFUNCTION("""COMPUTED_VALUE"""),"+ 1,3 %")</f>
        <v>+ 1,3 %</v>
      </c>
      <c r="E158" s="1" t="str">
        <f>IFERROR(__xludf.DUMMYFUNCTION("""COMPUTED_VALUE"""),"- 17,0 %")</f>
        <v>- 17,0 %</v>
      </c>
    </row>
    <row r="159">
      <c r="A159" s="2">
        <f>IFERROR(__xludf.DUMMYFUNCTION("""COMPUTED_VALUE"""),41395.0)</f>
        <v>41395</v>
      </c>
      <c r="B159" s="1" t="str">
        <f>IFERROR(__xludf.DUMMYFUNCTION("""COMPUTED_VALUE"""),"1.510 €/m2")</f>
        <v>1.510 €/m2</v>
      </c>
      <c r="C159" s="1" t="str">
        <f>IFERROR(__xludf.DUMMYFUNCTION("""COMPUTED_VALUE"""),"+ 2,9 %")</f>
        <v>+ 2,9 %</v>
      </c>
      <c r="D159" s="1" t="str">
        <f>IFERROR(__xludf.DUMMYFUNCTION("""COMPUTED_VALUE"""),"+ 0,3 %")</f>
        <v>+ 0,3 %</v>
      </c>
      <c r="E159" s="1" t="str">
        <f>IFERROR(__xludf.DUMMYFUNCTION("""COMPUTED_VALUE"""),"- 16,7 %")</f>
        <v>- 16,7 %</v>
      </c>
    </row>
    <row r="160">
      <c r="A160" s="2">
        <f>IFERROR(__xludf.DUMMYFUNCTION("""COMPUTED_VALUE"""),41365.0)</f>
        <v>41365</v>
      </c>
      <c r="B160" s="1" t="str">
        <f>IFERROR(__xludf.DUMMYFUNCTION("""COMPUTED_VALUE"""),"1.467 €/m2")</f>
        <v>1.467 €/m2</v>
      </c>
      <c r="C160" s="1" t="str">
        <f>IFERROR(__xludf.DUMMYFUNCTION("""COMPUTED_VALUE"""),"- 1,1 %")</f>
        <v>- 1,1 %</v>
      </c>
      <c r="D160" s="1" t="str">
        <f>IFERROR(__xludf.DUMMYFUNCTION("""COMPUTED_VALUE"""),"- 3,4 %")</f>
        <v>- 3,4 %</v>
      </c>
      <c r="E160" s="1" t="str">
        <f>IFERROR(__xludf.DUMMYFUNCTION("""COMPUTED_VALUE"""),"- 19,3 %")</f>
        <v>- 19,3 %</v>
      </c>
    </row>
    <row r="161">
      <c r="A161" s="2">
        <f>IFERROR(__xludf.DUMMYFUNCTION("""COMPUTED_VALUE"""),41334.0)</f>
        <v>41334</v>
      </c>
      <c r="B161" s="1" t="str">
        <f>IFERROR(__xludf.DUMMYFUNCTION("""COMPUTED_VALUE"""),"1.484 €/m2")</f>
        <v>1.484 €/m2</v>
      </c>
      <c r="C161" s="1" t="str">
        <f>IFERROR(__xludf.DUMMYFUNCTION("""COMPUTED_VALUE"""),"- 1,5 %")</f>
        <v>- 1,5 %</v>
      </c>
      <c r="D161" s="1" t="str">
        <f>IFERROR(__xludf.DUMMYFUNCTION("""COMPUTED_VALUE"""),"- 4,0 %")</f>
        <v>- 4,0 %</v>
      </c>
      <c r="E161" s="1" t="str">
        <f>IFERROR(__xludf.DUMMYFUNCTION("""COMPUTED_VALUE"""),"- 21,2 %")</f>
        <v>- 21,2 %</v>
      </c>
    </row>
    <row r="162">
      <c r="A162" s="2">
        <f>IFERROR(__xludf.DUMMYFUNCTION("""COMPUTED_VALUE"""),41306.0)</f>
        <v>41306</v>
      </c>
      <c r="B162" s="1" t="str">
        <f>IFERROR(__xludf.DUMMYFUNCTION("""COMPUTED_VALUE"""),"1.506 €/m2")</f>
        <v>1.506 €/m2</v>
      </c>
      <c r="C162" s="1" t="str">
        <f>IFERROR(__xludf.DUMMYFUNCTION("""COMPUTED_VALUE"""),"- 0,8 %")</f>
        <v>- 0,8 %</v>
      </c>
      <c r="D162" s="1" t="str">
        <f>IFERROR(__xludf.DUMMYFUNCTION("""COMPUTED_VALUE"""),"- 4,6 %")</f>
        <v>- 4,6 %</v>
      </c>
      <c r="E162" s="1" t="str">
        <f>IFERROR(__xludf.DUMMYFUNCTION("""COMPUTED_VALUE"""),"- 19,6 %")</f>
        <v>- 19,6 %</v>
      </c>
    </row>
    <row r="163">
      <c r="A163" s="2">
        <f>IFERROR(__xludf.DUMMYFUNCTION("""COMPUTED_VALUE"""),41275.0)</f>
        <v>41275</v>
      </c>
      <c r="B163" s="1" t="str">
        <f>IFERROR(__xludf.DUMMYFUNCTION("""COMPUTED_VALUE"""),"1.519 €/m2")</f>
        <v>1.519 €/m2</v>
      </c>
      <c r="C163" s="1" t="str">
        <f>IFERROR(__xludf.DUMMYFUNCTION("""COMPUTED_VALUE"""),"- 1,7 %")</f>
        <v>- 1,7 %</v>
      </c>
      <c r="D163" s="1" t="str">
        <f>IFERROR(__xludf.DUMMYFUNCTION("""COMPUTED_VALUE"""),"- 7,2 %")</f>
        <v>- 7,2 %</v>
      </c>
      <c r="E163" s="1" t="str">
        <f>IFERROR(__xludf.DUMMYFUNCTION("""COMPUTED_VALUE"""),"- 19,6 %")</f>
        <v>- 19,6 %</v>
      </c>
    </row>
    <row r="164">
      <c r="A164" s="2">
        <f>IFERROR(__xludf.DUMMYFUNCTION("""COMPUTED_VALUE"""),41244.0)</f>
        <v>41244</v>
      </c>
      <c r="B164" s="1" t="str">
        <f>IFERROR(__xludf.DUMMYFUNCTION("""COMPUTED_VALUE"""),"1.546 €/m2")</f>
        <v>1.546 €/m2</v>
      </c>
      <c r="C164" s="1" t="str">
        <f>IFERROR(__xludf.DUMMYFUNCTION("""COMPUTED_VALUE"""),"- 2,1 %")</f>
        <v>- 2,1 %</v>
      </c>
      <c r="D164" s="1" t="str">
        <f>IFERROR(__xludf.DUMMYFUNCTION("""COMPUTED_VALUE"""),"- 6,9 %")</f>
        <v>- 6,9 %</v>
      </c>
      <c r="E164" s="1" t="str">
        <f>IFERROR(__xludf.DUMMYFUNCTION("""COMPUTED_VALUE"""),"- 18,6 %")</f>
        <v>- 18,6 %</v>
      </c>
    </row>
    <row r="165">
      <c r="A165" s="2">
        <f>IFERROR(__xludf.DUMMYFUNCTION("""COMPUTED_VALUE"""),41214.0)</f>
        <v>41214</v>
      </c>
      <c r="B165" s="1" t="str">
        <f>IFERROR(__xludf.DUMMYFUNCTION("""COMPUTED_VALUE"""),"1.579 €/m2")</f>
        <v>1.579 €/m2</v>
      </c>
      <c r="C165" s="1" t="str">
        <f>IFERROR(__xludf.DUMMYFUNCTION("""COMPUTED_VALUE"""),"- 3,6 %")</f>
        <v>- 3,6 %</v>
      </c>
      <c r="D165" s="1" t="str">
        <f>IFERROR(__xludf.DUMMYFUNCTION("""COMPUTED_VALUE"""),"- 5,1 %")</f>
        <v>- 5,1 %</v>
      </c>
      <c r="E165" s="1" t="str">
        <f>IFERROR(__xludf.DUMMYFUNCTION("""COMPUTED_VALUE"""),"- 17,2 %")</f>
        <v>- 17,2 %</v>
      </c>
    </row>
    <row r="166">
      <c r="A166" s="2">
        <f>IFERROR(__xludf.DUMMYFUNCTION("""COMPUTED_VALUE"""),41183.0)</f>
        <v>41183</v>
      </c>
      <c r="B166" s="1" t="str">
        <f>IFERROR(__xludf.DUMMYFUNCTION("""COMPUTED_VALUE"""),"1.637 €/m2")</f>
        <v>1.637 €/m2</v>
      </c>
      <c r="C166" s="1" t="str">
        <f>IFERROR(__xludf.DUMMYFUNCTION("""COMPUTED_VALUE"""),"- 1,4 %")</f>
        <v>- 1,4 %</v>
      </c>
      <c r="D166" s="1" t="str">
        <f>IFERROR(__xludf.DUMMYFUNCTION("""COMPUTED_VALUE"""),"- 3,4 %")</f>
        <v>- 3,4 %</v>
      </c>
      <c r="E166" s="1" t="str">
        <f>IFERROR(__xludf.DUMMYFUNCTION("""COMPUTED_VALUE"""),"- 13,0 %")</f>
        <v>- 13,0 %</v>
      </c>
    </row>
    <row r="167">
      <c r="A167" s="2">
        <f>IFERROR(__xludf.DUMMYFUNCTION("""COMPUTED_VALUE"""),41153.0)</f>
        <v>41153</v>
      </c>
      <c r="B167" s="1" t="str">
        <f>IFERROR(__xludf.DUMMYFUNCTION("""COMPUTED_VALUE"""),"1.660 €/m2")</f>
        <v>1.660 €/m2</v>
      </c>
      <c r="C167" s="1" t="str">
        <f>IFERROR(__xludf.DUMMYFUNCTION("""COMPUTED_VALUE"""),"- 0,2 %")</f>
        <v>- 0,2 %</v>
      </c>
      <c r="D167" s="1" t="str">
        <f>IFERROR(__xludf.DUMMYFUNCTION("""COMPUTED_VALUE"""),"- 8,3 %")</f>
        <v>- 8,3 %</v>
      </c>
      <c r="E167" s="1" t="str">
        <f>IFERROR(__xludf.DUMMYFUNCTION("""COMPUTED_VALUE"""),"- 12,7 %")</f>
        <v>- 12,7 %</v>
      </c>
    </row>
    <row r="168">
      <c r="A168" s="2">
        <f>IFERROR(__xludf.DUMMYFUNCTION("""COMPUTED_VALUE"""),41122.0)</f>
        <v>41122</v>
      </c>
      <c r="B168" s="1" t="str">
        <f>IFERROR(__xludf.DUMMYFUNCTION("""COMPUTED_VALUE"""),"1.663 €/m2")</f>
        <v>1.663 €/m2</v>
      </c>
      <c r="C168" s="1" t="str">
        <f>IFERROR(__xludf.DUMMYFUNCTION("""COMPUTED_VALUE"""),"- 1,9 %")</f>
        <v>- 1,9 %</v>
      </c>
      <c r="D168" s="1" t="str">
        <f>IFERROR(__xludf.DUMMYFUNCTION("""COMPUTED_VALUE"""),"- 8,3 %")</f>
        <v>- 8,3 %</v>
      </c>
      <c r="E168" s="1" t="str">
        <f>IFERROR(__xludf.DUMMYFUNCTION("""COMPUTED_VALUE"""),"- 14,8 %")</f>
        <v>- 14,8 %</v>
      </c>
    </row>
    <row r="169">
      <c r="A169" s="2">
        <f>IFERROR(__xludf.DUMMYFUNCTION("""COMPUTED_VALUE"""),41091.0)</f>
        <v>41091</v>
      </c>
      <c r="B169" s="1" t="str">
        <f>IFERROR(__xludf.DUMMYFUNCTION("""COMPUTED_VALUE"""),"1.695 €/m2")</f>
        <v>1.695 €/m2</v>
      </c>
      <c r="C169" s="1" t="str">
        <f>IFERROR(__xludf.DUMMYFUNCTION("""COMPUTED_VALUE"""),"- 6,4 %")</f>
        <v>- 6,4 %</v>
      </c>
      <c r="D169" s="1" t="str">
        <f>IFERROR(__xludf.DUMMYFUNCTION("""COMPUTED_VALUE"""),"- 6,8 %")</f>
        <v>- 6,8 %</v>
      </c>
      <c r="E169" s="1" t="str">
        <f>IFERROR(__xludf.DUMMYFUNCTION("""COMPUTED_VALUE"""),"- 15,3 %")</f>
        <v>- 15,3 %</v>
      </c>
    </row>
    <row r="170">
      <c r="A170" s="2">
        <f>IFERROR(__xludf.DUMMYFUNCTION("""COMPUTED_VALUE"""),41061.0)</f>
        <v>41061</v>
      </c>
      <c r="B170" s="1" t="str">
        <f>IFERROR(__xludf.DUMMYFUNCTION("""COMPUTED_VALUE"""),"1.811 €/m2")</f>
        <v>1.811 €/m2</v>
      </c>
      <c r="C170" s="1" t="str">
        <f>IFERROR(__xludf.DUMMYFUNCTION("""COMPUTED_VALUE"""),"- 0,2 %")</f>
        <v>- 0,2 %</v>
      </c>
      <c r="D170" s="1" t="str">
        <f>IFERROR(__xludf.DUMMYFUNCTION("""COMPUTED_VALUE"""),"- 3,9 %")</f>
        <v>- 3,9 %</v>
      </c>
      <c r="E170" s="1" t="str">
        <f>IFERROR(__xludf.DUMMYFUNCTION("""COMPUTED_VALUE"""),"- 10,5 %")</f>
        <v>- 10,5 %</v>
      </c>
    </row>
    <row r="171">
      <c r="A171" s="2">
        <f>IFERROR(__xludf.DUMMYFUNCTION("""COMPUTED_VALUE"""),41030.0)</f>
        <v>41030</v>
      </c>
      <c r="B171" s="1" t="str">
        <f>IFERROR(__xludf.DUMMYFUNCTION("""COMPUTED_VALUE"""),"1.814 €/m2")</f>
        <v>1.814 €/m2</v>
      </c>
      <c r="C171" s="1" t="str">
        <f>IFERROR(__xludf.DUMMYFUNCTION("""COMPUTED_VALUE"""),"- 0,3 %")</f>
        <v>- 0,3 %</v>
      </c>
      <c r="D171" s="1" t="str">
        <f>IFERROR(__xludf.DUMMYFUNCTION("""COMPUTED_VALUE"""),"- 3,2 %")</f>
        <v>- 3,2 %</v>
      </c>
      <c r="E171" s="1" t="str">
        <f>IFERROR(__xludf.DUMMYFUNCTION("""COMPUTED_VALUE"""),"- 11,4 %")</f>
        <v>- 11,4 %</v>
      </c>
    </row>
    <row r="172">
      <c r="A172" s="2">
        <f>IFERROR(__xludf.DUMMYFUNCTION("""COMPUTED_VALUE"""),41000.0)</f>
        <v>41000</v>
      </c>
      <c r="B172" s="1" t="str">
        <f>IFERROR(__xludf.DUMMYFUNCTION("""COMPUTED_VALUE"""),"1.819 €/m2")</f>
        <v>1.819 €/m2</v>
      </c>
      <c r="C172" s="1" t="str">
        <f>IFERROR(__xludf.DUMMYFUNCTION("""COMPUTED_VALUE"""),"- 3,5 %")</f>
        <v>- 3,5 %</v>
      </c>
      <c r="D172" s="1" t="str">
        <f>IFERROR(__xludf.DUMMYFUNCTION("""COMPUTED_VALUE"""),"- 3,7 %")</f>
        <v>- 3,7 %</v>
      </c>
      <c r="E172" s="1" t="str">
        <f>IFERROR(__xludf.DUMMYFUNCTION("""COMPUTED_VALUE"""),"- 11,6 %")</f>
        <v>- 11,6 %</v>
      </c>
    </row>
    <row r="173">
      <c r="A173" s="2">
        <f>IFERROR(__xludf.DUMMYFUNCTION("""COMPUTED_VALUE"""),40969.0)</f>
        <v>40969</v>
      </c>
      <c r="B173" s="1" t="str">
        <f>IFERROR(__xludf.DUMMYFUNCTION("""COMPUTED_VALUE"""),"1.884 €/m2")</f>
        <v>1.884 €/m2</v>
      </c>
      <c r="C173" s="1" t="str">
        <f>IFERROR(__xludf.DUMMYFUNCTION("""COMPUTED_VALUE"""),"+ 0,5 %")</f>
        <v>+ 0,5 %</v>
      </c>
      <c r="D173" s="1" t="str">
        <f>IFERROR(__xludf.DUMMYFUNCTION("""COMPUTED_VALUE"""),"- 0,8 %")</f>
        <v>- 0,8 %</v>
      </c>
      <c r="E173" s="1" t="str">
        <f>IFERROR(__xludf.DUMMYFUNCTION("""COMPUTED_VALUE"""),"- 10,2 %")</f>
        <v>- 10,2 %</v>
      </c>
    </row>
    <row r="174">
      <c r="A174" s="2">
        <f>IFERROR(__xludf.DUMMYFUNCTION("""COMPUTED_VALUE"""),40940.0)</f>
        <v>40940</v>
      </c>
      <c r="B174" s="1" t="str">
        <f>IFERROR(__xludf.DUMMYFUNCTION("""COMPUTED_VALUE"""),"1.875 €/m2")</f>
        <v>1.875 €/m2</v>
      </c>
      <c r="C174" s="1" t="str">
        <f>IFERROR(__xludf.DUMMYFUNCTION("""COMPUTED_VALUE"""),"- 0,8 %")</f>
        <v>- 0,8 %</v>
      </c>
      <c r="D174" s="1" t="str">
        <f>IFERROR(__xludf.DUMMYFUNCTION("""COMPUTED_VALUE"""),"- 1,7 %")</f>
        <v>- 1,7 %</v>
      </c>
      <c r="E174" s="1" t="str">
        <f>IFERROR(__xludf.DUMMYFUNCTION("""COMPUTED_VALUE"""),"- 12,6 %")</f>
        <v>- 12,6 %</v>
      </c>
    </row>
    <row r="175">
      <c r="A175" s="2">
        <f>IFERROR(__xludf.DUMMYFUNCTION("""COMPUTED_VALUE"""),40909.0)</f>
        <v>40909</v>
      </c>
      <c r="B175" s="1" t="str">
        <f>IFERROR(__xludf.DUMMYFUNCTION("""COMPUTED_VALUE"""),"1.889 €/m2")</f>
        <v>1.889 €/m2</v>
      </c>
      <c r="C175" s="1" t="str">
        <f>IFERROR(__xludf.DUMMYFUNCTION("""COMPUTED_VALUE"""),"- 0,5 %")</f>
        <v>- 0,5 %</v>
      </c>
      <c r="D175" s="1" t="str">
        <f>IFERROR(__xludf.DUMMYFUNCTION("""COMPUTED_VALUE"""),"+ 0,3 %")</f>
        <v>+ 0,3 %</v>
      </c>
      <c r="E175" s="1" t="str">
        <f>IFERROR(__xludf.DUMMYFUNCTION("""COMPUTED_VALUE"""),"- 12,4 %")</f>
        <v>- 12,4 %</v>
      </c>
    </row>
    <row r="176">
      <c r="A176" s="2">
        <f>IFERROR(__xludf.DUMMYFUNCTION("""COMPUTED_VALUE"""),40878.0)</f>
        <v>40878</v>
      </c>
      <c r="B176" s="1" t="str">
        <f>IFERROR(__xludf.DUMMYFUNCTION("""COMPUTED_VALUE"""),"1.899 €/m2")</f>
        <v>1.899 €/m2</v>
      </c>
      <c r="C176" s="1" t="str">
        <f>IFERROR(__xludf.DUMMYFUNCTION("""COMPUTED_VALUE"""),"- 0,5 %")</f>
        <v>- 0,5 %</v>
      </c>
      <c r="D176" s="1" t="str">
        <f>IFERROR(__xludf.DUMMYFUNCTION("""COMPUTED_VALUE"""),"- 0,1 %")</f>
        <v>- 0,1 %</v>
      </c>
      <c r="E176" s="1" t="str">
        <f>IFERROR(__xludf.DUMMYFUNCTION("""COMPUTED_VALUE"""),"- 13,5 %")</f>
        <v>- 13,5 %</v>
      </c>
    </row>
    <row r="177">
      <c r="A177" s="2">
        <f>IFERROR(__xludf.DUMMYFUNCTION("""COMPUTED_VALUE"""),40848.0)</f>
        <v>40848</v>
      </c>
      <c r="B177" s="1" t="str">
        <f>IFERROR(__xludf.DUMMYFUNCTION("""COMPUTED_VALUE"""),"1.908 €/m2")</f>
        <v>1.908 €/m2</v>
      </c>
      <c r="C177" s="1" t="str">
        <f>IFERROR(__xludf.DUMMYFUNCTION("""COMPUTED_VALUE"""),"+ 1,3 %")</f>
        <v>+ 1,3 %</v>
      </c>
      <c r="D177" s="1" t="str">
        <f>IFERROR(__xludf.DUMMYFUNCTION("""COMPUTED_VALUE"""),"- 2,3 %")</f>
        <v>- 2,3 %</v>
      </c>
      <c r="E177" s="1" t="str">
        <f>IFERROR(__xludf.DUMMYFUNCTION("""COMPUTED_VALUE"""),"- 14,3 %")</f>
        <v>- 14,3 %</v>
      </c>
    </row>
    <row r="178">
      <c r="A178" s="2">
        <f>IFERROR(__xludf.DUMMYFUNCTION("""COMPUTED_VALUE"""),40817.0)</f>
        <v>40817</v>
      </c>
      <c r="B178" s="1" t="str">
        <f>IFERROR(__xludf.DUMMYFUNCTION("""COMPUTED_VALUE"""),"1.883 €/m2")</f>
        <v>1.883 €/m2</v>
      </c>
      <c r="C178" s="1" t="str">
        <f>IFERROR(__xludf.DUMMYFUNCTION("""COMPUTED_VALUE"""),"- 0,9 %")</f>
        <v>- 0,9 %</v>
      </c>
      <c r="D178" s="1" t="str">
        <f>IFERROR(__xludf.DUMMYFUNCTION("""COMPUTED_VALUE"""),"- 5,9 %")</f>
        <v>- 5,9 %</v>
      </c>
      <c r="E178" s="1" t="str">
        <f>IFERROR(__xludf.DUMMYFUNCTION("""COMPUTED_VALUE"""),"- 15,3 %")</f>
        <v>- 15,3 %</v>
      </c>
    </row>
    <row r="179">
      <c r="A179" s="2">
        <f>IFERROR(__xludf.DUMMYFUNCTION("""COMPUTED_VALUE"""),40787.0)</f>
        <v>40787</v>
      </c>
      <c r="B179" s="1" t="str">
        <f>IFERROR(__xludf.DUMMYFUNCTION("""COMPUTED_VALUE"""),"1.901 €/m2")</f>
        <v>1.901 €/m2</v>
      </c>
      <c r="C179" s="1" t="str">
        <f>IFERROR(__xludf.DUMMYFUNCTION("""COMPUTED_VALUE"""),"- 2,7 %")</f>
        <v>- 2,7 %</v>
      </c>
      <c r="D179" s="1" t="str">
        <f>IFERROR(__xludf.DUMMYFUNCTION("""COMPUTED_VALUE"""),"- 6,1 %")</f>
        <v>- 6,1 %</v>
      </c>
      <c r="E179" s="1" t="str">
        <f>IFERROR(__xludf.DUMMYFUNCTION("""COMPUTED_VALUE"""),"- 13,9 %")</f>
        <v>- 13,9 %</v>
      </c>
    </row>
    <row r="180">
      <c r="A180" s="2">
        <f>IFERROR(__xludf.DUMMYFUNCTION("""COMPUTED_VALUE"""),40756.0)</f>
        <v>40756</v>
      </c>
      <c r="B180" s="1" t="str">
        <f>IFERROR(__xludf.DUMMYFUNCTION("""COMPUTED_VALUE"""),"1.953 €/m2")</f>
        <v>1.953 €/m2</v>
      </c>
      <c r="C180" s="1" t="str">
        <f>IFERROR(__xludf.DUMMYFUNCTION("""COMPUTED_VALUE"""),"- 2,4 %")</f>
        <v>- 2,4 %</v>
      </c>
      <c r="D180" s="1" t="str">
        <f>IFERROR(__xludf.DUMMYFUNCTION("""COMPUTED_VALUE"""),"- 4,6 %")</f>
        <v>- 4,6 %</v>
      </c>
      <c r="E180" s="1" t="str">
        <f>IFERROR(__xludf.DUMMYFUNCTION("""COMPUTED_VALUE"""),"- 11,9 %")</f>
        <v>- 11,9 %</v>
      </c>
    </row>
    <row r="181">
      <c r="A181" s="2">
        <f>IFERROR(__xludf.DUMMYFUNCTION("""COMPUTED_VALUE"""),40725.0)</f>
        <v>40725</v>
      </c>
      <c r="B181" s="1" t="str">
        <f>IFERROR(__xludf.DUMMYFUNCTION("""COMPUTED_VALUE"""),"2.000 €/m2")</f>
        <v>2.000 €/m2</v>
      </c>
      <c r="C181" s="1" t="str">
        <f>IFERROR(__xludf.DUMMYFUNCTION("""COMPUTED_VALUE"""),"- 1,2 %")</f>
        <v>- 1,2 %</v>
      </c>
      <c r="D181" s="1" t="str">
        <f>IFERROR(__xludf.DUMMYFUNCTION("""COMPUTED_VALUE"""),"- 2,8 %")</f>
        <v>- 2,8 %</v>
      </c>
      <c r="E181" s="1" t="str">
        <f>IFERROR(__xludf.DUMMYFUNCTION("""COMPUTED_VALUE"""),"- 10,6 %")</f>
        <v>- 10,6 %</v>
      </c>
    </row>
    <row r="182">
      <c r="A182" s="2">
        <f>IFERROR(__xludf.DUMMYFUNCTION("""COMPUTED_VALUE"""),40695.0)</f>
        <v>40695</v>
      </c>
      <c r="B182" s="1" t="str">
        <f>IFERROR(__xludf.DUMMYFUNCTION("""COMPUTED_VALUE"""),"2.024 €/m2")</f>
        <v>2.024 €/m2</v>
      </c>
      <c r="C182" s="1" t="str">
        <f>IFERROR(__xludf.DUMMYFUNCTION("""COMPUTED_VALUE"""),"- 1,1 %")</f>
        <v>- 1,1 %</v>
      </c>
      <c r="D182" s="1" t="str">
        <f>IFERROR(__xludf.DUMMYFUNCTION("""COMPUTED_VALUE"""),"- 3,5 %")</f>
        <v>- 3,5 %</v>
      </c>
      <c r="E182" s="1" t="str">
        <f>IFERROR(__xludf.DUMMYFUNCTION("""COMPUTED_VALUE"""),"- 9,7 %")</f>
        <v>- 9,7 %</v>
      </c>
    </row>
    <row r="183">
      <c r="A183" s="2">
        <f>IFERROR(__xludf.DUMMYFUNCTION("""COMPUTED_VALUE"""),40664.0)</f>
        <v>40664</v>
      </c>
      <c r="B183" s="1" t="str">
        <f>IFERROR(__xludf.DUMMYFUNCTION("""COMPUTED_VALUE"""),"2.047 €/m2")</f>
        <v>2.047 €/m2</v>
      </c>
      <c r="C183" s="1" t="str">
        <f>IFERROR(__xludf.DUMMYFUNCTION("""COMPUTED_VALUE"""),"- 0,5 %")</f>
        <v>- 0,5 %</v>
      </c>
      <c r="D183" s="1" t="str">
        <f>IFERROR(__xludf.DUMMYFUNCTION("""COMPUTED_VALUE"""),"- 4,6 %")</f>
        <v>- 4,6 %</v>
      </c>
      <c r="E183" s="1" t="str">
        <f>IFERROR(__xludf.DUMMYFUNCTION("""COMPUTED_VALUE"""),"- 9,2 %")</f>
        <v>- 9,2 %</v>
      </c>
    </row>
    <row r="184">
      <c r="A184" s="2">
        <f>IFERROR(__xludf.DUMMYFUNCTION("""COMPUTED_VALUE"""),40634.0)</f>
        <v>40634</v>
      </c>
      <c r="B184" s="1" t="str">
        <f>IFERROR(__xludf.DUMMYFUNCTION("""COMPUTED_VALUE"""),"2.058 €/m2")</f>
        <v>2.058 €/m2</v>
      </c>
      <c r="C184" s="1" t="str">
        <f>IFERROR(__xludf.DUMMYFUNCTION("""COMPUTED_VALUE"""),"- 2,0 %")</f>
        <v>- 2,0 %</v>
      </c>
      <c r="D184" s="1" t="str">
        <f>IFERROR(__xludf.DUMMYFUNCTION("""COMPUTED_VALUE"""),"- 4,6 %")</f>
        <v>- 4,6 %</v>
      </c>
      <c r="E184" s="1" t="str">
        <f>IFERROR(__xludf.DUMMYFUNCTION("""COMPUTED_VALUE"""),"- 11,8 %")</f>
        <v>- 11,8 %</v>
      </c>
    </row>
    <row r="185">
      <c r="A185" s="2">
        <f>IFERROR(__xludf.DUMMYFUNCTION("""COMPUTED_VALUE"""),40603.0)</f>
        <v>40603</v>
      </c>
      <c r="B185" s="1" t="str">
        <f>IFERROR(__xludf.DUMMYFUNCTION("""COMPUTED_VALUE"""),"2.099 €/m2")</f>
        <v>2.099 €/m2</v>
      </c>
      <c r="C185" s="1" t="str">
        <f>IFERROR(__xludf.DUMMYFUNCTION("""COMPUTED_VALUE"""),"- 2,2 %")</f>
        <v>- 2,2 %</v>
      </c>
      <c r="D185" s="1" t="str">
        <f>IFERROR(__xludf.DUMMYFUNCTION("""COMPUTED_VALUE"""),"- 4,4 %")</f>
        <v>- 4,4 %</v>
      </c>
      <c r="E185" s="1" t="str">
        <f>IFERROR(__xludf.DUMMYFUNCTION("""COMPUTED_VALUE"""),"- 6,5 %")</f>
        <v>- 6,5 %</v>
      </c>
    </row>
    <row r="186">
      <c r="A186" s="2">
        <f>IFERROR(__xludf.DUMMYFUNCTION("""COMPUTED_VALUE"""),40575.0)</f>
        <v>40575</v>
      </c>
      <c r="B186" s="1" t="str">
        <f>IFERROR(__xludf.DUMMYFUNCTION("""COMPUTED_VALUE"""),"2.146 €/m2")</f>
        <v>2.146 €/m2</v>
      </c>
      <c r="C186" s="1" t="str">
        <f>IFERROR(__xludf.DUMMYFUNCTION("""COMPUTED_VALUE"""),"- 0,5 %")</f>
        <v>- 0,5 %</v>
      </c>
      <c r="D186" s="1" t="str">
        <f>IFERROR(__xludf.DUMMYFUNCTION("""COMPUTED_VALUE"""),"- 3,6 %")</f>
        <v>- 3,6 %</v>
      </c>
      <c r="E186" s="1" t="str">
        <f>IFERROR(__xludf.DUMMYFUNCTION("""COMPUTED_VALUE"""),"- 3,5 %")</f>
        <v>- 3,5 %</v>
      </c>
    </row>
    <row r="187">
      <c r="A187" s="2">
        <f>IFERROR(__xludf.DUMMYFUNCTION("""COMPUTED_VALUE"""),40544.0)</f>
        <v>40544</v>
      </c>
      <c r="B187" s="1" t="str">
        <f>IFERROR(__xludf.DUMMYFUNCTION("""COMPUTED_VALUE"""),"2.157 €/m2")</f>
        <v>2.157 €/m2</v>
      </c>
      <c r="C187" s="1" t="str">
        <f>IFERROR(__xludf.DUMMYFUNCTION("""COMPUTED_VALUE"""),"- 1,7 %")</f>
        <v>- 1,7 %</v>
      </c>
      <c r="D187" s="1" t="str">
        <f>IFERROR(__xludf.DUMMYFUNCTION("""COMPUTED_VALUE"""),"- 2,9 %")</f>
        <v>- 2,9 %</v>
      </c>
      <c r="E187" s="1" t="str">
        <f>IFERROR(__xludf.DUMMYFUNCTION("""COMPUTED_VALUE"""),"- 2,3 %")</f>
        <v>- 2,3 %</v>
      </c>
    </row>
    <row r="188">
      <c r="A188" s="2">
        <f>IFERROR(__xludf.DUMMYFUNCTION("""COMPUTED_VALUE"""),40513.0)</f>
        <v>40513</v>
      </c>
      <c r="B188" s="1" t="str">
        <f>IFERROR(__xludf.DUMMYFUNCTION("""COMPUTED_VALUE"""),"2.195 €/m2")</f>
        <v>2.195 €/m2</v>
      </c>
      <c r="C188" s="1" t="str">
        <f>IFERROR(__xludf.DUMMYFUNCTION("""COMPUTED_VALUE"""),"- 1,3 %")</f>
        <v>- 1,3 %</v>
      </c>
      <c r="D188" s="1" t="str">
        <f>IFERROR(__xludf.DUMMYFUNCTION("""COMPUTED_VALUE"""),"- 0,5 %")</f>
        <v>- 0,5 %</v>
      </c>
      <c r="E188" s="1" t="str">
        <f>IFERROR(__xludf.DUMMYFUNCTION("""COMPUTED_VALUE"""),"- 1,6 %")</f>
        <v>- 1,6 %</v>
      </c>
    </row>
    <row r="189">
      <c r="A189" s="2">
        <f>IFERROR(__xludf.DUMMYFUNCTION("""COMPUTED_VALUE"""),40483.0)</f>
        <v>40483</v>
      </c>
      <c r="B189" s="1" t="str">
        <f>IFERROR(__xludf.DUMMYFUNCTION("""COMPUTED_VALUE"""),"2.225 €/m2")</f>
        <v>2.225 €/m2</v>
      </c>
      <c r="C189" s="1" t="str">
        <f>IFERROR(__xludf.DUMMYFUNCTION("""COMPUTED_VALUE"""),"+ 0,1 %")</f>
        <v>+ 0,1 %</v>
      </c>
      <c r="D189" s="1" t="str">
        <f>IFERROR(__xludf.DUMMYFUNCTION("""COMPUTED_VALUE"""),"+ 0,4 %")</f>
        <v>+ 0,4 %</v>
      </c>
      <c r="E189" s="1" t="str">
        <f>IFERROR(__xludf.DUMMYFUNCTION("""COMPUTED_VALUE"""),"- 0,9 %")</f>
        <v>- 0,9 %</v>
      </c>
    </row>
    <row r="190">
      <c r="A190" s="2">
        <f>IFERROR(__xludf.DUMMYFUNCTION("""COMPUTED_VALUE"""),40452.0)</f>
        <v>40452</v>
      </c>
      <c r="B190" s="1" t="str">
        <f>IFERROR(__xludf.DUMMYFUNCTION("""COMPUTED_VALUE"""),"2.222 €/m2")</f>
        <v>2.222 €/m2</v>
      </c>
      <c r="C190" s="1" t="str">
        <f>IFERROR(__xludf.DUMMYFUNCTION("""COMPUTED_VALUE"""),"+ 0,7 %")</f>
        <v>+ 0,7 %</v>
      </c>
      <c r="D190" s="1" t="str">
        <f>IFERROR(__xludf.DUMMYFUNCTION("""COMPUTED_VALUE"""),"- 0,7 %")</f>
        <v>- 0,7 %</v>
      </c>
      <c r="E190" s="1" t="str">
        <f>IFERROR(__xludf.DUMMYFUNCTION("""COMPUTED_VALUE"""),"- 1,6 %")</f>
        <v>- 1,6 %</v>
      </c>
    </row>
    <row r="191">
      <c r="A191" s="2">
        <f>IFERROR(__xludf.DUMMYFUNCTION("""COMPUTED_VALUE"""),40422.0)</f>
        <v>40422</v>
      </c>
      <c r="B191" s="1" t="str">
        <f>IFERROR(__xludf.DUMMYFUNCTION("""COMPUTED_VALUE"""),"2.207 €/m2")</f>
        <v>2.207 €/m2</v>
      </c>
      <c r="C191" s="1" t="str">
        <f>IFERROR(__xludf.DUMMYFUNCTION("""COMPUTED_VALUE"""),"- 0,4 %")</f>
        <v>- 0,4 %</v>
      </c>
      <c r="D191" s="1" t="str">
        <f>IFERROR(__xludf.DUMMYFUNCTION("""COMPUTED_VALUE"""),"- 1,6 %")</f>
        <v>- 1,6 %</v>
      </c>
      <c r="E191" s="1" t="str">
        <f>IFERROR(__xludf.DUMMYFUNCTION("""COMPUTED_VALUE"""),"- 5,1 %")</f>
        <v>- 5,1 %</v>
      </c>
    </row>
    <row r="192">
      <c r="A192" s="2">
        <f>IFERROR(__xludf.DUMMYFUNCTION("""COMPUTED_VALUE"""),40391.0)</f>
        <v>40391</v>
      </c>
      <c r="B192" s="1" t="str">
        <f>IFERROR(__xludf.DUMMYFUNCTION("""COMPUTED_VALUE"""),"2.215 €/m2")</f>
        <v>2.215 €/m2</v>
      </c>
      <c r="C192" s="1" t="str">
        <f>IFERROR(__xludf.DUMMYFUNCTION("""COMPUTED_VALUE"""),"- 1,0 %")</f>
        <v>- 1,0 %</v>
      </c>
      <c r="D192" s="1" t="str">
        <f>IFERROR(__xludf.DUMMYFUNCTION("""COMPUTED_VALUE"""),"- 1,7 %")</f>
        <v>- 1,7 %</v>
      </c>
      <c r="E192" s="1" t="str">
        <f>IFERROR(__xludf.DUMMYFUNCTION("""COMPUTED_VALUE"""),"- 10,4 %")</f>
        <v>- 10,4 %</v>
      </c>
    </row>
    <row r="193">
      <c r="A193" s="2">
        <f>IFERROR(__xludf.DUMMYFUNCTION("""COMPUTED_VALUE"""),40360.0)</f>
        <v>40360</v>
      </c>
      <c r="B193" s="1" t="str">
        <f>IFERROR(__xludf.DUMMYFUNCTION("""COMPUTED_VALUE"""),"2.237 €/m2")</f>
        <v>2.237 €/m2</v>
      </c>
      <c r="C193" s="1" t="str">
        <f>IFERROR(__xludf.DUMMYFUNCTION("""COMPUTED_VALUE"""),"- 0,2 %")</f>
        <v>- 0,2 %</v>
      </c>
      <c r="D193" s="1" t="str">
        <f>IFERROR(__xludf.DUMMYFUNCTION("""COMPUTED_VALUE"""),"- 4,1 %")</f>
        <v>- 4,1 %</v>
      </c>
      <c r="E193" s="1" t="str">
        <f>IFERROR(__xludf.DUMMYFUNCTION("""COMPUTED_VALUE"""),"- 10,5 %")</f>
        <v>- 10,5 %</v>
      </c>
    </row>
    <row r="194">
      <c r="A194" s="2">
        <f>IFERROR(__xludf.DUMMYFUNCTION("""COMPUTED_VALUE"""),40330.0)</f>
        <v>40330</v>
      </c>
      <c r="B194" s="1" t="str">
        <f>IFERROR(__xludf.DUMMYFUNCTION("""COMPUTED_VALUE"""),"2.242 €/m2")</f>
        <v>2.242 €/m2</v>
      </c>
      <c r="C194" s="1" t="str">
        <f>IFERROR(__xludf.DUMMYFUNCTION("""COMPUTED_VALUE"""),"- 0,5 %")</f>
        <v>- 0,5 %</v>
      </c>
      <c r="D194" s="1" t="str">
        <f>IFERROR(__xludf.DUMMYFUNCTION("""COMPUTED_VALUE"""),"- 0,2 %")</f>
        <v>- 0,2 %</v>
      </c>
      <c r="E194" s="1" t="str">
        <f>IFERROR(__xludf.DUMMYFUNCTION("""COMPUTED_VALUE"""),"- 7,4 %")</f>
        <v>- 7,4 %</v>
      </c>
    </row>
    <row r="195">
      <c r="A195" s="2">
        <f>IFERROR(__xludf.DUMMYFUNCTION("""COMPUTED_VALUE"""),40299.0)</f>
        <v>40299</v>
      </c>
      <c r="B195" s="1" t="str">
        <f>IFERROR(__xludf.DUMMYFUNCTION("""COMPUTED_VALUE"""),"2.254 €/m2")</f>
        <v>2.254 €/m2</v>
      </c>
      <c r="C195" s="1" t="str">
        <f>IFERROR(__xludf.DUMMYFUNCTION("""COMPUTED_VALUE"""),"- 3,4 %")</f>
        <v>- 3,4 %</v>
      </c>
      <c r="D195" s="1" t="str">
        <f>IFERROR(__xludf.DUMMYFUNCTION("""COMPUTED_VALUE"""),"+ 1,4 %")</f>
        <v>+ 1,4 %</v>
      </c>
      <c r="E195" s="1" t="str">
        <f>IFERROR(__xludf.DUMMYFUNCTION("""COMPUTED_VALUE"""),"- 6,7 %")</f>
        <v>- 6,7 %</v>
      </c>
    </row>
    <row r="196">
      <c r="A196" s="2">
        <f>IFERROR(__xludf.DUMMYFUNCTION("""COMPUTED_VALUE"""),40269.0)</f>
        <v>40269</v>
      </c>
      <c r="B196" s="1" t="str">
        <f>IFERROR(__xludf.DUMMYFUNCTION("""COMPUTED_VALUE"""),"2.333 €/m2")</f>
        <v>2.333 €/m2</v>
      </c>
      <c r="C196" s="1" t="str">
        <f>IFERROR(__xludf.DUMMYFUNCTION("""COMPUTED_VALUE"""),"+ 3,9 %")</f>
        <v>+ 3,9 %</v>
      </c>
      <c r="D196" s="1" t="str">
        <f>IFERROR(__xludf.DUMMYFUNCTION("""COMPUTED_VALUE"""),"+ 5,7 %")</f>
        <v>+ 5,7 %</v>
      </c>
      <c r="E196" s="1" t="str">
        <f>IFERROR(__xludf.DUMMYFUNCTION("""COMPUTED_VALUE"""),"- 1,7 %")</f>
        <v>- 1,7 %</v>
      </c>
    </row>
    <row r="197">
      <c r="A197" s="2">
        <f>IFERROR(__xludf.DUMMYFUNCTION("""COMPUTED_VALUE"""),40238.0)</f>
        <v>40238</v>
      </c>
      <c r="B197" s="1" t="str">
        <f>IFERROR(__xludf.DUMMYFUNCTION("""COMPUTED_VALUE"""),"2.246 €/m2")</f>
        <v>2.246 €/m2</v>
      </c>
      <c r="C197" s="1" t="str">
        <f>IFERROR(__xludf.DUMMYFUNCTION("""COMPUTED_VALUE"""),"+ 1,1 %")</f>
        <v>+ 1,1 %</v>
      </c>
      <c r="D197" s="1" t="str">
        <f>IFERROR(__xludf.DUMMYFUNCTION("""COMPUTED_VALUE"""),"+ 0,7 %")</f>
        <v>+ 0,7 %</v>
      </c>
      <c r="E197" s="1" t="str">
        <f>IFERROR(__xludf.DUMMYFUNCTION("""COMPUTED_VALUE"""),"- 7,3 %")</f>
        <v>- 7,3 %</v>
      </c>
    </row>
    <row r="198">
      <c r="A198" s="2">
        <f>IFERROR(__xludf.DUMMYFUNCTION("""COMPUTED_VALUE"""),40210.0)</f>
        <v>40210</v>
      </c>
      <c r="B198" s="1" t="str">
        <f>IFERROR(__xludf.DUMMYFUNCTION("""COMPUTED_VALUE"""),"2.222 €/m2")</f>
        <v>2.222 €/m2</v>
      </c>
      <c r="C198" s="1" t="str">
        <f>IFERROR(__xludf.DUMMYFUNCTION("""COMPUTED_VALUE"""),"+ 0,7 %")</f>
        <v>+ 0,7 %</v>
      </c>
      <c r="D198" s="1" t="str">
        <f>IFERROR(__xludf.DUMMYFUNCTION("""COMPUTED_VALUE"""),"- 1,0 %")</f>
        <v>- 1,0 %</v>
      </c>
      <c r="E198" s="1" t="str">
        <f>IFERROR(__xludf.DUMMYFUNCTION("""COMPUTED_VALUE"""),"- 10,2 %")</f>
        <v>- 10,2 %</v>
      </c>
    </row>
    <row r="199">
      <c r="A199" s="2">
        <f>IFERROR(__xludf.DUMMYFUNCTION("""COMPUTED_VALUE"""),40179.0)</f>
        <v>40179</v>
      </c>
      <c r="B199" s="1" t="str">
        <f>IFERROR(__xludf.DUMMYFUNCTION("""COMPUTED_VALUE"""),"2.207 €/m2")</f>
        <v>2.207 €/m2</v>
      </c>
      <c r="C199" s="1" t="str">
        <f>IFERROR(__xludf.DUMMYFUNCTION("""COMPUTED_VALUE"""),"- 1,1 %")</f>
        <v>- 1,1 %</v>
      </c>
      <c r="D199" s="1" t="str">
        <f>IFERROR(__xludf.DUMMYFUNCTION("""COMPUTED_VALUE"""),"- 2,3 %")</f>
        <v>- 2,3 %</v>
      </c>
      <c r="E199" s="1" t="str">
        <f>IFERROR(__xludf.DUMMYFUNCTION("""COMPUTED_VALUE"""),"- 9,7 %")</f>
        <v>- 9,7 %</v>
      </c>
    </row>
    <row r="200">
      <c r="A200" s="2">
        <f>IFERROR(__xludf.DUMMYFUNCTION("""COMPUTED_VALUE"""),40148.0)</f>
        <v>40148</v>
      </c>
      <c r="B200" s="1" t="str">
        <f>IFERROR(__xludf.DUMMYFUNCTION("""COMPUTED_VALUE"""),"2.230 €/m2")</f>
        <v>2.230 €/m2</v>
      </c>
      <c r="C200" s="1" t="str">
        <f>IFERROR(__xludf.DUMMYFUNCTION("""COMPUTED_VALUE"""),"- 0,7 %")</f>
        <v>- 0,7 %</v>
      </c>
      <c r="D200" s="1" t="str">
        <f>IFERROR(__xludf.DUMMYFUNCTION("""COMPUTED_VALUE"""),"- 4,1 %")</f>
        <v>- 4,1 %</v>
      </c>
      <c r="E200" s="1" t="str">
        <f>IFERROR(__xludf.DUMMYFUNCTION("""COMPUTED_VALUE"""),"- 9,3 %")</f>
        <v>- 9,3 %</v>
      </c>
    </row>
    <row r="201">
      <c r="A201" s="2">
        <f>IFERROR(__xludf.DUMMYFUNCTION("""COMPUTED_VALUE"""),40118.0)</f>
        <v>40118</v>
      </c>
      <c r="B201" s="1" t="str">
        <f>IFERROR(__xludf.DUMMYFUNCTION("""COMPUTED_VALUE"""),"2.246 €/m2")</f>
        <v>2.246 €/m2</v>
      </c>
      <c r="C201" s="1" t="str">
        <f>IFERROR(__xludf.DUMMYFUNCTION("""COMPUTED_VALUE"""),"- 0,5 %")</f>
        <v>- 0,5 %</v>
      </c>
      <c r="D201" s="1" t="str">
        <f>IFERROR(__xludf.DUMMYFUNCTION("""COMPUTED_VALUE"""),"- 9,2 %")</f>
        <v>- 9,2 %</v>
      </c>
      <c r="E201" s="1" t="str">
        <f>IFERROR(__xludf.DUMMYFUNCTION("""COMPUTED_VALUE"""),"- 12,0 %")</f>
        <v>- 12,0 %</v>
      </c>
    </row>
    <row r="202">
      <c r="A202" s="2">
        <f>IFERROR(__xludf.DUMMYFUNCTION("""COMPUTED_VALUE"""),40087.0)</f>
        <v>40087</v>
      </c>
      <c r="B202" s="1" t="str">
        <f>IFERROR(__xludf.DUMMYFUNCTION("""COMPUTED_VALUE"""),"2.258 €/m2")</f>
        <v>2.258 €/m2</v>
      </c>
      <c r="C202" s="1" t="str">
        <f>IFERROR(__xludf.DUMMYFUNCTION("""COMPUTED_VALUE"""),"- 2,9 %")</f>
        <v>- 2,9 %</v>
      </c>
      <c r="D202" s="1" t="str">
        <f>IFERROR(__xludf.DUMMYFUNCTION("""COMPUTED_VALUE"""),"- 9,6 %")</f>
        <v>- 9,6 %</v>
      </c>
      <c r="E202" s="1" t="str">
        <f>IFERROR(__xludf.DUMMYFUNCTION("""COMPUTED_VALUE"""),"- 8,8 %")</f>
        <v>- 8,8 %</v>
      </c>
    </row>
    <row r="203">
      <c r="A203" s="2">
        <f>IFERROR(__xludf.DUMMYFUNCTION("""COMPUTED_VALUE"""),40057.0)</f>
        <v>40057</v>
      </c>
      <c r="B203" s="1" t="str">
        <f>IFERROR(__xludf.DUMMYFUNCTION("""COMPUTED_VALUE"""),"2.325 €/m2")</f>
        <v>2.325 €/m2</v>
      </c>
      <c r="C203" s="1" t="str">
        <f>IFERROR(__xludf.DUMMYFUNCTION("""COMPUTED_VALUE"""),"- 6,0 %")</f>
        <v>- 6,0 %</v>
      </c>
      <c r="D203" s="1" t="str">
        <f>IFERROR(__xludf.DUMMYFUNCTION("""COMPUTED_VALUE"""),"- 4,0 %")</f>
        <v>- 4,0 %</v>
      </c>
      <c r="E203" s="1" t="str">
        <f>IFERROR(__xludf.DUMMYFUNCTION("""COMPUTED_VALUE"""),"- 6,9 %")</f>
        <v>- 6,9 %</v>
      </c>
    </row>
    <row r="204">
      <c r="A204" s="2">
        <f>IFERROR(__xludf.DUMMYFUNCTION("""COMPUTED_VALUE"""),40026.0)</f>
        <v>40026</v>
      </c>
      <c r="B204" s="1" t="str">
        <f>IFERROR(__xludf.DUMMYFUNCTION("""COMPUTED_VALUE"""),"2.472 €/m2")</f>
        <v>2.472 €/m2</v>
      </c>
      <c r="C204" s="1" t="str">
        <f>IFERROR(__xludf.DUMMYFUNCTION("""COMPUTED_VALUE"""),"- 1,0 %")</f>
        <v>- 1,0 %</v>
      </c>
      <c r="D204" s="1" t="str">
        <f>IFERROR(__xludf.DUMMYFUNCTION("""COMPUTED_VALUE"""),"+ 2,4 %")</f>
        <v>+ 2,4 %</v>
      </c>
      <c r="E204" s="1" t="str">
        <f>IFERROR(__xludf.DUMMYFUNCTION("""COMPUTED_VALUE"""),"- 4,1 %")</f>
        <v>- 4,1 %</v>
      </c>
    </row>
    <row r="205">
      <c r="A205" s="2">
        <f>IFERROR(__xludf.DUMMYFUNCTION("""COMPUTED_VALUE"""),39995.0)</f>
        <v>39995</v>
      </c>
      <c r="B205" s="1" t="str">
        <f>IFERROR(__xludf.DUMMYFUNCTION("""COMPUTED_VALUE"""),"2.498 €/m2")</f>
        <v>2.498 €/m2</v>
      </c>
      <c r="C205" s="1" t="str">
        <f>IFERROR(__xludf.DUMMYFUNCTION("""COMPUTED_VALUE"""),"+ 3,1 %")</f>
        <v>+ 3,1 %</v>
      </c>
      <c r="D205" s="1" t="str">
        <f>IFERROR(__xludf.DUMMYFUNCTION("""COMPUTED_VALUE"""),"+ 5,2 %")</f>
        <v>+ 5,2 %</v>
      </c>
      <c r="E205" s="1" t="str">
        <f>IFERROR(__xludf.DUMMYFUNCTION("""COMPUTED_VALUE"""),"- 4,1 %")</f>
        <v>- 4,1 %</v>
      </c>
    </row>
    <row r="206">
      <c r="A206" s="2">
        <f>IFERROR(__xludf.DUMMYFUNCTION("""COMPUTED_VALUE"""),39965.0)</f>
        <v>39965</v>
      </c>
      <c r="B206" s="1" t="str">
        <f>IFERROR(__xludf.DUMMYFUNCTION("""COMPUTED_VALUE"""),"2.422 €/m2")</f>
        <v>2.422 €/m2</v>
      </c>
      <c r="C206" s="1" t="str">
        <f>IFERROR(__xludf.DUMMYFUNCTION("""COMPUTED_VALUE"""),"+ 0,3 %")</f>
        <v>+ 0,3 %</v>
      </c>
      <c r="D206" s="1" t="str">
        <f>IFERROR(__xludf.DUMMYFUNCTION("""COMPUTED_VALUE"""),"0,0 %")</f>
        <v>0,0 %</v>
      </c>
      <c r="E206" s="1" t="str">
        <f>IFERROR(__xludf.DUMMYFUNCTION("""COMPUTED_VALUE"""),"- 10,4 %")</f>
        <v>- 10,4 %</v>
      </c>
    </row>
    <row r="207">
      <c r="A207" s="2">
        <f>IFERROR(__xludf.DUMMYFUNCTION("""COMPUTED_VALUE"""),39934.0)</f>
        <v>39934</v>
      </c>
      <c r="B207" s="1" t="str">
        <f>IFERROR(__xludf.DUMMYFUNCTION("""COMPUTED_VALUE"""),"2.415 €/m2")</f>
        <v>2.415 €/m2</v>
      </c>
      <c r="C207" s="1" t="str">
        <f>IFERROR(__xludf.DUMMYFUNCTION("""COMPUTED_VALUE"""),"+ 1,7 %")</f>
        <v>+ 1,7 %</v>
      </c>
      <c r="D207" s="1" t="str">
        <f>IFERROR(__xludf.DUMMYFUNCTION("""COMPUTED_VALUE"""),"- 2,4 %")</f>
        <v>- 2,4 %</v>
      </c>
      <c r="E207" s="1" t="str">
        <f>IFERROR(__xludf.DUMMYFUNCTION("""COMPUTED_VALUE"""),"- 12,0 %")</f>
        <v>- 12,0 %</v>
      </c>
    </row>
    <row r="208">
      <c r="A208" s="2">
        <f>IFERROR(__xludf.DUMMYFUNCTION("""COMPUTED_VALUE"""),39904.0)</f>
        <v>39904</v>
      </c>
      <c r="B208" s="1" t="str">
        <f>IFERROR(__xludf.DUMMYFUNCTION("""COMPUTED_VALUE"""),"2.374 €/m2")</f>
        <v>2.374 €/m2</v>
      </c>
      <c r="C208" s="1" t="str">
        <f>IFERROR(__xludf.DUMMYFUNCTION("""COMPUTED_VALUE"""),"- 2,0 %")</f>
        <v>- 2,0 %</v>
      </c>
      <c r="D208" s="1" t="str">
        <f>IFERROR(__xludf.DUMMYFUNCTION("""COMPUTED_VALUE"""),"- 2,9 %")</f>
        <v>- 2,9 %</v>
      </c>
      <c r="E208" s="1" t="str">
        <f>IFERROR(__xludf.DUMMYFUNCTION("""COMPUTED_VALUE"""),"- 15,4 %")</f>
        <v>- 15,4 %</v>
      </c>
    </row>
    <row r="209">
      <c r="A209" s="2">
        <f>IFERROR(__xludf.DUMMYFUNCTION("""COMPUTED_VALUE"""),39873.0)</f>
        <v>39873</v>
      </c>
      <c r="B209" s="1" t="str">
        <f>IFERROR(__xludf.DUMMYFUNCTION("""COMPUTED_VALUE"""),"2.422 €/m2")</f>
        <v>2.422 €/m2</v>
      </c>
      <c r="C209" s="1" t="str">
        <f>IFERROR(__xludf.DUMMYFUNCTION("""COMPUTED_VALUE"""),"- 2,1 %")</f>
        <v>- 2,1 %</v>
      </c>
      <c r="D209" s="1" t="str">
        <f>IFERROR(__xludf.DUMMYFUNCTION("""COMPUTED_VALUE"""),"- 1,5 %")</f>
        <v>- 1,5 %</v>
      </c>
      <c r="E209" s="1" t="str">
        <f>IFERROR(__xludf.DUMMYFUNCTION("""COMPUTED_VALUE"""),"- 16,4 %")</f>
        <v>- 16,4 %</v>
      </c>
    </row>
    <row r="210">
      <c r="A210" s="2">
        <f>IFERROR(__xludf.DUMMYFUNCTION("""COMPUTED_VALUE"""),39845.0)</f>
        <v>39845</v>
      </c>
      <c r="B210" s="1" t="str">
        <f>IFERROR(__xludf.DUMMYFUNCTION("""COMPUTED_VALUE"""),"2.474 €/m2")</f>
        <v>2.474 €/m2</v>
      </c>
      <c r="C210" s="1" t="str">
        <f>IFERROR(__xludf.DUMMYFUNCTION("""COMPUTED_VALUE"""),"+ 1,2 %")</f>
        <v>+ 1,2 %</v>
      </c>
      <c r="D210" s="1" t="str">
        <f>IFERROR(__xludf.DUMMYFUNCTION("""COMPUTED_VALUE"""),"- 3,0 %")</f>
        <v>- 3,0 %</v>
      </c>
      <c r="E210" s="1" t="str">
        <f>IFERROR(__xludf.DUMMYFUNCTION("""COMPUTED_VALUE"""),"- 14,7 %")</f>
        <v>- 14,7 %</v>
      </c>
    </row>
    <row r="211">
      <c r="A211" s="2">
        <f>IFERROR(__xludf.DUMMYFUNCTION("""COMPUTED_VALUE"""),39814.0)</f>
        <v>39814</v>
      </c>
      <c r="B211" s="1" t="str">
        <f>IFERROR(__xludf.DUMMYFUNCTION("""COMPUTED_VALUE"""),"2.445 €/m2")</f>
        <v>2.445 €/m2</v>
      </c>
      <c r="C211" s="1" t="str">
        <f>IFERROR(__xludf.DUMMYFUNCTION("""COMPUTED_VALUE"""),"- 0,5 %")</f>
        <v>- 0,5 %</v>
      </c>
      <c r="D211" s="1" t="str">
        <f>IFERROR(__xludf.DUMMYFUNCTION("""COMPUTED_VALUE"""),"- 1,2 %")</f>
        <v>- 1,2 %</v>
      </c>
      <c r="E211" s="1" t="str">
        <f>IFERROR(__xludf.DUMMYFUNCTION("""COMPUTED_VALUE"""),"- 12,7 %")</f>
        <v>- 12,7 %</v>
      </c>
    </row>
    <row r="212">
      <c r="A212" s="2">
        <f>IFERROR(__xludf.DUMMYFUNCTION("""COMPUTED_VALUE"""),39783.0)</f>
        <v>39783</v>
      </c>
      <c r="B212" s="1" t="str">
        <f>IFERROR(__xludf.DUMMYFUNCTION("""COMPUTED_VALUE"""),"2.458 €/m2")</f>
        <v>2.458 €/m2</v>
      </c>
      <c r="C212" s="1" t="str">
        <f>IFERROR(__xludf.DUMMYFUNCTION("""COMPUTED_VALUE"""),"- 3,7 %")</f>
        <v>- 3,7 %</v>
      </c>
      <c r="D212" s="1" t="str">
        <f>IFERROR(__xludf.DUMMYFUNCTION("""COMPUTED_VALUE"""),"- 1,5 %")</f>
        <v>- 1,5 %</v>
      </c>
      <c r="E212" s="1" t="str">
        <f>IFERROR(__xludf.DUMMYFUNCTION("""COMPUTED_VALUE"""),"n.d.")</f>
        <v>n.d.</v>
      </c>
    </row>
    <row r="213">
      <c r="A213" s="2">
        <f>IFERROR(__xludf.DUMMYFUNCTION("""COMPUTED_VALUE"""),39753.0)</f>
        <v>39753</v>
      </c>
      <c r="B213" s="1" t="str">
        <f>IFERROR(__xludf.DUMMYFUNCTION("""COMPUTED_VALUE"""),"2.552 €/m2")</f>
        <v>2.552 €/m2</v>
      </c>
      <c r="C213" s="1" t="str">
        <f>IFERROR(__xludf.DUMMYFUNCTION("""COMPUTED_VALUE"""),"+ 3,1 %")</f>
        <v>+ 3,1 %</v>
      </c>
      <c r="D213" s="1" t="str">
        <f>IFERROR(__xludf.DUMMYFUNCTION("""COMPUTED_VALUE"""),"- 1,0 %")</f>
        <v>- 1,0 %</v>
      </c>
      <c r="E213" s="1" t="str">
        <f>IFERROR(__xludf.DUMMYFUNCTION("""COMPUTED_VALUE"""),"n.d.")</f>
        <v>n.d.</v>
      </c>
    </row>
    <row r="214">
      <c r="A214" s="2">
        <f>IFERROR(__xludf.DUMMYFUNCTION("""COMPUTED_VALUE"""),39722.0)</f>
        <v>39722</v>
      </c>
      <c r="B214" s="1" t="str">
        <f>IFERROR(__xludf.DUMMYFUNCTION("""COMPUTED_VALUE"""),"2.475 €/m2")</f>
        <v>2.475 €/m2</v>
      </c>
      <c r="C214" s="1" t="str">
        <f>IFERROR(__xludf.DUMMYFUNCTION("""COMPUTED_VALUE"""),"- 0,8 %")</f>
        <v>- 0,8 %</v>
      </c>
      <c r="D214" s="1" t="str">
        <f>IFERROR(__xludf.DUMMYFUNCTION("""COMPUTED_VALUE"""),"- 5,0 %")</f>
        <v>- 5,0 %</v>
      </c>
      <c r="E214" s="1" t="str">
        <f>IFERROR(__xludf.DUMMYFUNCTION("""COMPUTED_VALUE"""),"n.d.")</f>
        <v>n.d.</v>
      </c>
    </row>
    <row r="215">
      <c r="A215" s="2">
        <f>IFERROR(__xludf.DUMMYFUNCTION("""COMPUTED_VALUE"""),39692.0)</f>
        <v>39692</v>
      </c>
      <c r="B215" s="1" t="str">
        <f>IFERROR(__xludf.DUMMYFUNCTION("""COMPUTED_VALUE"""),"2.496 €/m2")</f>
        <v>2.496 €/m2</v>
      </c>
      <c r="C215" s="1" t="str">
        <f>IFERROR(__xludf.DUMMYFUNCTION("""COMPUTED_VALUE"""),"- 3,2 %")</f>
        <v>- 3,2 %</v>
      </c>
      <c r="D215" s="1" t="str">
        <f>IFERROR(__xludf.DUMMYFUNCTION("""COMPUTED_VALUE"""),"- 7,7 %")</f>
        <v>- 7,7 %</v>
      </c>
      <c r="E215" s="1" t="str">
        <f>IFERROR(__xludf.DUMMYFUNCTION("""COMPUTED_VALUE"""),"n.d.")</f>
        <v>n.d.</v>
      </c>
    </row>
    <row r="216">
      <c r="A216" s="2">
        <f>IFERROR(__xludf.DUMMYFUNCTION("""COMPUTED_VALUE"""),39661.0)</f>
        <v>39661</v>
      </c>
      <c r="B216" s="1" t="str">
        <f>IFERROR(__xludf.DUMMYFUNCTION("""COMPUTED_VALUE"""),"2.578 €/m2")</f>
        <v>2.578 €/m2</v>
      </c>
      <c r="C216" s="1" t="str">
        <f>IFERROR(__xludf.DUMMYFUNCTION("""COMPUTED_VALUE"""),"- 1,0 %")</f>
        <v>- 1,0 %</v>
      </c>
      <c r="D216" s="1" t="str">
        <f>IFERROR(__xludf.DUMMYFUNCTION("""COMPUTED_VALUE"""),"- 6,1 %")</f>
        <v>- 6,1 %</v>
      </c>
      <c r="E216" s="1" t="str">
        <f>IFERROR(__xludf.DUMMYFUNCTION("""COMPUTED_VALUE"""),"n.d.")</f>
        <v>n.d.</v>
      </c>
    </row>
    <row r="217">
      <c r="A217" s="2">
        <f>IFERROR(__xludf.DUMMYFUNCTION("""COMPUTED_VALUE"""),39630.0)</f>
        <v>39630</v>
      </c>
      <c r="B217" s="1" t="str">
        <f>IFERROR(__xludf.DUMMYFUNCTION("""COMPUTED_VALUE"""),"2.604 €/m2")</f>
        <v>2.604 €/m2</v>
      </c>
      <c r="C217" s="1" t="str">
        <f>IFERROR(__xludf.DUMMYFUNCTION("""COMPUTED_VALUE"""),"- 3,7 %")</f>
        <v>- 3,7 %</v>
      </c>
      <c r="D217" s="1" t="str">
        <f>IFERROR(__xludf.DUMMYFUNCTION("""COMPUTED_VALUE"""),"- 7,2 %")</f>
        <v>- 7,2 %</v>
      </c>
      <c r="E217" s="1" t="str">
        <f>IFERROR(__xludf.DUMMYFUNCTION("""COMPUTED_VALUE"""),"n.d.")</f>
        <v>n.d.</v>
      </c>
    </row>
    <row r="218">
      <c r="A218" s="2">
        <f>IFERROR(__xludf.DUMMYFUNCTION("""COMPUTED_VALUE"""),39600.0)</f>
        <v>39600</v>
      </c>
      <c r="B218" s="1" t="str">
        <f>IFERROR(__xludf.DUMMYFUNCTION("""COMPUTED_VALUE"""),"2.703 €/m2")</f>
        <v>2.703 €/m2</v>
      </c>
      <c r="C218" s="1" t="str">
        <f>IFERROR(__xludf.DUMMYFUNCTION("""COMPUTED_VALUE"""),"- 1,5 %")</f>
        <v>- 1,5 %</v>
      </c>
      <c r="D218" s="1" t="str">
        <f>IFERROR(__xludf.DUMMYFUNCTION("""COMPUTED_VALUE"""),"- 6,8 %")</f>
        <v>- 6,8 %</v>
      </c>
      <c r="E218" s="1" t="str">
        <f>IFERROR(__xludf.DUMMYFUNCTION("""COMPUTED_VALUE"""),"n.d.")</f>
        <v>n.d.</v>
      </c>
    </row>
    <row r="219">
      <c r="A219" s="2">
        <f>IFERROR(__xludf.DUMMYFUNCTION("""COMPUTED_VALUE"""),39569.0)</f>
        <v>39569</v>
      </c>
      <c r="B219" s="1" t="str">
        <f>IFERROR(__xludf.DUMMYFUNCTION("""COMPUTED_VALUE"""),"2.745 €/m2")</f>
        <v>2.745 €/m2</v>
      </c>
      <c r="C219" s="1" t="str">
        <f>IFERROR(__xludf.DUMMYFUNCTION("""COMPUTED_VALUE"""),"- 2,2 %")</f>
        <v>- 2,2 %</v>
      </c>
      <c r="D219" s="1" t="str">
        <f>IFERROR(__xludf.DUMMYFUNCTION("""COMPUTED_VALUE"""),"- 5,3 %")</f>
        <v>- 5,3 %</v>
      </c>
      <c r="E219" s="1" t="str">
        <f>IFERROR(__xludf.DUMMYFUNCTION("""COMPUTED_VALUE"""),"n.d.")</f>
        <v>n.d.</v>
      </c>
    </row>
    <row r="220">
      <c r="A220" s="2">
        <f>IFERROR(__xludf.DUMMYFUNCTION("""COMPUTED_VALUE"""),39539.0)</f>
        <v>39539</v>
      </c>
      <c r="B220" s="1" t="str">
        <f>IFERROR(__xludf.DUMMYFUNCTION("""COMPUTED_VALUE"""),"2.806 €/m2")</f>
        <v>2.806 €/m2</v>
      </c>
      <c r="C220" s="1" t="str">
        <f>IFERROR(__xludf.DUMMYFUNCTION("""COMPUTED_VALUE"""),"- 3,2 %")</f>
        <v>- 3,2 %</v>
      </c>
      <c r="D220" s="1" t="str">
        <f>IFERROR(__xludf.DUMMYFUNCTION("""COMPUTED_VALUE"""),"+ 0,2 %")</f>
        <v>+ 0,2 %</v>
      </c>
      <c r="E220" s="1" t="str">
        <f>IFERROR(__xludf.DUMMYFUNCTION("""COMPUTED_VALUE"""),"n.d.")</f>
        <v>n.d.</v>
      </c>
    </row>
    <row r="221">
      <c r="A221" s="2">
        <f>IFERROR(__xludf.DUMMYFUNCTION("""COMPUTED_VALUE"""),39508.0)</f>
        <v>39508</v>
      </c>
      <c r="B221" s="1" t="str">
        <f>IFERROR(__xludf.DUMMYFUNCTION("""COMPUTED_VALUE"""),"2.899 €/m2")</f>
        <v>2.899 €/m2</v>
      </c>
      <c r="C221" s="1" t="str">
        <f>IFERROR(__xludf.DUMMYFUNCTION("""COMPUTED_VALUE"""),"0,0 %")</f>
        <v>0,0 %</v>
      </c>
      <c r="D221" s="1" t="str">
        <f>IFERROR(__xludf.DUMMYFUNCTION("""COMPUTED_VALUE"""),"n.d.")</f>
        <v>n.d.</v>
      </c>
      <c r="E221" s="1" t="str">
        <f>IFERROR(__xludf.DUMMYFUNCTION("""COMPUTED_VALUE"""),"n.d.")</f>
        <v>n.d.</v>
      </c>
    </row>
    <row r="222">
      <c r="A222" s="2">
        <f>IFERROR(__xludf.DUMMYFUNCTION("""COMPUTED_VALUE"""),39479.0)</f>
        <v>39479</v>
      </c>
      <c r="B222" s="1" t="str">
        <f>IFERROR(__xludf.DUMMYFUNCTION("""COMPUTED_VALUE"""),"2.900 €/m2")</f>
        <v>2.900 €/m2</v>
      </c>
      <c r="C222" s="1" t="str">
        <f>IFERROR(__xludf.DUMMYFUNCTION("""COMPUTED_VALUE"""),"+ 3,5 %")</f>
        <v>+ 3,5 %</v>
      </c>
      <c r="D222" s="1" t="str">
        <f>IFERROR(__xludf.DUMMYFUNCTION("""COMPUTED_VALUE"""),"n.d.")</f>
        <v>n.d.</v>
      </c>
      <c r="E222" s="1" t="str">
        <f>IFERROR(__xludf.DUMMYFUNCTION("""COMPUTED_VALUE"""),"n.d.")</f>
        <v>n.d.</v>
      </c>
    </row>
    <row r="223">
      <c r="A223" s="2">
        <f>IFERROR(__xludf.DUMMYFUNCTION("""COMPUTED_VALUE"""),39448.0)</f>
        <v>39448</v>
      </c>
      <c r="B223" s="1" t="str">
        <f>IFERROR(__xludf.DUMMYFUNCTION("""COMPUTED_VALUE"""),"2.801 €/m2")</f>
        <v>2.801 €/m2</v>
      </c>
      <c r="C223" s="1" t="str">
        <f>IFERROR(__xludf.DUMMYFUNCTION("""COMPUTED_VALUE"""),"n.d.")</f>
        <v>n.d.</v>
      </c>
      <c r="D223" s="1" t="str">
        <f>IFERROR(__xludf.DUMMYFUNCTION("""COMPUTED_VALUE"""),"n.d.")</f>
        <v>n.d.</v>
      </c>
      <c r="E223" s="1" t="str">
        <f>IFERROR(__xludf.DUMMYFUNCTION("""COMPUTED_VALUE"""),"n.d.")</f>
        <v>n.d.</v>
      </c>
    </row>
    <row r="224">
      <c r="A224" s="2">
        <f>IFERROR(__xludf.DUMMYFUNCTION("""COMPUTED_VALUE"""),39417.0)</f>
        <v>39417</v>
      </c>
      <c r="B224" s="1" t="str">
        <f>IFERROR(__xludf.DUMMYFUNCTION("""COMPUTED_VALUE"""),"n.d.")</f>
        <v>n.d.</v>
      </c>
      <c r="C224" s="1" t="str">
        <f>IFERROR(__xludf.DUMMYFUNCTION("""COMPUTED_VALUE"""),"n.d.")</f>
        <v>n.d.</v>
      </c>
      <c r="D224" s="1" t="str">
        <f>IFERROR(__xludf.DUMMYFUNCTION("""COMPUTED_VALUE"""),"n.d.")</f>
        <v>n.d.</v>
      </c>
      <c r="E224" s="1" t="str">
        <f>IFERROR(__xludf.DUMMYFUNCTION("""COMPUTED_VALUE"""),"n.d.")</f>
        <v>n.d.</v>
      </c>
    </row>
    <row r="225">
      <c r="A225" s="2">
        <f>IFERROR(__xludf.DUMMYFUNCTION("""COMPUTED_VALUE"""),39387.0)</f>
        <v>39387</v>
      </c>
      <c r="B225" s="1" t="str">
        <f>IFERROR(__xludf.DUMMYFUNCTION("""COMPUTED_VALUE"""),"n.d.")</f>
        <v>n.d.</v>
      </c>
      <c r="C225" s="1" t="str">
        <f>IFERROR(__xludf.DUMMYFUNCTION("""COMPUTED_VALUE"""),"n.d.")</f>
        <v>n.d.</v>
      </c>
      <c r="D225" s="1" t="str">
        <f>IFERROR(__xludf.DUMMYFUNCTION("""COMPUTED_VALUE"""),"n.d.")</f>
        <v>n.d.</v>
      </c>
      <c r="E225" s="1" t="str">
        <f>IFERROR(__xludf.DUMMYFUNCTION("""COMPUTED_VALUE"""),"n.d.")</f>
        <v>n.d.</v>
      </c>
    </row>
    <row r="226">
      <c r="A226" s="2">
        <f>IFERROR(__xludf.DUMMYFUNCTION("""COMPUTED_VALUE"""),39356.0)</f>
        <v>39356</v>
      </c>
      <c r="B226" s="1" t="str">
        <f>IFERROR(__xludf.DUMMYFUNCTION("""COMPUTED_VALUE"""),"n.d.")</f>
        <v>n.d.</v>
      </c>
      <c r="C226" s="1" t="str">
        <f>IFERROR(__xludf.DUMMYFUNCTION("""COMPUTED_VALUE"""),"n.d.")</f>
        <v>n.d.</v>
      </c>
      <c r="D226" s="1" t="str">
        <f>IFERROR(__xludf.DUMMYFUNCTION("""COMPUTED_VALUE"""),"n.d.")</f>
        <v>n.d.</v>
      </c>
      <c r="E226" s="1" t="str">
        <f>IFERROR(__xludf.DUMMYFUNCTION("""COMPUTED_VALUE"""),"n.d.")</f>
        <v>n.d.</v>
      </c>
    </row>
    <row r="227">
      <c r="A227" s="2">
        <f>IFERROR(__xludf.DUMMYFUNCTION("""COMPUTED_VALUE"""),39326.0)</f>
        <v>39326</v>
      </c>
      <c r="B227" s="1" t="str">
        <f>IFERROR(__xludf.DUMMYFUNCTION("""COMPUTED_VALUE"""),"n.d.")</f>
        <v>n.d.</v>
      </c>
      <c r="C227" s="1" t="str">
        <f>IFERROR(__xludf.DUMMYFUNCTION("""COMPUTED_VALUE"""),"n.d.")</f>
        <v>n.d.</v>
      </c>
      <c r="D227" s="1" t="str">
        <f>IFERROR(__xludf.DUMMYFUNCTION("""COMPUTED_VALUE"""),"n.d.")</f>
        <v>n.d.</v>
      </c>
      <c r="E227" s="1" t="str">
        <f>IFERROR(__xludf.DUMMYFUNCTION("""COMPUTED_VALUE"""),"n.d.")</f>
        <v>n.d.</v>
      </c>
    </row>
    <row r="228">
      <c r="A228" s="2">
        <f>IFERROR(__xludf.DUMMYFUNCTION("""COMPUTED_VALUE"""),39295.0)</f>
        <v>39295</v>
      </c>
      <c r="B228" s="1" t="str">
        <f>IFERROR(__xludf.DUMMYFUNCTION("""COMPUTED_VALUE"""),"n.d.")</f>
        <v>n.d.</v>
      </c>
      <c r="C228" s="1" t="str">
        <f>IFERROR(__xludf.DUMMYFUNCTION("""COMPUTED_VALUE"""),"n.d.")</f>
        <v>n.d.</v>
      </c>
      <c r="D228" s="1" t="str">
        <f>IFERROR(__xludf.DUMMYFUNCTION("""COMPUTED_VALUE"""),"n.d.")</f>
        <v>n.d.</v>
      </c>
      <c r="E228" s="1" t="str">
        <f>IFERROR(__xludf.DUMMYFUNCTION("""COMPUTED_VALUE"""),"n.d.")</f>
        <v>n.d.</v>
      </c>
    </row>
    <row r="229">
      <c r="A229" s="2">
        <f>IFERROR(__xludf.DUMMYFUNCTION("""COMPUTED_VALUE"""),39264.0)</f>
        <v>39264</v>
      </c>
      <c r="B229" s="1" t="str">
        <f>IFERROR(__xludf.DUMMYFUNCTION("""COMPUTED_VALUE"""),"n.d.")</f>
        <v>n.d.</v>
      </c>
      <c r="C229" s="1" t="str">
        <f>IFERROR(__xludf.DUMMYFUNCTION("""COMPUTED_VALUE"""),"n.d.")</f>
        <v>n.d.</v>
      </c>
      <c r="D229" s="1" t="str">
        <f>IFERROR(__xludf.DUMMYFUNCTION("""COMPUTED_VALUE"""),"n.d.")</f>
        <v>n.d.</v>
      </c>
      <c r="E229" s="1" t="str">
        <f>IFERROR(__xludf.DUMMYFUNCTION("""COMPUTED_VALUE"""),"n.d.")</f>
        <v>n.d.</v>
      </c>
    </row>
    <row r="230">
      <c r="A230" s="2">
        <f>IFERROR(__xludf.DUMMYFUNCTION("""COMPUTED_VALUE"""),39234.0)</f>
        <v>39234</v>
      </c>
      <c r="B230" s="1" t="str">
        <f>IFERROR(__xludf.DUMMYFUNCTION("""COMPUTED_VALUE"""),"n.d.")</f>
        <v>n.d.</v>
      </c>
      <c r="C230" s="1" t="str">
        <f>IFERROR(__xludf.DUMMYFUNCTION("""COMPUTED_VALUE"""),"n.d.")</f>
        <v>n.d.</v>
      </c>
      <c r="D230" s="1" t="str">
        <f>IFERROR(__xludf.DUMMYFUNCTION("""COMPUTED_VALUE"""),"n.d.")</f>
        <v>n.d.</v>
      </c>
      <c r="E230" s="1" t="str">
        <f>IFERROR(__xludf.DUMMYFUNCTION("""COMPUTED_VALUE"""),"n.d.")</f>
        <v>n.d.</v>
      </c>
    </row>
    <row r="231">
      <c r="A231" s="2">
        <f>IFERROR(__xludf.DUMMYFUNCTION("""COMPUTED_VALUE"""),39203.0)</f>
        <v>39203</v>
      </c>
      <c r="B231" s="1" t="str">
        <f>IFERROR(__xludf.DUMMYFUNCTION("""COMPUTED_VALUE"""),"n.d.")</f>
        <v>n.d.</v>
      </c>
      <c r="C231" s="1" t="str">
        <f>IFERROR(__xludf.DUMMYFUNCTION("""COMPUTED_VALUE"""),"n.d.")</f>
        <v>n.d.</v>
      </c>
      <c r="D231" s="1" t="str">
        <f>IFERROR(__xludf.DUMMYFUNCTION("""COMPUTED_VALUE"""),"n.d.")</f>
        <v>n.d.</v>
      </c>
      <c r="E231" s="1" t="str">
        <f>IFERROR(__xludf.DUMMYFUNCTION("""COMPUTED_VALUE"""),"n.d.")</f>
        <v>n.d.</v>
      </c>
    </row>
    <row r="232">
      <c r="A232" s="2">
        <f>IFERROR(__xludf.DUMMYFUNCTION("""COMPUTED_VALUE"""),39173.0)</f>
        <v>39173</v>
      </c>
      <c r="B232" s="1" t="str">
        <f>IFERROR(__xludf.DUMMYFUNCTION("""COMPUTED_VALUE"""),"n.d.")</f>
        <v>n.d.</v>
      </c>
      <c r="C232" s="1" t="str">
        <f>IFERROR(__xludf.DUMMYFUNCTION("""COMPUTED_VALUE"""),"n.d.")</f>
        <v>n.d.</v>
      </c>
      <c r="D232" s="1" t="str">
        <f>IFERROR(__xludf.DUMMYFUNCTION("""COMPUTED_VALUE"""),"n.d.")</f>
        <v>n.d.</v>
      </c>
      <c r="E232" s="1" t="str">
        <f>IFERROR(__xludf.DUMMYFUNCTION("""COMPUTED_VALUE"""),"n.d.")</f>
        <v>n.d.</v>
      </c>
    </row>
    <row r="233">
      <c r="A233" s="2">
        <f>IFERROR(__xludf.DUMMYFUNCTION("""COMPUTED_VALUE"""),39142.0)</f>
        <v>39142</v>
      </c>
      <c r="B233" s="1" t="str">
        <f>IFERROR(__xludf.DUMMYFUNCTION("""COMPUTED_VALUE"""),"n.d.")</f>
        <v>n.d.</v>
      </c>
      <c r="C233" s="1" t="str">
        <f>IFERROR(__xludf.DUMMYFUNCTION("""COMPUTED_VALUE"""),"n.d.")</f>
        <v>n.d.</v>
      </c>
      <c r="D233" s="1" t="str">
        <f>IFERROR(__xludf.DUMMYFUNCTION("""COMPUTED_VALUE"""),"n.d.")</f>
        <v>n.d.</v>
      </c>
      <c r="E233" s="1" t="str">
        <f>IFERROR(__xludf.DUMMYFUNCTION("""COMPUTED_VALUE"""),"n.d.")</f>
        <v>n.d.</v>
      </c>
    </row>
    <row r="234">
      <c r="A234" s="2">
        <f>IFERROR(__xludf.DUMMYFUNCTION("""COMPUTED_VALUE"""),39114.0)</f>
        <v>39114</v>
      </c>
      <c r="B234" s="1" t="str">
        <f>IFERROR(__xludf.DUMMYFUNCTION("""COMPUTED_VALUE"""),"n.d.")</f>
        <v>n.d.</v>
      </c>
      <c r="C234" s="1" t="str">
        <f>IFERROR(__xludf.DUMMYFUNCTION("""COMPUTED_VALUE"""),"n.d.")</f>
        <v>n.d.</v>
      </c>
      <c r="D234" s="1" t="str">
        <f>IFERROR(__xludf.DUMMYFUNCTION("""COMPUTED_VALUE"""),"n.d.")</f>
        <v>n.d.</v>
      </c>
      <c r="E234" s="1" t="str">
        <f>IFERROR(__xludf.DUMMYFUNCTION("""COMPUTED_VALUE"""),"n.d.")</f>
        <v>n.d.</v>
      </c>
    </row>
    <row r="235">
      <c r="A235" s="2">
        <f>IFERROR(__xludf.DUMMYFUNCTION("""COMPUTED_VALUE"""),39083.0)</f>
        <v>39083</v>
      </c>
      <c r="B235" s="1" t="str">
        <f>IFERROR(__xludf.DUMMYFUNCTION("""COMPUTED_VALUE"""),"n.d.")</f>
        <v>n.d.</v>
      </c>
      <c r="C235" s="1" t="str">
        <f>IFERROR(__xludf.DUMMYFUNCTION("""COMPUTED_VALUE"""),"n.d.")</f>
        <v>n.d.</v>
      </c>
      <c r="D235" s="1" t="str">
        <f>IFERROR(__xludf.DUMMYFUNCTION("""COMPUTED_VALUE"""),"n.d.")</f>
        <v>n.d.</v>
      </c>
      <c r="E235" s="1" t="str">
        <f>IFERROR(__xludf.DUMMYFUNCTION("""COMPUTED_VALUE"""),"n.d.")</f>
        <v>n.d.</v>
      </c>
    </row>
    <row r="236">
      <c r="A236" s="2">
        <f>IFERROR(__xludf.DUMMYFUNCTION("""COMPUTED_VALUE"""),39052.0)</f>
        <v>39052</v>
      </c>
      <c r="B236" s="1" t="str">
        <f>IFERROR(__xludf.DUMMYFUNCTION("""COMPUTED_VALUE"""),"n.d.")</f>
        <v>n.d.</v>
      </c>
      <c r="C236" s="1" t="str">
        <f>IFERROR(__xludf.DUMMYFUNCTION("""COMPUTED_VALUE"""),"n.d.")</f>
        <v>n.d.</v>
      </c>
      <c r="D236" s="1" t="str">
        <f>IFERROR(__xludf.DUMMYFUNCTION("""COMPUTED_VALUE"""),"n.d.")</f>
        <v>n.d.</v>
      </c>
      <c r="E236" s="1" t="str">
        <f>IFERROR(__xludf.DUMMYFUNCTION("""COMPUTED_VALUE"""),"n.d.")</f>
        <v>n.d.</v>
      </c>
    </row>
    <row r="237">
      <c r="A237" s="2">
        <f>IFERROR(__xludf.DUMMYFUNCTION("""COMPUTED_VALUE"""),39022.0)</f>
        <v>39022</v>
      </c>
      <c r="B237" s="1" t="str">
        <f>IFERROR(__xludf.DUMMYFUNCTION("""COMPUTED_VALUE"""),"n.d.")</f>
        <v>n.d.</v>
      </c>
      <c r="C237" s="1" t="str">
        <f>IFERROR(__xludf.DUMMYFUNCTION("""COMPUTED_VALUE"""),"n.d.")</f>
        <v>n.d.</v>
      </c>
      <c r="D237" s="1" t="str">
        <f>IFERROR(__xludf.DUMMYFUNCTION("""COMPUTED_VALUE"""),"n.d.")</f>
        <v>n.d.</v>
      </c>
      <c r="E237" s="1" t="str">
        <f>IFERROR(__xludf.DUMMYFUNCTION("""COMPUTED_VALUE"""),"n.d.")</f>
        <v>n.d.</v>
      </c>
    </row>
    <row r="238">
      <c r="A238" s="2">
        <f>IFERROR(__xludf.DUMMYFUNCTION("""COMPUTED_VALUE"""),38991.0)</f>
        <v>38991</v>
      </c>
      <c r="B238" s="1" t="str">
        <f>IFERROR(__xludf.DUMMYFUNCTION("""COMPUTED_VALUE"""),"n.d.")</f>
        <v>n.d.</v>
      </c>
      <c r="C238" s="1" t="str">
        <f>IFERROR(__xludf.DUMMYFUNCTION("""COMPUTED_VALUE"""),"n.d.")</f>
        <v>n.d.</v>
      </c>
      <c r="D238" s="1" t="str">
        <f>IFERROR(__xludf.DUMMYFUNCTION("""COMPUTED_VALUE"""),"n.d.")</f>
        <v>n.d.</v>
      </c>
      <c r="E238" s="1" t="str">
        <f>IFERROR(__xludf.DUMMYFUNCTION("""COMPUTED_VALUE"""),"n.d.")</f>
        <v>n.d.</v>
      </c>
    </row>
    <row r="239">
      <c r="A239" s="2">
        <f>IFERROR(__xludf.DUMMYFUNCTION("""COMPUTED_VALUE"""),38961.0)</f>
        <v>38961</v>
      </c>
      <c r="B239" s="1" t="str">
        <f>IFERROR(__xludf.DUMMYFUNCTION("""COMPUTED_VALUE"""),"n.d.")</f>
        <v>n.d.</v>
      </c>
      <c r="C239" s="1" t="str">
        <f>IFERROR(__xludf.DUMMYFUNCTION("""COMPUTED_VALUE"""),"n.d.")</f>
        <v>n.d.</v>
      </c>
      <c r="D239" s="1" t="str">
        <f>IFERROR(__xludf.DUMMYFUNCTION("""COMPUTED_VALUE"""),"n.d.")</f>
        <v>n.d.</v>
      </c>
      <c r="E239" s="1" t="str">
        <f>IFERROR(__xludf.DUMMYFUNCTION("""COMPUTED_VALUE"""),"n.d.")</f>
        <v>n.d.</v>
      </c>
    </row>
    <row r="240">
      <c r="A240" s="2">
        <f>IFERROR(__xludf.DUMMYFUNCTION("""COMPUTED_VALUE"""),38930.0)</f>
        <v>38930</v>
      </c>
      <c r="B240" s="1" t="str">
        <f>IFERROR(__xludf.DUMMYFUNCTION("""COMPUTED_VALUE"""),"n.d.")</f>
        <v>n.d.</v>
      </c>
      <c r="C240" s="1" t="str">
        <f>IFERROR(__xludf.DUMMYFUNCTION("""COMPUTED_VALUE"""),"n.d.")</f>
        <v>n.d.</v>
      </c>
      <c r="D240" s="1" t="str">
        <f>IFERROR(__xludf.DUMMYFUNCTION("""COMPUTED_VALUE"""),"n.d.")</f>
        <v>n.d.</v>
      </c>
      <c r="E240" s="1" t="str">
        <f>IFERROR(__xludf.DUMMYFUNCTION("""COMPUTED_VALUE"""),"n.d.")</f>
        <v>n.d.</v>
      </c>
    </row>
    <row r="241">
      <c r="A241" s="2">
        <f>IFERROR(__xludf.DUMMYFUNCTION("""COMPUTED_VALUE"""),38899.0)</f>
        <v>38899</v>
      </c>
      <c r="B241" s="1" t="str">
        <f>IFERROR(__xludf.DUMMYFUNCTION("""COMPUTED_VALUE"""),"n.d.")</f>
        <v>n.d.</v>
      </c>
      <c r="C241" s="1" t="str">
        <f>IFERROR(__xludf.DUMMYFUNCTION("""COMPUTED_VALUE"""),"n.d.")</f>
        <v>n.d.</v>
      </c>
      <c r="D241" s="1" t="str">
        <f>IFERROR(__xludf.DUMMYFUNCTION("""COMPUTED_VALUE"""),"n.d.")</f>
        <v>n.d.</v>
      </c>
      <c r="E241" s="1" t="str">
        <f>IFERROR(__xludf.DUMMYFUNCTION("""COMPUTED_VALUE"""),"n.d.")</f>
        <v>n.d.</v>
      </c>
    </row>
    <row r="242">
      <c r="A242" s="2">
        <f>IFERROR(__xludf.DUMMYFUNCTION("""COMPUTED_VALUE"""),38869.0)</f>
        <v>38869</v>
      </c>
      <c r="B242" s="1" t="str">
        <f>IFERROR(__xludf.DUMMYFUNCTION("""COMPUTED_VALUE"""),"n.d.")</f>
        <v>n.d.</v>
      </c>
      <c r="C242" s="1" t="str">
        <f>IFERROR(__xludf.DUMMYFUNCTION("""COMPUTED_VALUE"""),"n.d.")</f>
        <v>n.d.</v>
      </c>
      <c r="D242" s="1" t="str">
        <f>IFERROR(__xludf.DUMMYFUNCTION("""COMPUTED_VALUE"""),"n.d.")</f>
        <v>n.d.</v>
      </c>
      <c r="E242" s="1" t="str">
        <f>IFERROR(__xludf.DUMMYFUNCTION("""COMPUTED_VALUE"""),"n.d.")</f>
        <v>n.d.</v>
      </c>
    </row>
    <row r="243">
      <c r="A243" s="2">
        <f>IFERROR(__xludf.DUMMYFUNCTION("""COMPUTED_VALUE"""),38838.0)</f>
        <v>38838</v>
      </c>
      <c r="B243" s="1" t="str">
        <f>IFERROR(__xludf.DUMMYFUNCTION("""COMPUTED_VALUE"""),"n.d.")</f>
        <v>n.d.</v>
      </c>
      <c r="C243" s="1" t="str">
        <f>IFERROR(__xludf.DUMMYFUNCTION("""COMPUTED_VALUE"""),"n.d.")</f>
        <v>n.d.</v>
      </c>
      <c r="D243" s="1" t="str">
        <f>IFERROR(__xludf.DUMMYFUNCTION("""COMPUTED_VALUE"""),"n.d.")</f>
        <v>n.d.</v>
      </c>
      <c r="E243" s="1" t="str">
        <f>IFERROR(__xludf.DUMMYFUNCTION("""COMPUTED_VALUE"""),"n.d.")</f>
        <v>n.d.</v>
      </c>
    </row>
    <row r="244">
      <c r="A244" s="2">
        <f>IFERROR(__xludf.DUMMYFUNCTION("""COMPUTED_VALUE"""),38808.0)</f>
        <v>38808</v>
      </c>
      <c r="B244" s="1" t="str">
        <f>IFERROR(__xludf.DUMMYFUNCTION("""COMPUTED_VALUE"""),"n.d.")</f>
        <v>n.d.</v>
      </c>
      <c r="C244" s="1" t="str">
        <f>IFERROR(__xludf.DUMMYFUNCTION("""COMPUTED_VALUE"""),"n.d.")</f>
        <v>n.d.</v>
      </c>
      <c r="D244" s="1" t="str">
        <f>IFERROR(__xludf.DUMMYFUNCTION("""COMPUTED_VALUE"""),"n.d.")</f>
        <v>n.d.</v>
      </c>
      <c r="E244" s="1" t="str">
        <f>IFERROR(__xludf.DUMMYFUNCTION("""COMPUTED_VALUE"""),"n.d.")</f>
        <v>n.d.</v>
      </c>
    </row>
    <row r="245">
      <c r="A245" s="2">
        <f>IFERROR(__xludf.DUMMYFUNCTION("""COMPUTED_VALUE"""),38777.0)</f>
        <v>38777</v>
      </c>
      <c r="B245" s="1" t="str">
        <f>IFERROR(__xludf.DUMMYFUNCTION("""COMPUTED_VALUE"""),"n.d.")</f>
        <v>n.d.</v>
      </c>
      <c r="C245" s="1" t="str">
        <f>IFERROR(__xludf.DUMMYFUNCTION("""COMPUTED_VALUE"""),"n.d.")</f>
        <v>n.d.</v>
      </c>
      <c r="D245" s="1" t="str">
        <f>IFERROR(__xludf.DUMMYFUNCTION("""COMPUTED_VALUE"""),"n.d.")</f>
        <v>n.d.</v>
      </c>
      <c r="E245" s="1" t="str">
        <f>IFERROR(__xludf.DUMMYFUNCTION("""COMPUTED_VALUE"""),"n.d.")</f>
        <v>n.d.</v>
      </c>
    </row>
    <row r="246">
      <c r="A246" s="2">
        <f>IFERROR(__xludf.DUMMYFUNCTION("""COMPUTED_VALUE"""),38749.0)</f>
        <v>38749</v>
      </c>
      <c r="B246" s="1" t="str">
        <f>IFERROR(__xludf.DUMMYFUNCTION("""COMPUTED_VALUE"""),"n.d.")</f>
        <v>n.d.</v>
      </c>
      <c r="C246" s="1" t="str">
        <f>IFERROR(__xludf.DUMMYFUNCTION("""COMPUTED_VALUE"""),"n.d.")</f>
        <v>n.d.</v>
      </c>
      <c r="D246" s="1" t="str">
        <f>IFERROR(__xludf.DUMMYFUNCTION("""COMPUTED_VALUE"""),"n.d.")</f>
        <v>n.d.</v>
      </c>
      <c r="E246" s="1" t="str">
        <f>IFERROR(__xludf.DUMMYFUNCTION("""COMPUTED_VALUE"""),"n.d.")</f>
        <v>n.d.</v>
      </c>
    </row>
    <row r="247">
      <c r="A247" s="2">
        <f>IFERROR(__xludf.DUMMYFUNCTION("""COMPUTED_VALUE"""),38718.0)</f>
        <v>38718</v>
      </c>
      <c r="B247" s="1" t="str">
        <f>IFERROR(__xludf.DUMMYFUNCTION("""COMPUTED_VALUE"""),"n.d.")</f>
        <v>n.d.</v>
      </c>
      <c r="C247" s="1" t="str">
        <f>IFERROR(__xludf.DUMMYFUNCTION("""COMPUTED_VALUE"""),"n.d.")</f>
        <v>n.d.</v>
      </c>
      <c r="D247" s="1" t="str">
        <f>IFERROR(__xludf.DUMMYFUNCTION("""COMPUTED_VALUE"""),"n.d.")</f>
        <v>n.d.</v>
      </c>
      <c r="E247" s="1" t="str">
        <f>IFERROR(__xludf.DUMMYFUNCTION("""COMPUTED_VALUE"""),"n.d.")</f>
        <v>n.d.</v>
      </c>
    </row>
  </sheetData>
  <drawing r:id="rId1"/>
</worksheet>
</file>